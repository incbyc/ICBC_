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/>
  <mc:AlternateContent xmlns:mc="http://schemas.openxmlformats.org/markup-compatibility/2006">
    <mc:Choice Requires="x15">
      <x15ac:absPath xmlns:x15ac="http://schemas.microsoft.com/office/spreadsheetml/2010/11/ac" url="https://partnersinaction-my.sharepoint.com/personal/5dc39e0f-29d2-4f19-976b-44c5552097a3_partnersinaction_onmicrosoft_com/Documents/JOSEPHSTOREHOUSE/ICBC STATISTICS/2025/DECEMBER/"/>
    </mc:Choice>
  </mc:AlternateContent>
  <xr:revisionPtr revIDLastSave="0" documentId="8_{3E7B0F54-5C7C-4427-B1ED-838FF1065CAB}" xr6:coauthVersionLast="36" xr6:coauthVersionMax="36" xr10:uidLastSave="{00000000-0000-0000-0000-000000000000}"/>
  <bookViews>
    <workbookView xWindow="0" yWindow="0" windowWidth="28800" windowHeight="12225" tabRatio="889" firstSheet="8" activeTab="8" xr2:uid="{00000000-000D-0000-FFFF-FFFF00000000}"/>
  </bookViews>
  <sheets>
    <sheet name="Jul-24" sheetId="1" state="hidden" r:id="rId1"/>
    <sheet name="Aug-24" sheetId="2" state="hidden" r:id="rId2"/>
    <sheet name="Sep-24" sheetId="3" state="hidden" r:id="rId3"/>
    <sheet name="Oct-24" sheetId="4" state="hidden" r:id="rId4"/>
    <sheet name="Nov-24" sheetId="5" state="hidden" r:id="rId5"/>
    <sheet name="Dec-24" sheetId="6" state="hidden" r:id="rId6"/>
    <sheet name="Jan-25" sheetId="7" state="hidden" r:id="rId7"/>
    <sheet name="Feb-25" sheetId="8" state="hidden" r:id="rId8"/>
    <sheet name="Dec-25" sheetId="12" r:id="rId9"/>
    <sheet name="Tot-2425" sheetId="13" state="hidden" r:id="rId10"/>
    <sheet name="ICBC-YTD" sheetId="15" state="hidden" r:id="rId11"/>
    <sheet name="ICBC" sheetId="17" state="hidden" r:id="rId12"/>
    <sheet name="Calcs-Month" sheetId="16" state="hidden" r:id="rId13"/>
    <sheet name="Calcs-YTD" sheetId="19" state="hidden" r:id="rId14"/>
  </sheets>
  <definedNames>
    <definedName name="_xlnm.Print_Area" localSheetId="1">'Aug-24'!$A$1:$O$17</definedName>
    <definedName name="_xlnm.Print_Area" localSheetId="5">'Dec-24'!$A$1:$O$17</definedName>
    <definedName name="_xlnm.Print_Area" localSheetId="8">'Dec-25'!$A$1:$O$17</definedName>
    <definedName name="_xlnm.Print_Area" localSheetId="7">'Feb-25'!$A$1:$O$17</definedName>
    <definedName name="_xlnm.Print_Area" localSheetId="11">ICBC!$A$1:$N$47</definedName>
    <definedName name="_xlnm.Print_Area" localSheetId="10">'ICBC-YTD'!$A$1:$O$29</definedName>
    <definedName name="_xlnm.Print_Area" localSheetId="6">'Jan-25'!$A$1:$O$17</definedName>
    <definedName name="_xlnm.Print_Area" localSheetId="0">'Jul-24'!$A$1:$O$17</definedName>
    <definedName name="_xlnm.Print_Area" localSheetId="4">'Nov-24'!$A$1:$O$17</definedName>
    <definedName name="_xlnm.Print_Area" localSheetId="3">'Oct-24'!$A$1:$O$17</definedName>
    <definedName name="_xlnm.Print_Area" localSheetId="2">'Sep-24'!$A$1:$O$17</definedName>
    <definedName name="_xlnm.Print_Area" localSheetId="9">'Tot-2425'!$A$1:$O$17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2" l="1"/>
  <c r="F49" i="19" l="1"/>
  <c r="E49" i="19"/>
  <c r="D49" i="19"/>
  <c r="C49" i="19"/>
  <c r="C51" i="19" s="1"/>
  <c r="B49" i="19"/>
  <c r="F51" i="19"/>
  <c r="E51" i="19"/>
  <c r="D51" i="19"/>
  <c r="B51" i="19"/>
  <c r="H49" i="19"/>
  <c r="H48" i="19"/>
  <c r="H47" i="19"/>
  <c r="N6" i="16"/>
  <c r="J47" i="16"/>
  <c r="H49" i="16" l="1"/>
  <c r="G49" i="16"/>
  <c r="F49" i="16"/>
  <c r="E49" i="16"/>
  <c r="E51" i="16" s="1"/>
  <c r="D49" i="16"/>
  <c r="D51" i="16" s="1"/>
  <c r="C49" i="16"/>
  <c r="B49" i="16"/>
  <c r="C51" i="16"/>
  <c r="F51" i="16"/>
  <c r="B51" i="16"/>
  <c r="K27" i="15"/>
  <c r="J27" i="15"/>
  <c r="I27" i="15"/>
  <c r="H27" i="15"/>
  <c r="G27" i="15"/>
  <c r="K26" i="15"/>
  <c r="J26" i="15"/>
  <c r="I26" i="15"/>
  <c r="H26" i="15"/>
  <c r="G26" i="15"/>
  <c r="K25" i="15"/>
  <c r="J25" i="15"/>
  <c r="I25" i="15"/>
  <c r="H25" i="15"/>
  <c r="G25" i="15"/>
  <c r="K24" i="15"/>
  <c r="J24" i="15"/>
  <c r="I24" i="15"/>
  <c r="H24" i="15"/>
  <c r="G24" i="15"/>
  <c r="K23" i="15"/>
  <c r="J23" i="15"/>
  <c r="I23" i="15"/>
  <c r="H23" i="15"/>
  <c r="G23" i="15"/>
  <c r="K22" i="15"/>
  <c r="J22" i="15"/>
  <c r="I22" i="15"/>
  <c r="H22" i="15"/>
  <c r="G22" i="15"/>
  <c r="K21" i="15"/>
  <c r="J21" i="15"/>
  <c r="I21" i="15"/>
  <c r="H21" i="15"/>
  <c r="G21" i="15"/>
  <c r="D18" i="15"/>
  <c r="J46" i="16" l="1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 l="1"/>
  <c r="H46" i="19" l="1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K46" i="19" l="1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F3" i="19" l="1"/>
  <c r="F5" i="19" s="1"/>
  <c r="E3" i="19"/>
  <c r="E5" i="19" s="1"/>
  <c r="D3" i="19"/>
  <c r="D5" i="19" s="1"/>
  <c r="C3" i="19"/>
  <c r="C5" i="19" s="1"/>
  <c r="B3" i="19"/>
  <c r="B5" i="19" s="1"/>
  <c r="J7" i="16" l="1"/>
  <c r="H3" i="16"/>
  <c r="G3" i="16"/>
  <c r="F3" i="16"/>
  <c r="F5" i="16" s="1"/>
  <c r="E3" i="16"/>
  <c r="E5" i="16" s="1"/>
  <c r="D3" i="16"/>
  <c r="D5" i="16" s="1"/>
  <c r="C3" i="16"/>
  <c r="C5" i="16" s="1"/>
  <c r="B3" i="16"/>
  <c r="B5" i="16" s="1"/>
  <c r="G17" i="15"/>
  <c r="H17" i="15" s="1"/>
  <c r="I17" i="15" s="1"/>
  <c r="J17" i="15" s="1"/>
  <c r="K17" i="15" s="1"/>
  <c r="L17" i="15" s="1"/>
  <c r="M17" i="15" s="1"/>
  <c r="H16" i="15"/>
  <c r="I16" i="15" s="1"/>
  <c r="J16" i="15" s="1"/>
  <c r="K16" i="15" s="1"/>
  <c r="L16" i="15" s="1"/>
  <c r="M16" i="15" s="1"/>
  <c r="H3" i="15"/>
  <c r="I3" i="15" s="1"/>
  <c r="J3" i="15" s="1"/>
  <c r="K3" i="15" s="1"/>
  <c r="L3" i="15" s="1"/>
  <c r="M3" i="15" s="1"/>
  <c r="H2" i="15"/>
  <c r="I2" i="15" s="1"/>
  <c r="J2" i="15" s="1"/>
  <c r="K2" i="15" s="1"/>
  <c r="L2" i="15" s="1"/>
  <c r="M2" i="15" s="1"/>
  <c r="H5" i="13" l="1"/>
  <c r="I5" i="13" s="1"/>
  <c r="J5" i="13" s="1"/>
  <c r="K5" i="13" s="1"/>
  <c r="E1" i="13"/>
  <c r="K816" i="13"/>
  <c r="J816" i="13"/>
  <c r="I816" i="13"/>
  <c r="H816" i="13"/>
  <c r="G816" i="13"/>
  <c r="K815" i="13"/>
  <c r="J815" i="13"/>
  <c r="I815" i="13"/>
  <c r="H815" i="13"/>
  <c r="G815" i="13"/>
  <c r="L815" i="13" s="1"/>
  <c r="K814" i="13"/>
  <c r="J814" i="13"/>
  <c r="L814" i="13" s="1"/>
  <c r="I814" i="13"/>
  <c r="H814" i="13"/>
  <c r="G814" i="13"/>
  <c r="K813" i="13"/>
  <c r="J813" i="13"/>
  <c r="I813" i="13"/>
  <c r="H813" i="13"/>
  <c r="G813" i="13"/>
  <c r="K812" i="13"/>
  <c r="J812" i="13"/>
  <c r="I812" i="13"/>
  <c r="H812" i="13"/>
  <c r="G812" i="13"/>
  <c r="K811" i="13"/>
  <c r="J811" i="13"/>
  <c r="I811" i="13"/>
  <c r="H811" i="13"/>
  <c r="G811" i="13"/>
  <c r="L811" i="13" s="1"/>
  <c r="K810" i="13"/>
  <c r="J810" i="13"/>
  <c r="I810" i="13"/>
  <c r="H810" i="13"/>
  <c r="G810" i="13"/>
  <c r="K809" i="13"/>
  <c r="J809" i="13"/>
  <c r="I809" i="13"/>
  <c r="H809" i="13"/>
  <c r="G809" i="13"/>
  <c r="L809" i="13" s="1"/>
  <c r="K808" i="13"/>
  <c r="J808" i="13"/>
  <c r="I808" i="13"/>
  <c r="H808" i="13"/>
  <c r="G808" i="13"/>
  <c r="K800" i="13"/>
  <c r="J800" i="13"/>
  <c r="I800" i="13"/>
  <c r="H800" i="13"/>
  <c r="G800" i="13"/>
  <c r="K799" i="13"/>
  <c r="J799" i="13"/>
  <c r="I799" i="13"/>
  <c r="H799" i="13"/>
  <c r="G799" i="13"/>
  <c r="K798" i="13"/>
  <c r="J798" i="13"/>
  <c r="I798" i="13"/>
  <c r="H798" i="13"/>
  <c r="G798" i="13"/>
  <c r="L798" i="13" s="1"/>
  <c r="K797" i="13"/>
  <c r="J797" i="13"/>
  <c r="I797" i="13"/>
  <c r="H797" i="13"/>
  <c r="G797" i="13"/>
  <c r="K796" i="13"/>
  <c r="J796" i="13"/>
  <c r="I796" i="13"/>
  <c r="H796" i="13"/>
  <c r="G796" i="13"/>
  <c r="K795" i="13"/>
  <c r="J795" i="13"/>
  <c r="I795" i="13"/>
  <c r="H795" i="13"/>
  <c r="G795" i="13"/>
  <c r="K794" i="13"/>
  <c r="J794" i="13"/>
  <c r="I794" i="13"/>
  <c r="H794" i="13"/>
  <c r="G794" i="13"/>
  <c r="K793" i="13"/>
  <c r="J793" i="13"/>
  <c r="I793" i="13"/>
  <c r="H793" i="13"/>
  <c r="G793" i="13"/>
  <c r="K792" i="13"/>
  <c r="J792" i="13"/>
  <c r="I792" i="13"/>
  <c r="I791" i="13" s="1"/>
  <c r="H792" i="13"/>
  <c r="G792" i="13"/>
  <c r="K784" i="13"/>
  <c r="J784" i="13"/>
  <c r="I784" i="13"/>
  <c r="H784" i="13"/>
  <c r="G784" i="13"/>
  <c r="K783" i="13"/>
  <c r="J783" i="13"/>
  <c r="I783" i="13"/>
  <c r="H783" i="13"/>
  <c r="G783" i="13"/>
  <c r="K782" i="13"/>
  <c r="J782" i="13"/>
  <c r="I782" i="13"/>
  <c r="H782" i="13"/>
  <c r="G782" i="13"/>
  <c r="K781" i="13"/>
  <c r="J781" i="13"/>
  <c r="I781" i="13"/>
  <c r="H781" i="13"/>
  <c r="G781" i="13"/>
  <c r="K780" i="13"/>
  <c r="J780" i="13"/>
  <c r="I780" i="13"/>
  <c r="H780" i="13"/>
  <c r="G780" i="13"/>
  <c r="K779" i="13"/>
  <c r="J779" i="13"/>
  <c r="I779" i="13"/>
  <c r="H779" i="13"/>
  <c r="G779" i="13"/>
  <c r="K778" i="13"/>
  <c r="J778" i="13"/>
  <c r="I778" i="13"/>
  <c r="H778" i="13"/>
  <c r="G778" i="13"/>
  <c r="K777" i="13"/>
  <c r="J777" i="13"/>
  <c r="I777" i="13"/>
  <c r="H777" i="13"/>
  <c r="G777" i="13"/>
  <c r="K776" i="13"/>
  <c r="J776" i="13"/>
  <c r="J775" i="13" s="1"/>
  <c r="I776" i="13"/>
  <c r="H776" i="13"/>
  <c r="G776" i="13"/>
  <c r="K768" i="13"/>
  <c r="J768" i="13"/>
  <c r="I768" i="13"/>
  <c r="H768" i="13"/>
  <c r="G768" i="13"/>
  <c r="L768" i="13" s="1"/>
  <c r="K767" i="13"/>
  <c r="J767" i="13"/>
  <c r="I767" i="13"/>
  <c r="H767" i="13"/>
  <c r="G767" i="13"/>
  <c r="K766" i="13"/>
  <c r="J766" i="13"/>
  <c r="I766" i="13"/>
  <c r="H766" i="13"/>
  <c r="G766" i="13"/>
  <c r="K765" i="13"/>
  <c r="J765" i="13"/>
  <c r="I765" i="13"/>
  <c r="H765" i="13"/>
  <c r="G765" i="13"/>
  <c r="K764" i="13"/>
  <c r="J764" i="13"/>
  <c r="I764" i="13"/>
  <c r="H764" i="13"/>
  <c r="G764" i="13"/>
  <c r="L764" i="13" s="1"/>
  <c r="X755" i="13" s="1"/>
  <c r="K763" i="13"/>
  <c r="J763" i="13"/>
  <c r="I763" i="13"/>
  <c r="H763" i="13"/>
  <c r="G763" i="13"/>
  <c r="K762" i="13"/>
  <c r="J762" i="13"/>
  <c r="I762" i="13"/>
  <c r="H762" i="13"/>
  <c r="G762" i="13"/>
  <c r="K761" i="13"/>
  <c r="J761" i="13"/>
  <c r="I761" i="13"/>
  <c r="H761" i="13"/>
  <c r="G761" i="13"/>
  <c r="K760" i="13"/>
  <c r="K759" i="13" s="1"/>
  <c r="J760" i="13"/>
  <c r="I760" i="13"/>
  <c r="H760" i="13"/>
  <c r="G760" i="13"/>
  <c r="K752" i="13"/>
  <c r="J752" i="13"/>
  <c r="I752" i="13"/>
  <c r="H752" i="13"/>
  <c r="G752" i="13"/>
  <c r="K751" i="13"/>
  <c r="J751" i="13"/>
  <c r="I751" i="13"/>
  <c r="H751" i="13"/>
  <c r="G751" i="13"/>
  <c r="K750" i="13"/>
  <c r="J750" i="13"/>
  <c r="I750" i="13"/>
  <c r="H750" i="13"/>
  <c r="G750" i="13"/>
  <c r="K749" i="13"/>
  <c r="J749" i="13"/>
  <c r="I749" i="13"/>
  <c r="H749" i="13"/>
  <c r="G749" i="13"/>
  <c r="L749" i="13" s="1"/>
  <c r="K748" i="13"/>
  <c r="J748" i="13"/>
  <c r="I748" i="13"/>
  <c r="H748" i="13"/>
  <c r="G748" i="13"/>
  <c r="K747" i="13"/>
  <c r="J747" i="13"/>
  <c r="I747" i="13"/>
  <c r="H747" i="13"/>
  <c r="G747" i="13"/>
  <c r="K746" i="13"/>
  <c r="J746" i="13"/>
  <c r="I746" i="13"/>
  <c r="H746" i="13"/>
  <c r="G746" i="13"/>
  <c r="K745" i="13"/>
  <c r="J745" i="13"/>
  <c r="I745" i="13"/>
  <c r="H745" i="13"/>
  <c r="G745" i="13"/>
  <c r="L745" i="13" s="1"/>
  <c r="K744" i="13"/>
  <c r="J744" i="13"/>
  <c r="I744" i="13"/>
  <c r="H744" i="13"/>
  <c r="G744" i="13"/>
  <c r="K736" i="13"/>
  <c r="J736" i="13"/>
  <c r="I736" i="13"/>
  <c r="H736" i="13"/>
  <c r="G736" i="13"/>
  <c r="K735" i="13"/>
  <c r="J735" i="13"/>
  <c r="I735" i="13"/>
  <c r="H735" i="13"/>
  <c r="G735" i="13"/>
  <c r="K734" i="13"/>
  <c r="J734" i="13"/>
  <c r="I734" i="13"/>
  <c r="H734" i="13"/>
  <c r="G734" i="13"/>
  <c r="K733" i="13"/>
  <c r="J733" i="13"/>
  <c r="I733" i="13"/>
  <c r="H733" i="13"/>
  <c r="G733" i="13"/>
  <c r="K732" i="13"/>
  <c r="J732" i="13"/>
  <c r="I732" i="13"/>
  <c r="H732" i="13"/>
  <c r="G732" i="13"/>
  <c r="K731" i="13"/>
  <c r="J731" i="13"/>
  <c r="I731" i="13"/>
  <c r="H731" i="13"/>
  <c r="G731" i="13"/>
  <c r="K730" i="13"/>
  <c r="J730" i="13"/>
  <c r="I730" i="13"/>
  <c r="H730" i="13"/>
  <c r="G730" i="13"/>
  <c r="L730" i="13" s="1"/>
  <c r="K729" i="13"/>
  <c r="J729" i="13"/>
  <c r="I729" i="13"/>
  <c r="H729" i="13"/>
  <c r="G729" i="13"/>
  <c r="K728" i="13"/>
  <c r="J728" i="13"/>
  <c r="I728" i="13"/>
  <c r="H728" i="13"/>
  <c r="G728" i="13"/>
  <c r="K720" i="13"/>
  <c r="J720" i="13"/>
  <c r="I720" i="13"/>
  <c r="H720" i="13"/>
  <c r="G720" i="13"/>
  <c r="K719" i="13"/>
  <c r="J719" i="13"/>
  <c r="I719" i="13"/>
  <c r="H719" i="13"/>
  <c r="G719" i="13"/>
  <c r="K718" i="13"/>
  <c r="J718" i="13"/>
  <c r="I718" i="13"/>
  <c r="H718" i="13"/>
  <c r="G718" i="13"/>
  <c r="K717" i="13"/>
  <c r="J717" i="13"/>
  <c r="I717" i="13"/>
  <c r="H717" i="13"/>
  <c r="G717" i="13"/>
  <c r="K716" i="13"/>
  <c r="J716" i="13"/>
  <c r="I716" i="13"/>
  <c r="H716" i="13"/>
  <c r="G716" i="13"/>
  <c r="K715" i="13"/>
  <c r="J715" i="13"/>
  <c r="I715" i="13"/>
  <c r="H715" i="13"/>
  <c r="G715" i="13"/>
  <c r="K714" i="13"/>
  <c r="J714" i="13"/>
  <c r="I714" i="13"/>
  <c r="H714" i="13"/>
  <c r="G714" i="13"/>
  <c r="K713" i="13"/>
  <c r="J713" i="13"/>
  <c r="I713" i="13"/>
  <c r="H713" i="13"/>
  <c r="G713" i="13"/>
  <c r="K712" i="13"/>
  <c r="J712" i="13"/>
  <c r="I712" i="13"/>
  <c r="H712" i="13"/>
  <c r="G712" i="13"/>
  <c r="K704" i="13"/>
  <c r="J704" i="13"/>
  <c r="I704" i="13"/>
  <c r="H704" i="13"/>
  <c r="G704" i="13"/>
  <c r="K703" i="13"/>
  <c r="J703" i="13"/>
  <c r="I703" i="13"/>
  <c r="H703" i="13"/>
  <c r="G703" i="13"/>
  <c r="K702" i="13"/>
  <c r="J702" i="13"/>
  <c r="I702" i="13"/>
  <c r="H702" i="13"/>
  <c r="G702" i="13"/>
  <c r="K701" i="13"/>
  <c r="J701" i="13"/>
  <c r="I701" i="13"/>
  <c r="H701" i="13"/>
  <c r="G701" i="13"/>
  <c r="K700" i="13"/>
  <c r="J700" i="13"/>
  <c r="I700" i="13"/>
  <c r="H700" i="13"/>
  <c r="G700" i="13"/>
  <c r="K699" i="13"/>
  <c r="J699" i="13"/>
  <c r="I699" i="13"/>
  <c r="H699" i="13"/>
  <c r="G699" i="13"/>
  <c r="K698" i="13"/>
  <c r="J698" i="13"/>
  <c r="I698" i="13"/>
  <c r="H698" i="13"/>
  <c r="G698" i="13"/>
  <c r="L698" i="13" s="1"/>
  <c r="K697" i="13"/>
  <c r="J697" i="13"/>
  <c r="I697" i="13"/>
  <c r="H697" i="13"/>
  <c r="G697" i="13"/>
  <c r="K696" i="13"/>
  <c r="K695" i="13" s="1"/>
  <c r="J696" i="13"/>
  <c r="I696" i="13"/>
  <c r="H696" i="13"/>
  <c r="G696" i="13"/>
  <c r="G695" i="13" s="1"/>
  <c r="K688" i="13"/>
  <c r="J688" i="13"/>
  <c r="I688" i="13"/>
  <c r="H688" i="13"/>
  <c r="G688" i="13"/>
  <c r="K687" i="13"/>
  <c r="J687" i="13"/>
  <c r="I687" i="13"/>
  <c r="H687" i="13"/>
  <c r="G687" i="13"/>
  <c r="K686" i="13"/>
  <c r="J686" i="13"/>
  <c r="I686" i="13"/>
  <c r="H686" i="13"/>
  <c r="G686" i="13"/>
  <c r="K685" i="13"/>
  <c r="J685" i="13"/>
  <c r="I685" i="13"/>
  <c r="H685" i="13"/>
  <c r="G685" i="13"/>
  <c r="L685" i="13" s="1"/>
  <c r="K684" i="13"/>
  <c r="J684" i="13"/>
  <c r="I684" i="13"/>
  <c r="H684" i="13"/>
  <c r="G684" i="13"/>
  <c r="K683" i="13"/>
  <c r="J683" i="13"/>
  <c r="I683" i="13"/>
  <c r="H683" i="13"/>
  <c r="G683" i="13"/>
  <c r="K682" i="13"/>
  <c r="J682" i="13"/>
  <c r="I682" i="13"/>
  <c r="H682" i="13"/>
  <c r="G682" i="13"/>
  <c r="K681" i="13"/>
  <c r="J681" i="13"/>
  <c r="I681" i="13"/>
  <c r="H681" i="13"/>
  <c r="G681" i="13"/>
  <c r="L681" i="13" s="1"/>
  <c r="K680" i="13"/>
  <c r="J680" i="13"/>
  <c r="I680" i="13"/>
  <c r="H680" i="13"/>
  <c r="H679" i="13" s="1"/>
  <c r="G680" i="13"/>
  <c r="K672" i="13"/>
  <c r="J672" i="13"/>
  <c r="I672" i="13"/>
  <c r="H672" i="13"/>
  <c r="G672" i="13"/>
  <c r="K671" i="13"/>
  <c r="J671" i="13"/>
  <c r="I671" i="13"/>
  <c r="H671" i="13"/>
  <c r="G671" i="13"/>
  <c r="K670" i="13"/>
  <c r="J670" i="13"/>
  <c r="I670" i="13"/>
  <c r="H670" i="13"/>
  <c r="G670" i="13"/>
  <c r="L670" i="13" s="1"/>
  <c r="W659" i="13" s="1"/>
  <c r="K669" i="13"/>
  <c r="J669" i="13"/>
  <c r="I669" i="13"/>
  <c r="H669" i="13"/>
  <c r="G669" i="13"/>
  <c r="K668" i="13"/>
  <c r="J668" i="13"/>
  <c r="I668" i="13"/>
  <c r="H668" i="13"/>
  <c r="G668" i="13"/>
  <c r="K667" i="13"/>
  <c r="J667" i="13"/>
  <c r="I667" i="13"/>
  <c r="H667" i="13"/>
  <c r="G667" i="13"/>
  <c r="K666" i="13"/>
  <c r="J666" i="13"/>
  <c r="I666" i="13"/>
  <c r="H666" i="13"/>
  <c r="G666" i="13"/>
  <c r="K665" i="13"/>
  <c r="J665" i="13"/>
  <c r="I665" i="13"/>
  <c r="H665" i="13"/>
  <c r="G665" i="13"/>
  <c r="K664" i="13"/>
  <c r="J664" i="13"/>
  <c r="I664" i="13"/>
  <c r="H664" i="13"/>
  <c r="G664" i="13"/>
  <c r="K656" i="13"/>
  <c r="J656" i="13"/>
  <c r="I656" i="13"/>
  <c r="H656" i="13"/>
  <c r="G656" i="13"/>
  <c r="K655" i="13"/>
  <c r="J655" i="13"/>
  <c r="I655" i="13"/>
  <c r="H655" i="13"/>
  <c r="G655" i="13"/>
  <c r="K654" i="13"/>
  <c r="J654" i="13"/>
  <c r="I654" i="13"/>
  <c r="H654" i="13"/>
  <c r="G654" i="13"/>
  <c r="K653" i="13"/>
  <c r="J653" i="13"/>
  <c r="I653" i="13"/>
  <c r="H653" i="13"/>
  <c r="G653" i="13"/>
  <c r="K652" i="13"/>
  <c r="J652" i="13"/>
  <c r="I652" i="13"/>
  <c r="H652" i="13"/>
  <c r="G652" i="13"/>
  <c r="K651" i="13"/>
  <c r="J651" i="13"/>
  <c r="I651" i="13"/>
  <c r="H651" i="13"/>
  <c r="G651" i="13"/>
  <c r="K650" i="13"/>
  <c r="J650" i="13"/>
  <c r="I650" i="13"/>
  <c r="H650" i="13"/>
  <c r="G650" i="13"/>
  <c r="K649" i="13"/>
  <c r="J649" i="13"/>
  <c r="I649" i="13"/>
  <c r="H649" i="13"/>
  <c r="G649" i="13"/>
  <c r="K648" i="13"/>
  <c r="J648" i="13"/>
  <c r="I648" i="13"/>
  <c r="H648" i="13"/>
  <c r="G648" i="13"/>
  <c r="K640" i="13"/>
  <c r="J640" i="13"/>
  <c r="I640" i="13"/>
  <c r="H640" i="13"/>
  <c r="G640" i="13"/>
  <c r="K639" i="13"/>
  <c r="J639" i="13"/>
  <c r="I639" i="13"/>
  <c r="H639" i="13"/>
  <c r="G639" i="13"/>
  <c r="K638" i="13"/>
  <c r="J638" i="13"/>
  <c r="I638" i="13"/>
  <c r="H638" i="13"/>
  <c r="G638" i="13"/>
  <c r="K637" i="13"/>
  <c r="J637" i="13"/>
  <c r="I637" i="13"/>
  <c r="H637" i="13"/>
  <c r="G637" i="13"/>
  <c r="K636" i="13"/>
  <c r="J636" i="13"/>
  <c r="I636" i="13"/>
  <c r="H636" i="13"/>
  <c r="G636" i="13"/>
  <c r="K635" i="13"/>
  <c r="J635" i="13"/>
  <c r="I635" i="13"/>
  <c r="H635" i="13"/>
  <c r="G635" i="13"/>
  <c r="K634" i="13"/>
  <c r="J634" i="13"/>
  <c r="I634" i="13"/>
  <c r="H634" i="13"/>
  <c r="G634" i="13"/>
  <c r="K633" i="13"/>
  <c r="J633" i="13"/>
  <c r="I633" i="13"/>
  <c r="H633" i="13"/>
  <c r="G633" i="13"/>
  <c r="K632" i="13"/>
  <c r="J632" i="13"/>
  <c r="I632" i="13"/>
  <c r="H632" i="13"/>
  <c r="G632" i="13"/>
  <c r="K624" i="13"/>
  <c r="J624" i="13"/>
  <c r="I624" i="13"/>
  <c r="H624" i="13"/>
  <c r="G624" i="13"/>
  <c r="K623" i="13"/>
  <c r="J623" i="13"/>
  <c r="I623" i="13"/>
  <c r="H623" i="13"/>
  <c r="G623" i="13"/>
  <c r="K622" i="13"/>
  <c r="J622" i="13"/>
  <c r="I622" i="13"/>
  <c r="H622" i="13"/>
  <c r="G622" i="13"/>
  <c r="K621" i="13"/>
  <c r="J621" i="13"/>
  <c r="I621" i="13"/>
  <c r="H621" i="13"/>
  <c r="G621" i="13"/>
  <c r="K620" i="13"/>
  <c r="J620" i="13"/>
  <c r="I620" i="13"/>
  <c r="H620" i="13"/>
  <c r="G620" i="13"/>
  <c r="K619" i="13"/>
  <c r="J619" i="13"/>
  <c r="I619" i="13"/>
  <c r="H619" i="13"/>
  <c r="G619" i="13"/>
  <c r="K618" i="13"/>
  <c r="J618" i="13"/>
  <c r="I618" i="13"/>
  <c r="H618" i="13"/>
  <c r="G618" i="13"/>
  <c r="K617" i="13"/>
  <c r="J617" i="13"/>
  <c r="I617" i="13"/>
  <c r="H617" i="13"/>
  <c r="G617" i="13"/>
  <c r="K616" i="13"/>
  <c r="J616" i="13"/>
  <c r="I616" i="13"/>
  <c r="H616" i="13"/>
  <c r="G616" i="13"/>
  <c r="K608" i="13"/>
  <c r="J608" i="13"/>
  <c r="I608" i="13"/>
  <c r="H608" i="13"/>
  <c r="G608" i="13"/>
  <c r="K607" i="13"/>
  <c r="J607" i="13"/>
  <c r="I607" i="13"/>
  <c r="H607" i="13"/>
  <c r="G607" i="13"/>
  <c r="K606" i="13"/>
  <c r="J606" i="13"/>
  <c r="I606" i="13"/>
  <c r="H606" i="13"/>
  <c r="G606" i="13"/>
  <c r="K605" i="13"/>
  <c r="J605" i="13"/>
  <c r="I605" i="13"/>
  <c r="H605" i="13"/>
  <c r="G605" i="13"/>
  <c r="K604" i="13"/>
  <c r="J604" i="13"/>
  <c r="I604" i="13"/>
  <c r="H604" i="13"/>
  <c r="G604" i="13"/>
  <c r="K603" i="13"/>
  <c r="J603" i="13"/>
  <c r="I603" i="13"/>
  <c r="H603" i="13"/>
  <c r="G603" i="13"/>
  <c r="K602" i="13"/>
  <c r="J602" i="13"/>
  <c r="I602" i="13"/>
  <c r="H602" i="13"/>
  <c r="G602" i="13"/>
  <c r="K601" i="13"/>
  <c r="J601" i="13"/>
  <c r="I601" i="13"/>
  <c r="H601" i="13"/>
  <c r="G601" i="13"/>
  <c r="K600" i="13"/>
  <c r="J600" i="13"/>
  <c r="I600" i="13"/>
  <c r="H600" i="13"/>
  <c r="G600" i="13"/>
  <c r="K592" i="13"/>
  <c r="J592" i="13"/>
  <c r="I592" i="13"/>
  <c r="H592" i="13"/>
  <c r="G592" i="13"/>
  <c r="K591" i="13"/>
  <c r="J591" i="13"/>
  <c r="I591" i="13"/>
  <c r="H591" i="13"/>
  <c r="G591" i="13"/>
  <c r="K590" i="13"/>
  <c r="J590" i="13"/>
  <c r="I590" i="13"/>
  <c r="H590" i="13"/>
  <c r="G590" i="13"/>
  <c r="K589" i="13"/>
  <c r="J589" i="13"/>
  <c r="I589" i="13"/>
  <c r="H589" i="13"/>
  <c r="G589" i="13"/>
  <c r="K588" i="13"/>
  <c r="J588" i="13"/>
  <c r="I588" i="13"/>
  <c r="H588" i="13"/>
  <c r="G588" i="13"/>
  <c r="K587" i="13"/>
  <c r="J587" i="13"/>
  <c r="I587" i="13"/>
  <c r="H587" i="13"/>
  <c r="G587" i="13"/>
  <c r="K586" i="13"/>
  <c r="J586" i="13"/>
  <c r="I586" i="13"/>
  <c r="H586" i="13"/>
  <c r="G586" i="13"/>
  <c r="K585" i="13"/>
  <c r="J585" i="13"/>
  <c r="I585" i="13"/>
  <c r="H585" i="13"/>
  <c r="G585" i="13"/>
  <c r="K584" i="13"/>
  <c r="J584" i="13"/>
  <c r="I584" i="13"/>
  <c r="H584" i="13"/>
  <c r="G584" i="13"/>
  <c r="K576" i="13"/>
  <c r="J576" i="13"/>
  <c r="I576" i="13"/>
  <c r="H576" i="13"/>
  <c r="G576" i="13"/>
  <c r="K575" i="13"/>
  <c r="J575" i="13"/>
  <c r="I575" i="13"/>
  <c r="H575" i="13"/>
  <c r="G575" i="13"/>
  <c r="K574" i="13"/>
  <c r="J574" i="13"/>
  <c r="I574" i="13"/>
  <c r="H574" i="13"/>
  <c r="G574" i="13"/>
  <c r="K573" i="13"/>
  <c r="J573" i="13"/>
  <c r="I573" i="13"/>
  <c r="H573" i="13"/>
  <c r="G573" i="13"/>
  <c r="K572" i="13"/>
  <c r="J572" i="13"/>
  <c r="I572" i="13"/>
  <c r="H572" i="13"/>
  <c r="G572" i="13"/>
  <c r="K571" i="13"/>
  <c r="J571" i="13"/>
  <c r="I571" i="13"/>
  <c r="H571" i="13"/>
  <c r="G571" i="13"/>
  <c r="K570" i="13"/>
  <c r="J570" i="13"/>
  <c r="I570" i="13"/>
  <c r="H570" i="13"/>
  <c r="G570" i="13"/>
  <c r="K569" i="13"/>
  <c r="J569" i="13"/>
  <c r="I569" i="13"/>
  <c r="H569" i="13"/>
  <c r="G569" i="13"/>
  <c r="K568" i="13"/>
  <c r="J568" i="13"/>
  <c r="I568" i="13"/>
  <c r="H568" i="13"/>
  <c r="G568" i="13"/>
  <c r="K560" i="13"/>
  <c r="J560" i="13"/>
  <c r="I560" i="13"/>
  <c r="H560" i="13"/>
  <c r="G560" i="13"/>
  <c r="K559" i="13"/>
  <c r="J559" i="13"/>
  <c r="I559" i="13"/>
  <c r="H559" i="13"/>
  <c r="G559" i="13"/>
  <c r="K558" i="13"/>
  <c r="J558" i="13"/>
  <c r="I558" i="13"/>
  <c r="H558" i="13"/>
  <c r="G558" i="13"/>
  <c r="K557" i="13"/>
  <c r="J557" i="13"/>
  <c r="I557" i="13"/>
  <c r="H557" i="13"/>
  <c r="G557" i="13"/>
  <c r="K556" i="13"/>
  <c r="J556" i="13"/>
  <c r="I556" i="13"/>
  <c r="H556" i="13"/>
  <c r="G556" i="13"/>
  <c r="K555" i="13"/>
  <c r="J555" i="13"/>
  <c r="I555" i="13"/>
  <c r="H555" i="13"/>
  <c r="G555" i="13"/>
  <c r="K554" i="13"/>
  <c r="J554" i="13"/>
  <c r="I554" i="13"/>
  <c r="H554" i="13"/>
  <c r="G554" i="13"/>
  <c r="K553" i="13"/>
  <c r="J553" i="13"/>
  <c r="I553" i="13"/>
  <c r="H553" i="13"/>
  <c r="G553" i="13"/>
  <c r="K552" i="13"/>
  <c r="J552" i="13"/>
  <c r="I552" i="13"/>
  <c r="H552" i="13"/>
  <c r="G552" i="13"/>
  <c r="K544" i="13"/>
  <c r="J544" i="13"/>
  <c r="I544" i="13"/>
  <c r="H544" i="13"/>
  <c r="G544" i="13"/>
  <c r="K543" i="13"/>
  <c r="J543" i="13"/>
  <c r="I543" i="13"/>
  <c r="H543" i="13"/>
  <c r="G543" i="13"/>
  <c r="K542" i="13"/>
  <c r="J542" i="13"/>
  <c r="I542" i="13"/>
  <c r="H542" i="13"/>
  <c r="G542" i="13"/>
  <c r="K541" i="13"/>
  <c r="J541" i="13"/>
  <c r="I541" i="13"/>
  <c r="H541" i="13"/>
  <c r="G541" i="13"/>
  <c r="K540" i="13"/>
  <c r="J540" i="13"/>
  <c r="I540" i="13"/>
  <c r="H540" i="13"/>
  <c r="G540" i="13"/>
  <c r="K539" i="13"/>
  <c r="J539" i="13"/>
  <c r="I539" i="13"/>
  <c r="H539" i="13"/>
  <c r="G539" i="13"/>
  <c r="K538" i="13"/>
  <c r="J538" i="13"/>
  <c r="I538" i="13"/>
  <c r="H538" i="13"/>
  <c r="G538" i="13"/>
  <c r="K537" i="13"/>
  <c r="J537" i="13"/>
  <c r="I537" i="13"/>
  <c r="H537" i="13"/>
  <c r="G537" i="13"/>
  <c r="K536" i="13"/>
  <c r="J536" i="13"/>
  <c r="I536" i="13"/>
  <c r="H536" i="13"/>
  <c r="G536" i="13"/>
  <c r="K528" i="13"/>
  <c r="J528" i="13"/>
  <c r="I528" i="13"/>
  <c r="H528" i="13"/>
  <c r="G528" i="13"/>
  <c r="K527" i="13"/>
  <c r="J527" i="13"/>
  <c r="I527" i="13"/>
  <c r="H527" i="13"/>
  <c r="G527" i="13"/>
  <c r="K526" i="13"/>
  <c r="J526" i="13"/>
  <c r="I526" i="13"/>
  <c r="H526" i="13"/>
  <c r="G526" i="13"/>
  <c r="K525" i="13"/>
  <c r="J525" i="13"/>
  <c r="I525" i="13"/>
  <c r="H525" i="13"/>
  <c r="G525" i="13"/>
  <c r="K524" i="13"/>
  <c r="J524" i="13"/>
  <c r="I524" i="13"/>
  <c r="H524" i="13"/>
  <c r="G524" i="13"/>
  <c r="K523" i="13"/>
  <c r="J523" i="13"/>
  <c r="I523" i="13"/>
  <c r="H523" i="13"/>
  <c r="G523" i="13"/>
  <c r="K522" i="13"/>
  <c r="J522" i="13"/>
  <c r="I522" i="13"/>
  <c r="H522" i="13"/>
  <c r="G522" i="13"/>
  <c r="K521" i="13"/>
  <c r="J521" i="13"/>
  <c r="I521" i="13"/>
  <c r="H521" i="13"/>
  <c r="G521" i="13"/>
  <c r="K520" i="13"/>
  <c r="J520" i="13"/>
  <c r="I520" i="13"/>
  <c r="H520" i="13"/>
  <c r="G520" i="13"/>
  <c r="K512" i="13"/>
  <c r="J512" i="13"/>
  <c r="I512" i="13"/>
  <c r="H512" i="13"/>
  <c r="G512" i="13"/>
  <c r="K511" i="13"/>
  <c r="J511" i="13"/>
  <c r="I511" i="13"/>
  <c r="H511" i="13"/>
  <c r="G511" i="13"/>
  <c r="K510" i="13"/>
  <c r="J510" i="13"/>
  <c r="I510" i="13"/>
  <c r="H510" i="13"/>
  <c r="G510" i="13"/>
  <c r="K509" i="13"/>
  <c r="J509" i="13"/>
  <c r="I509" i="13"/>
  <c r="H509" i="13"/>
  <c r="G509" i="13"/>
  <c r="K508" i="13"/>
  <c r="J508" i="13"/>
  <c r="I508" i="13"/>
  <c r="H508" i="13"/>
  <c r="G508" i="13"/>
  <c r="K507" i="13"/>
  <c r="J507" i="13"/>
  <c r="I507" i="13"/>
  <c r="H507" i="13"/>
  <c r="G507" i="13"/>
  <c r="K506" i="13"/>
  <c r="J506" i="13"/>
  <c r="I506" i="13"/>
  <c r="H506" i="13"/>
  <c r="G506" i="13"/>
  <c r="K505" i="13"/>
  <c r="J505" i="13"/>
  <c r="I505" i="13"/>
  <c r="H505" i="13"/>
  <c r="G505" i="13"/>
  <c r="K504" i="13"/>
  <c r="J504" i="13"/>
  <c r="I504" i="13"/>
  <c r="H504" i="13"/>
  <c r="G504" i="13"/>
  <c r="K496" i="13"/>
  <c r="J496" i="13"/>
  <c r="I496" i="13"/>
  <c r="H496" i="13"/>
  <c r="G496" i="13"/>
  <c r="K495" i="13"/>
  <c r="J495" i="13"/>
  <c r="I495" i="13"/>
  <c r="H495" i="13"/>
  <c r="G495" i="13"/>
  <c r="K494" i="13"/>
  <c r="J494" i="13"/>
  <c r="I494" i="13"/>
  <c r="H494" i="13"/>
  <c r="G494" i="13"/>
  <c r="K493" i="13"/>
  <c r="J493" i="13"/>
  <c r="I493" i="13"/>
  <c r="H493" i="13"/>
  <c r="G493" i="13"/>
  <c r="K492" i="13"/>
  <c r="J492" i="13"/>
  <c r="I492" i="13"/>
  <c r="H492" i="13"/>
  <c r="G492" i="13"/>
  <c r="K491" i="13"/>
  <c r="J491" i="13"/>
  <c r="I491" i="13"/>
  <c r="H491" i="13"/>
  <c r="G491" i="13"/>
  <c r="K490" i="13"/>
  <c r="J490" i="13"/>
  <c r="I490" i="13"/>
  <c r="H490" i="13"/>
  <c r="G490" i="13"/>
  <c r="K489" i="13"/>
  <c r="J489" i="13"/>
  <c r="I489" i="13"/>
  <c r="H489" i="13"/>
  <c r="G489" i="13"/>
  <c r="K488" i="13"/>
  <c r="J488" i="13"/>
  <c r="I488" i="13"/>
  <c r="H488" i="13"/>
  <c r="G488" i="13"/>
  <c r="K480" i="13"/>
  <c r="J480" i="13"/>
  <c r="I480" i="13"/>
  <c r="H480" i="13"/>
  <c r="G480" i="13"/>
  <c r="K479" i="13"/>
  <c r="J479" i="13"/>
  <c r="I479" i="13"/>
  <c r="H479" i="13"/>
  <c r="G479" i="13"/>
  <c r="K478" i="13"/>
  <c r="J478" i="13"/>
  <c r="I478" i="13"/>
  <c r="H478" i="13"/>
  <c r="G478" i="13"/>
  <c r="K477" i="13"/>
  <c r="J477" i="13"/>
  <c r="I477" i="13"/>
  <c r="H477" i="13"/>
  <c r="G477" i="13"/>
  <c r="K476" i="13"/>
  <c r="J476" i="13"/>
  <c r="I476" i="13"/>
  <c r="H476" i="13"/>
  <c r="G476" i="13"/>
  <c r="K475" i="13"/>
  <c r="J475" i="13"/>
  <c r="I475" i="13"/>
  <c r="H475" i="13"/>
  <c r="G475" i="13"/>
  <c r="K474" i="13"/>
  <c r="J474" i="13"/>
  <c r="I474" i="13"/>
  <c r="H474" i="13"/>
  <c r="G474" i="13"/>
  <c r="K473" i="13"/>
  <c r="J473" i="13"/>
  <c r="I473" i="13"/>
  <c r="H473" i="13"/>
  <c r="G473" i="13"/>
  <c r="K472" i="13"/>
  <c r="J472" i="13"/>
  <c r="I472" i="13"/>
  <c r="H472" i="13"/>
  <c r="G472" i="13"/>
  <c r="K464" i="13"/>
  <c r="J464" i="13"/>
  <c r="I464" i="13"/>
  <c r="H464" i="13"/>
  <c r="G464" i="13"/>
  <c r="K463" i="13"/>
  <c r="J463" i="13"/>
  <c r="I463" i="13"/>
  <c r="H463" i="13"/>
  <c r="G463" i="13"/>
  <c r="K462" i="13"/>
  <c r="J462" i="13"/>
  <c r="I462" i="13"/>
  <c r="H462" i="13"/>
  <c r="G462" i="13"/>
  <c r="K461" i="13"/>
  <c r="J461" i="13"/>
  <c r="I461" i="13"/>
  <c r="H461" i="13"/>
  <c r="G461" i="13"/>
  <c r="K460" i="13"/>
  <c r="J460" i="13"/>
  <c r="I460" i="13"/>
  <c r="H460" i="13"/>
  <c r="G460" i="13"/>
  <c r="K459" i="13"/>
  <c r="J459" i="13"/>
  <c r="I459" i="13"/>
  <c r="H459" i="13"/>
  <c r="G459" i="13"/>
  <c r="K458" i="13"/>
  <c r="J458" i="13"/>
  <c r="I458" i="13"/>
  <c r="H458" i="13"/>
  <c r="G458" i="13"/>
  <c r="K457" i="13"/>
  <c r="J457" i="13"/>
  <c r="I457" i="13"/>
  <c r="H457" i="13"/>
  <c r="G457" i="13"/>
  <c r="K456" i="13"/>
  <c r="J456" i="13"/>
  <c r="I456" i="13"/>
  <c r="H456" i="13"/>
  <c r="G456" i="13"/>
  <c r="K448" i="13"/>
  <c r="J448" i="13"/>
  <c r="I448" i="13"/>
  <c r="H448" i="13"/>
  <c r="G448" i="13"/>
  <c r="K447" i="13"/>
  <c r="J447" i="13"/>
  <c r="I447" i="13"/>
  <c r="H447" i="13"/>
  <c r="G447" i="13"/>
  <c r="K446" i="13"/>
  <c r="J446" i="13"/>
  <c r="I446" i="13"/>
  <c r="H446" i="13"/>
  <c r="G446" i="13"/>
  <c r="K445" i="13"/>
  <c r="J445" i="13"/>
  <c r="I445" i="13"/>
  <c r="H445" i="13"/>
  <c r="G445" i="13"/>
  <c r="K444" i="13"/>
  <c r="J444" i="13"/>
  <c r="I444" i="13"/>
  <c r="H444" i="13"/>
  <c r="G444" i="13"/>
  <c r="K443" i="13"/>
  <c r="J443" i="13"/>
  <c r="I443" i="13"/>
  <c r="H443" i="13"/>
  <c r="G443" i="13"/>
  <c r="K442" i="13"/>
  <c r="J442" i="13"/>
  <c r="I442" i="13"/>
  <c r="H442" i="13"/>
  <c r="G442" i="13"/>
  <c r="K441" i="13"/>
  <c r="J441" i="13"/>
  <c r="I441" i="13"/>
  <c r="H441" i="13"/>
  <c r="G441" i="13"/>
  <c r="K440" i="13"/>
  <c r="J440" i="13"/>
  <c r="I440" i="13"/>
  <c r="H440" i="13"/>
  <c r="G440" i="13"/>
  <c r="K432" i="13"/>
  <c r="J432" i="13"/>
  <c r="I432" i="13"/>
  <c r="H432" i="13"/>
  <c r="G432" i="13"/>
  <c r="K431" i="13"/>
  <c r="J431" i="13"/>
  <c r="I431" i="13"/>
  <c r="H431" i="13"/>
  <c r="G431" i="13"/>
  <c r="K430" i="13"/>
  <c r="J430" i="13"/>
  <c r="I430" i="13"/>
  <c r="H430" i="13"/>
  <c r="G430" i="13"/>
  <c r="K429" i="13"/>
  <c r="J429" i="13"/>
  <c r="I429" i="13"/>
  <c r="H429" i="13"/>
  <c r="G429" i="13"/>
  <c r="K428" i="13"/>
  <c r="J428" i="13"/>
  <c r="I428" i="13"/>
  <c r="H428" i="13"/>
  <c r="G428" i="13"/>
  <c r="K427" i="13"/>
  <c r="J427" i="13"/>
  <c r="I427" i="13"/>
  <c r="H427" i="13"/>
  <c r="G427" i="13"/>
  <c r="K426" i="13"/>
  <c r="J426" i="13"/>
  <c r="I426" i="13"/>
  <c r="H426" i="13"/>
  <c r="G426" i="13"/>
  <c r="K425" i="13"/>
  <c r="J425" i="13"/>
  <c r="I425" i="13"/>
  <c r="H425" i="13"/>
  <c r="G425" i="13"/>
  <c r="K424" i="13"/>
  <c r="J424" i="13"/>
  <c r="I424" i="13"/>
  <c r="H424" i="13"/>
  <c r="G424" i="13"/>
  <c r="K416" i="13"/>
  <c r="J416" i="13"/>
  <c r="I416" i="13"/>
  <c r="H416" i="13"/>
  <c r="G416" i="13"/>
  <c r="K415" i="13"/>
  <c r="J415" i="13"/>
  <c r="I415" i="13"/>
  <c r="H415" i="13"/>
  <c r="G415" i="13"/>
  <c r="K414" i="13"/>
  <c r="J414" i="13"/>
  <c r="I414" i="13"/>
  <c r="H414" i="13"/>
  <c r="G414" i="13"/>
  <c r="K413" i="13"/>
  <c r="J413" i="13"/>
  <c r="I413" i="13"/>
  <c r="H413" i="13"/>
  <c r="G413" i="13"/>
  <c r="K412" i="13"/>
  <c r="J412" i="13"/>
  <c r="I412" i="13"/>
  <c r="H412" i="13"/>
  <c r="G412" i="13"/>
  <c r="K411" i="13"/>
  <c r="J411" i="13"/>
  <c r="I411" i="13"/>
  <c r="H411" i="13"/>
  <c r="G411" i="13"/>
  <c r="K410" i="13"/>
  <c r="J410" i="13"/>
  <c r="I410" i="13"/>
  <c r="H410" i="13"/>
  <c r="G410" i="13"/>
  <c r="K409" i="13"/>
  <c r="J409" i="13"/>
  <c r="I409" i="13"/>
  <c r="H409" i="13"/>
  <c r="G409" i="13"/>
  <c r="K408" i="13"/>
  <c r="J408" i="13"/>
  <c r="I408" i="13"/>
  <c r="H408" i="13"/>
  <c r="G408" i="13"/>
  <c r="K400" i="13"/>
  <c r="J400" i="13"/>
  <c r="I400" i="13"/>
  <c r="H400" i="13"/>
  <c r="G400" i="13"/>
  <c r="K399" i="13"/>
  <c r="J399" i="13"/>
  <c r="I399" i="13"/>
  <c r="H399" i="13"/>
  <c r="G399" i="13"/>
  <c r="K398" i="13"/>
  <c r="J398" i="13"/>
  <c r="I398" i="13"/>
  <c r="H398" i="13"/>
  <c r="G398" i="13"/>
  <c r="K397" i="13"/>
  <c r="J397" i="13"/>
  <c r="I397" i="13"/>
  <c r="H397" i="13"/>
  <c r="G397" i="13"/>
  <c r="K396" i="13"/>
  <c r="J396" i="13"/>
  <c r="I396" i="13"/>
  <c r="H396" i="13"/>
  <c r="G396" i="13"/>
  <c r="K395" i="13"/>
  <c r="J395" i="13"/>
  <c r="I395" i="13"/>
  <c r="H395" i="13"/>
  <c r="G395" i="13"/>
  <c r="K394" i="13"/>
  <c r="J394" i="13"/>
  <c r="I394" i="13"/>
  <c r="H394" i="13"/>
  <c r="G394" i="13"/>
  <c r="K393" i="13"/>
  <c r="J393" i="13"/>
  <c r="I393" i="13"/>
  <c r="H393" i="13"/>
  <c r="G393" i="13"/>
  <c r="K392" i="13"/>
  <c r="J392" i="13"/>
  <c r="I392" i="13"/>
  <c r="H392" i="13"/>
  <c r="G392" i="13"/>
  <c r="K384" i="13"/>
  <c r="J384" i="13"/>
  <c r="I384" i="13"/>
  <c r="H384" i="13"/>
  <c r="G384" i="13"/>
  <c r="K383" i="13"/>
  <c r="J383" i="13"/>
  <c r="I383" i="13"/>
  <c r="H383" i="13"/>
  <c r="G383" i="13"/>
  <c r="K382" i="13"/>
  <c r="J382" i="13"/>
  <c r="I382" i="13"/>
  <c r="H382" i="13"/>
  <c r="G382" i="13"/>
  <c r="K381" i="13"/>
  <c r="J381" i="13"/>
  <c r="I381" i="13"/>
  <c r="H381" i="13"/>
  <c r="G381" i="13"/>
  <c r="K380" i="13"/>
  <c r="J380" i="13"/>
  <c r="I380" i="13"/>
  <c r="H380" i="13"/>
  <c r="G380" i="13"/>
  <c r="K379" i="13"/>
  <c r="J379" i="13"/>
  <c r="I379" i="13"/>
  <c r="H379" i="13"/>
  <c r="G379" i="13"/>
  <c r="K378" i="13"/>
  <c r="J378" i="13"/>
  <c r="I378" i="13"/>
  <c r="H378" i="13"/>
  <c r="G378" i="13"/>
  <c r="K377" i="13"/>
  <c r="J377" i="13"/>
  <c r="I377" i="13"/>
  <c r="H377" i="13"/>
  <c r="G377" i="13"/>
  <c r="K376" i="13"/>
  <c r="J376" i="13"/>
  <c r="I376" i="13"/>
  <c r="H376" i="13"/>
  <c r="G376" i="13"/>
  <c r="K368" i="13"/>
  <c r="J368" i="13"/>
  <c r="I368" i="13"/>
  <c r="H368" i="13"/>
  <c r="G368" i="13"/>
  <c r="K367" i="13"/>
  <c r="J367" i="13"/>
  <c r="I367" i="13"/>
  <c r="H367" i="13"/>
  <c r="G367" i="13"/>
  <c r="K366" i="13"/>
  <c r="J366" i="13"/>
  <c r="I366" i="13"/>
  <c r="H366" i="13"/>
  <c r="G366" i="13"/>
  <c r="K365" i="13"/>
  <c r="J365" i="13"/>
  <c r="I365" i="13"/>
  <c r="H365" i="13"/>
  <c r="G365" i="13"/>
  <c r="K364" i="13"/>
  <c r="J364" i="13"/>
  <c r="I364" i="13"/>
  <c r="H364" i="13"/>
  <c r="G364" i="13"/>
  <c r="K363" i="13"/>
  <c r="J363" i="13"/>
  <c r="I363" i="13"/>
  <c r="H363" i="13"/>
  <c r="G363" i="13"/>
  <c r="K362" i="13"/>
  <c r="J362" i="13"/>
  <c r="I362" i="13"/>
  <c r="H362" i="13"/>
  <c r="G362" i="13"/>
  <c r="K361" i="13"/>
  <c r="J361" i="13"/>
  <c r="I361" i="13"/>
  <c r="H361" i="13"/>
  <c r="G361" i="13"/>
  <c r="K360" i="13"/>
  <c r="J360" i="13"/>
  <c r="I360" i="13"/>
  <c r="H360" i="13"/>
  <c r="G360" i="13"/>
  <c r="K352" i="13"/>
  <c r="J352" i="13"/>
  <c r="I352" i="13"/>
  <c r="H352" i="13"/>
  <c r="G352" i="13"/>
  <c r="K351" i="13"/>
  <c r="J351" i="13"/>
  <c r="I351" i="13"/>
  <c r="H351" i="13"/>
  <c r="G351" i="13"/>
  <c r="K350" i="13"/>
  <c r="J350" i="13"/>
  <c r="I350" i="13"/>
  <c r="H350" i="13"/>
  <c r="G350" i="13"/>
  <c r="K349" i="13"/>
  <c r="J349" i="13"/>
  <c r="I349" i="13"/>
  <c r="H349" i="13"/>
  <c r="G349" i="13"/>
  <c r="K348" i="13"/>
  <c r="J348" i="13"/>
  <c r="I348" i="13"/>
  <c r="H348" i="13"/>
  <c r="G348" i="13"/>
  <c r="K347" i="13"/>
  <c r="J347" i="13"/>
  <c r="I347" i="13"/>
  <c r="H347" i="13"/>
  <c r="G347" i="13"/>
  <c r="K346" i="13"/>
  <c r="J346" i="13"/>
  <c r="I346" i="13"/>
  <c r="H346" i="13"/>
  <c r="G346" i="13"/>
  <c r="K345" i="13"/>
  <c r="J345" i="13"/>
  <c r="I345" i="13"/>
  <c r="H345" i="13"/>
  <c r="G345" i="13"/>
  <c r="K344" i="13"/>
  <c r="J344" i="13"/>
  <c r="I344" i="13"/>
  <c r="H344" i="13"/>
  <c r="G344" i="13"/>
  <c r="K336" i="13"/>
  <c r="J336" i="13"/>
  <c r="I336" i="13"/>
  <c r="H336" i="13"/>
  <c r="G336" i="13"/>
  <c r="K335" i="13"/>
  <c r="J335" i="13"/>
  <c r="I335" i="13"/>
  <c r="H335" i="13"/>
  <c r="G335" i="13"/>
  <c r="K334" i="13"/>
  <c r="J334" i="13"/>
  <c r="I334" i="13"/>
  <c r="H334" i="13"/>
  <c r="G334" i="13"/>
  <c r="K333" i="13"/>
  <c r="J333" i="13"/>
  <c r="I333" i="13"/>
  <c r="H333" i="13"/>
  <c r="G333" i="13"/>
  <c r="K332" i="13"/>
  <c r="J332" i="13"/>
  <c r="I332" i="13"/>
  <c r="H332" i="13"/>
  <c r="G332" i="13"/>
  <c r="K331" i="13"/>
  <c r="J331" i="13"/>
  <c r="I331" i="13"/>
  <c r="H331" i="13"/>
  <c r="G331" i="13"/>
  <c r="K330" i="13"/>
  <c r="J330" i="13"/>
  <c r="I330" i="13"/>
  <c r="H330" i="13"/>
  <c r="G330" i="13"/>
  <c r="K329" i="13"/>
  <c r="J329" i="13"/>
  <c r="I329" i="13"/>
  <c r="H329" i="13"/>
  <c r="G329" i="13"/>
  <c r="K328" i="13"/>
  <c r="J328" i="13"/>
  <c r="I328" i="13"/>
  <c r="H328" i="13"/>
  <c r="G328" i="13"/>
  <c r="K320" i="13"/>
  <c r="J320" i="13"/>
  <c r="I320" i="13"/>
  <c r="H320" i="13"/>
  <c r="G320" i="13"/>
  <c r="K319" i="13"/>
  <c r="J319" i="13"/>
  <c r="I319" i="13"/>
  <c r="H319" i="13"/>
  <c r="G319" i="13"/>
  <c r="K318" i="13"/>
  <c r="J318" i="13"/>
  <c r="I318" i="13"/>
  <c r="H318" i="13"/>
  <c r="G318" i="13"/>
  <c r="K317" i="13"/>
  <c r="J317" i="13"/>
  <c r="I317" i="13"/>
  <c r="H317" i="13"/>
  <c r="G317" i="13"/>
  <c r="K316" i="13"/>
  <c r="J316" i="13"/>
  <c r="I316" i="13"/>
  <c r="H316" i="13"/>
  <c r="G316" i="13"/>
  <c r="K315" i="13"/>
  <c r="J315" i="13"/>
  <c r="I315" i="13"/>
  <c r="H315" i="13"/>
  <c r="G315" i="13"/>
  <c r="K314" i="13"/>
  <c r="J314" i="13"/>
  <c r="I314" i="13"/>
  <c r="H314" i="13"/>
  <c r="G314" i="13"/>
  <c r="K313" i="13"/>
  <c r="J313" i="13"/>
  <c r="I313" i="13"/>
  <c r="H313" i="13"/>
  <c r="G313" i="13"/>
  <c r="K312" i="13"/>
  <c r="J312" i="13"/>
  <c r="I312" i="13"/>
  <c r="H312" i="13"/>
  <c r="G312" i="13"/>
  <c r="K304" i="13"/>
  <c r="J304" i="13"/>
  <c r="I304" i="13"/>
  <c r="H304" i="13"/>
  <c r="G304" i="13"/>
  <c r="K303" i="13"/>
  <c r="J303" i="13"/>
  <c r="I303" i="13"/>
  <c r="H303" i="13"/>
  <c r="G303" i="13"/>
  <c r="K302" i="13"/>
  <c r="J302" i="13"/>
  <c r="I302" i="13"/>
  <c r="H302" i="13"/>
  <c r="G302" i="13"/>
  <c r="K301" i="13"/>
  <c r="J301" i="13"/>
  <c r="I301" i="13"/>
  <c r="H301" i="13"/>
  <c r="G301" i="13"/>
  <c r="K300" i="13"/>
  <c r="J300" i="13"/>
  <c r="I300" i="13"/>
  <c r="H300" i="13"/>
  <c r="G300" i="13"/>
  <c r="K299" i="13"/>
  <c r="J299" i="13"/>
  <c r="I299" i="13"/>
  <c r="H299" i="13"/>
  <c r="G299" i="13"/>
  <c r="K298" i="13"/>
  <c r="J298" i="13"/>
  <c r="I298" i="13"/>
  <c r="H298" i="13"/>
  <c r="G298" i="13"/>
  <c r="K297" i="13"/>
  <c r="J297" i="13"/>
  <c r="I297" i="13"/>
  <c r="H297" i="13"/>
  <c r="G297" i="13"/>
  <c r="K296" i="13"/>
  <c r="J296" i="13"/>
  <c r="I296" i="13"/>
  <c r="H296" i="13"/>
  <c r="G296" i="13"/>
  <c r="K288" i="13"/>
  <c r="J288" i="13"/>
  <c r="I288" i="13"/>
  <c r="H288" i="13"/>
  <c r="G288" i="13"/>
  <c r="K287" i="13"/>
  <c r="J287" i="13"/>
  <c r="I287" i="13"/>
  <c r="H287" i="13"/>
  <c r="G287" i="13"/>
  <c r="K286" i="13"/>
  <c r="J286" i="13"/>
  <c r="I286" i="13"/>
  <c r="H286" i="13"/>
  <c r="G286" i="13"/>
  <c r="K285" i="13"/>
  <c r="J285" i="13"/>
  <c r="I285" i="13"/>
  <c r="H285" i="13"/>
  <c r="G285" i="13"/>
  <c r="K284" i="13"/>
  <c r="J284" i="13"/>
  <c r="I284" i="13"/>
  <c r="H284" i="13"/>
  <c r="G284" i="13"/>
  <c r="K283" i="13"/>
  <c r="J283" i="13"/>
  <c r="I283" i="13"/>
  <c r="H283" i="13"/>
  <c r="G283" i="13"/>
  <c r="K282" i="13"/>
  <c r="J282" i="13"/>
  <c r="I282" i="13"/>
  <c r="H282" i="13"/>
  <c r="G282" i="13"/>
  <c r="K281" i="13"/>
  <c r="J281" i="13"/>
  <c r="I281" i="13"/>
  <c r="H281" i="13"/>
  <c r="G281" i="13"/>
  <c r="K280" i="13"/>
  <c r="J280" i="13"/>
  <c r="I280" i="13"/>
  <c r="H280" i="13"/>
  <c r="G280" i="13"/>
  <c r="K272" i="13"/>
  <c r="J272" i="13"/>
  <c r="I272" i="13"/>
  <c r="H272" i="13"/>
  <c r="G272" i="13"/>
  <c r="K271" i="13"/>
  <c r="J271" i="13"/>
  <c r="I271" i="13"/>
  <c r="H271" i="13"/>
  <c r="G271" i="13"/>
  <c r="K270" i="13"/>
  <c r="J270" i="13"/>
  <c r="I270" i="13"/>
  <c r="H270" i="13"/>
  <c r="G270" i="13"/>
  <c r="K269" i="13"/>
  <c r="J269" i="13"/>
  <c r="I269" i="13"/>
  <c r="H269" i="13"/>
  <c r="G269" i="13"/>
  <c r="K268" i="13"/>
  <c r="J268" i="13"/>
  <c r="I268" i="13"/>
  <c r="H268" i="13"/>
  <c r="G268" i="13"/>
  <c r="K267" i="13"/>
  <c r="J267" i="13"/>
  <c r="I267" i="13"/>
  <c r="H267" i="13"/>
  <c r="G267" i="13"/>
  <c r="K266" i="13"/>
  <c r="J266" i="13"/>
  <c r="I266" i="13"/>
  <c r="H266" i="13"/>
  <c r="G266" i="13"/>
  <c r="K265" i="13"/>
  <c r="J265" i="13"/>
  <c r="I265" i="13"/>
  <c r="H265" i="13"/>
  <c r="G265" i="13"/>
  <c r="K264" i="13"/>
  <c r="J264" i="13"/>
  <c r="I264" i="13"/>
  <c r="H264" i="13"/>
  <c r="G264" i="13"/>
  <c r="K256" i="13"/>
  <c r="J256" i="13"/>
  <c r="I256" i="13"/>
  <c r="H256" i="13"/>
  <c r="G256" i="13"/>
  <c r="K255" i="13"/>
  <c r="J255" i="13"/>
  <c r="I255" i="13"/>
  <c r="H255" i="13"/>
  <c r="G255" i="13"/>
  <c r="K254" i="13"/>
  <c r="J254" i="13"/>
  <c r="I254" i="13"/>
  <c r="H254" i="13"/>
  <c r="G254" i="13"/>
  <c r="K253" i="13"/>
  <c r="J253" i="13"/>
  <c r="I253" i="13"/>
  <c r="H253" i="13"/>
  <c r="G253" i="13"/>
  <c r="K252" i="13"/>
  <c r="J252" i="13"/>
  <c r="I252" i="13"/>
  <c r="H252" i="13"/>
  <c r="G252" i="13"/>
  <c r="K251" i="13"/>
  <c r="J251" i="13"/>
  <c r="I251" i="13"/>
  <c r="H251" i="13"/>
  <c r="G251" i="13"/>
  <c r="K250" i="13"/>
  <c r="J250" i="13"/>
  <c r="I250" i="13"/>
  <c r="H250" i="13"/>
  <c r="G250" i="13"/>
  <c r="K249" i="13"/>
  <c r="J249" i="13"/>
  <c r="I249" i="13"/>
  <c r="H249" i="13"/>
  <c r="G249" i="13"/>
  <c r="K248" i="13"/>
  <c r="J248" i="13"/>
  <c r="I248" i="13"/>
  <c r="H248" i="13"/>
  <c r="G248" i="13"/>
  <c r="K240" i="13"/>
  <c r="J240" i="13"/>
  <c r="I240" i="13"/>
  <c r="H240" i="13"/>
  <c r="G240" i="13"/>
  <c r="K239" i="13"/>
  <c r="J239" i="13"/>
  <c r="I239" i="13"/>
  <c r="H239" i="13"/>
  <c r="G239" i="13"/>
  <c r="K238" i="13"/>
  <c r="J238" i="13"/>
  <c r="I238" i="13"/>
  <c r="H238" i="13"/>
  <c r="G238" i="13"/>
  <c r="K237" i="13"/>
  <c r="J237" i="13"/>
  <c r="I237" i="13"/>
  <c r="H237" i="13"/>
  <c r="G237" i="13"/>
  <c r="K236" i="13"/>
  <c r="J236" i="13"/>
  <c r="I236" i="13"/>
  <c r="H236" i="13"/>
  <c r="G236" i="13"/>
  <c r="K235" i="13"/>
  <c r="J235" i="13"/>
  <c r="I235" i="13"/>
  <c r="H235" i="13"/>
  <c r="G235" i="13"/>
  <c r="K234" i="13"/>
  <c r="J234" i="13"/>
  <c r="I234" i="13"/>
  <c r="H234" i="13"/>
  <c r="G234" i="13"/>
  <c r="K233" i="13"/>
  <c r="J233" i="13"/>
  <c r="I233" i="13"/>
  <c r="H233" i="13"/>
  <c r="G233" i="13"/>
  <c r="K232" i="13"/>
  <c r="J232" i="13"/>
  <c r="I232" i="13"/>
  <c r="H232" i="13"/>
  <c r="G232" i="13"/>
  <c r="K224" i="13"/>
  <c r="J224" i="13"/>
  <c r="I224" i="13"/>
  <c r="H224" i="13"/>
  <c r="G224" i="13"/>
  <c r="K223" i="13"/>
  <c r="J223" i="13"/>
  <c r="I223" i="13"/>
  <c r="H223" i="13"/>
  <c r="G223" i="13"/>
  <c r="K222" i="13"/>
  <c r="J222" i="13"/>
  <c r="I222" i="13"/>
  <c r="H222" i="13"/>
  <c r="G222" i="13"/>
  <c r="K221" i="13"/>
  <c r="J221" i="13"/>
  <c r="I221" i="13"/>
  <c r="H221" i="13"/>
  <c r="G221" i="13"/>
  <c r="K220" i="13"/>
  <c r="J220" i="13"/>
  <c r="I220" i="13"/>
  <c r="H220" i="13"/>
  <c r="G220" i="13"/>
  <c r="K219" i="13"/>
  <c r="J219" i="13"/>
  <c r="I219" i="13"/>
  <c r="H219" i="13"/>
  <c r="G219" i="13"/>
  <c r="K218" i="13"/>
  <c r="J218" i="13"/>
  <c r="I218" i="13"/>
  <c r="H218" i="13"/>
  <c r="G218" i="13"/>
  <c r="K217" i="13"/>
  <c r="J217" i="13"/>
  <c r="I217" i="13"/>
  <c r="H217" i="13"/>
  <c r="G217" i="13"/>
  <c r="K216" i="13"/>
  <c r="J216" i="13"/>
  <c r="I216" i="13"/>
  <c r="H216" i="13"/>
  <c r="G216" i="13"/>
  <c r="K208" i="13"/>
  <c r="J208" i="13"/>
  <c r="I208" i="13"/>
  <c r="H208" i="13"/>
  <c r="G208" i="13"/>
  <c r="K207" i="13"/>
  <c r="J207" i="13"/>
  <c r="I207" i="13"/>
  <c r="H207" i="13"/>
  <c r="G207" i="13"/>
  <c r="K206" i="13"/>
  <c r="J206" i="13"/>
  <c r="I206" i="13"/>
  <c r="H206" i="13"/>
  <c r="G206" i="13"/>
  <c r="K205" i="13"/>
  <c r="J205" i="13"/>
  <c r="I205" i="13"/>
  <c r="H205" i="13"/>
  <c r="G205" i="13"/>
  <c r="K204" i="13"/>
  <c r="J204" i="13"/>
  <c r="I204" i="13"/>
  <c r="H204" i="13"/>
  <c r="G204" i="13"/>
  <c r="K203" i="13"/>
  <c r="J203" i="13"/>
  <c r="I203" i="13"/>
  <c r="H203" i="13"/>
  <c r="G203" i="13"/>
  <c r="K202" i="13"/>
  <c r="J202" i="13"/>
  <c r="I202" i="13"/>
  <c r="H202" i="13"/>
  <c r="G202" i="13"/>
  <c r="K201" i="13"/>
  <c r="J201" i="13"/>
  <c r="I201" i="13"/>
  <c r="H201" i="13"/>
  <c r="G201" i="13"/>
  <c r="K200" i="13"/>
  <c r="J200" i="13"/>
  <c r="I200" i="13"/>
  <c r="H200" i="13"/>
  <c r="G200" i="13"/>
  <c r="K192" i="13"/>
  <c r="J192" i="13"/>
  <c r="I192" i="13"/>
  <c r="H192" i="13"/>
  <c r="G192" i="13"/>
  <c r="K191" i="13"/>
  <c r="J191" i="13"/>
  <c r="I191" i="13"/>
  <c r="H191" i="13"/>
  <c r="G191" i="13"/>
  <c r="K190" i="13"/>
  <c r="J190" i="13"/>
  <c r="I190" i="13"/>
  <c r="H190" i="13"/>
  <c r="G190" i="13"/>
  <c r="K189" i="13"/>
  <c r="J189" i="13"/>
  <c r="I189" i="13"/>
  <c r="H189" i="13"/>
  <c r="G189" i="13"/>
  <c r="K188" i="13"/>
  <c r="J188" i="13"/>
  <c r="I188" i="13"/>
  <c r="H188" i="13"/>
  <c r="G188" i="13"/>
  <c r="K187" i="13"/>
  <c r="J187" i="13"/>
  <c r="I187" i="13"/>
  <c r="H187" i="13"/>
  <c r="G187" i="13"/>
  <c r="K186" i="13"/>
  <c r="J186" i="13"/>
  <c r="I186" i="13"/>
  <c r="H186" i="13"/>
  <c r="G186" i="13"/>
  <c r="K185" i="13"/>
  <c r="J185" i="13"/>
  <c r="I185" i="13"/>
  <c r="H185" i="13"/>
  <c r="G185" i="13"/>
  <c r="K184" i="13"/>
  <c r="J184" i="13"/>
  <c r="I184" i="13"/>
  <c r="H184" i="13"/>
  <c r="G184" i="13"/>
  <c r="K176" i="13"/>
  <c r="J176" i="13"/>
  <c r="I176" i="13"/>
  <c r="H176" i="13"/>
  <c r="G176" i="13"/>
  <c r="K175" i="13"/>
  <c r="J175" i="13"/>
  <c r="I175" i="13"/>
  <c r="H175" i="13"/>
  <c r="G175" i="13"/>
  <c r="K174" i="13"/>
  <c r="J174" i="13"/>
  <c r="I174" i="13"/>
  <c r="H174" i="13"/>
  <c r="G174" i="13"/>
  <c r="K173" i="13"/>
  <c r="J173" i="13"/>
  <c r="I173" i="13"/>
  <c r="H173" i="13"/>
  <c r="G173" i="13"/>
  <c r="K172" i="13"/>
  <c r="J172" i="13"/>
  <c r="I172" i="13"/>
  <c r="H172" i="13"/>
  <c r="G172" i="13"/>
  <c r="K171" i="13"/>
  <c r="J171" i="13"/>
  <c r="I171" i="13"/>
  <c r="H171" i="13"/>
  <c r="G171" i="13"/>
  <c r="K170" i="13"/>
  <c r="J170" i="13"/>
  <c r="I170" i="13"/>
  <c r="H170" i="13"/>
  <c r="G170" i="13"/>
  <c r="K169" i="13"/>
  <c r="J169" i="13"/>
  <c r="I169" i="13"/>
  <c r="H169" i="13"/>
  <c r="G169" i="13"/>
  <c r="K168" i="13"/>
  <c r="J168" i="13"/>
  <c r="I168" i="13"/>
  <c r="H168" i="13"/>
  <c r="G168" i="13"/>
  <c r="K160" i="13"/>
  <c r="J160" i="13"/>
  <c r="I160" i="13"/>
  <c r="H160" i="13"/>
  <c r="G160" i="13"/>
  <c r="K159" i="13"/>
  <c r="J159" i="13"/>
  <c r="I159" i="13"/>
  <c r="H159" i="13"/>
  <c r="G159" i="13"/>
  <c r="K158" i="13"/>
  <c r="J158" i="13"/>
  <c r="I158" i="13"/>
  <c r="H158" i="13"/>
  <c r="G158" i="13"/>
  <c r="K157" i="13"/>
  <c r="J157" i="13"/>
  <c r="I157" i="13"/>
  <c r="H157" i="13"/>
  <c r="G157" i="13"/>
  <c r="K156" i="13"/>
  <c r="J156" i="13"/>
  <c r="I156" i="13"/>
  <c r="H156" i="13"/>
  <c r="G156" i="13"/>
  <c r="K155" i="13"/>
  <c r="J155" i="13"/>
  <c r="I155" i="13"/>
  <c r="H155" i="13"/>
  <c r="G155" i="13"/>
  <c r="K154" i="13"/>
  <c r="J154" i="13"/>
  <c r="I154" i="13"/>
  <c r="H154" i="13"/>
  <c r="G154" i="13"/>
  <c r="K153" i="13"/>
  <c r="J153" i="13"/>
  <c r="I153" i="13"/>
  <c r="H153" i="13"/>
  <c r="G153" i="13"/>
  <c r="K152" i="13"/>
  <c r="J152" i="13"/>
  <c r="I152" i="13"/>
  <c r="H152" i="13"/>
  <c r="G152" i="13"/>
  <c r="K144" i="13"/>
  <c r="J144" i="13"/>
  <c r="I144" i="13"/>
  <c r="H144" i="13"/>
  <c r="G144" i="13"/>
  <c r="K143" i="13"/>
  <c r="J143" i="13"/>
  <c r="I143" i="13"/>
  <c r="H143" i="13"/>
  <c r="G143" i="13"/>
  <c r="K142" i="13"/>
  <c r="J142" i="13"/>
  <c r="I142" i="13"/>
  <c r="H142" i="13"/>
  <c r="G142" i="13"/>
  <c r="K141" i="13"/>
  <c r="J141" i="13"/>
  <c r="I141" i="13"/>
  <c r="H141" i="13"/>
  <c r="G141" i="13"/>
  <c r="K140" i="13"/>
  <c r="J140" i="13"/>
  <c r="I140" i="13"/>
  <c r="H140" i="13"/>
  <c r="G140" i="13"/>
  <c r="K139" i="13"/>
  <c r="J139" i="13"/>
  <c r="I139" i="13"/>
  <c r="H139" i="13"/>
  <c r="G139" i="13"/>
  <c r="K138" i="13"/>
  <c r="J138" i="13"/>
  <c r="I138" i="13"/>
  <c r="H138" i="13"/>
  <c r="G138" i="13"/>
  <c r="K137" i="13"/>
  <c r="J137" i="13"/>
  <c r="I137" i="13"/>
  <c r="H137" i="13"/>
  <c r="G137" i="13"/>
  <c r="K136" i="13"/>
  <c r="J136" i="13"/>
  <c r="I136" i="13"/>
  <c r="H136" i="13"/>
  <c r="G136" i="13"/>
  <c r="K128" i="13"/>
  <c r="J128" i="13"/>
  <c r="I128" i="13"/>
  <c r="H128" i="13"/>
  <c r="G128" i="13"/>
  <c r="K127" i="13"/>
  <c r="J127" i="13"/>
  <c r="I127" i="13"/>
  <c r="H127" i="13"/>
  <c r="G127" i="13"/>
  <c r="K126" i="13"/>
  <c r="J126" i="13"/>
  <c r="I126" i="13"/>
  <c r="H126" i="13"/>
  <c r="G126" i="13"/>
  <c r="K125" i="13"/>
  <c r="J125" i="13"/>
  <c r="I125" i="13"/>
  <c r="H125" i="13"/>
  <c r="G125" i="13"/>
  <c r="K124" i="13"/>
  <c r="J124" i="13"/>
  <c r="I124" i="13"/>
  <c r="H124" i="13"/>
  <c r="G124" i="13"/>
  <c r="K123" i="13"/>
  <c r="J123" i="13"/>
  <c r="I123" i="13"/>
  <c r="H123" i="13"/>
  <c r="G123" i="13"/>
  <c r="K122" i="13"/>
  <c r="J122" i="13"/>
  <c r="I122" i="13"/>
  <c r="H122" i="13"/>
  <c r="G122" i="13"/>
  <c r="K121" i="13"/>
  <c r="J121" i="13"/>
  <c r="I121" i="13"/>
  <c r="H121" i="13"/>
  <c r="G121" i="13"/>
  <c r="K120" i="13"/>
  <c r="J120" i="13"/>
  <c r="I120" i="13"/>
  <c r="H120" i="13"/>
  <c r="G120" i="13"/>
  <c r="K112" i="13"/>
  <c r="J112" i="13"/>
  <c r="I112" i="13"/>
  <c r="H112" i="13"/>
  <c r="G112" i="13"/>
  <c r="K111" i="13"/>
  <c r="J111" i="13"/>
  <c r="I111" i="13"/>
  <c r="H111" i="13"/>
  <c r="G111" i="13"/>
  <c r="K110" i="13"/>
  <c r="J110" i="13"/>
  <c r="I110" i="13"/>
  <c r="H110" i="13"/>
  <c r="G110" i="13"/>
  <c r="K109" i="13"/>
  <c r="J109" i="13"/>
  <c r="I109" i="13"/>
  <c r="H109" i="13"/>
  <c r="G109" i="13"/>
  <c r="K108" i="13"/>
  <c r="J108" i="13"/>
  <c r="I108" i="13"/>
  <c r="H108" i="13"/>
  <c r="G108" i="13"/>
  <c r="K107" i="13"/>
  <c r="J107" i="13"/>
  <c r="I107" i="13"/>
  <c r="H107" i="13"/>
  <c r="G107" i="13"/>
  <c r="K106" i="13"/>
  <c r="J106" i="13"/>
  <c r="I106" i="13"/>
  <c r="H106" i="13"/>
  <c r="G106" i="13"/>
  <c r="K105" i="13"/>
  <c r="J105" i="13"/>
  <c r="I105" i="13"/>
  <c r="H105" i="13"/>
  <c r="G105" i="13"/>
  <c r="K104" i="13"/>
  <c r="J104" i="13"/>
  <c r="I104" i="13"/>
  <c r="H104" i="13"/>
  <c r="G104" i="13"/>
  <c r="K96" i="13"/>
  <c r="J96" i="13"/>
  <c r="I96" i="13"/>
  <c r="H96" i="13"/>
  <c r="G96" i="13"/>
  <c r="L96" i="13" s="1"/>
  <c r="K95" i="13"/>
  <c r="J95" i="13"/>
  <c r="I95" i="13"/>
  <c r="H95" i="13"/>
  <c r="G95" i="13"/>
  <c r="K94" i="13"/>
  <c r="J94" i="13"/>
  <c r="I94" i="13"/>
  <c r="H94" i="13"/>
  <c r="G94" i="13"/>
  <c r="K93" i="13"/>
  <c r="J93" i="13"/>
  <c r="I93" i="13"/>
  <c r="H93" i="13"/>
  <c r="G93" i="13"/>
  <c r="K92" i="13"/>
  <c r="J92" i="13"/>
  <c r="I92" i="13"/>
  <c r="H92" i="13"/>
  <c r="G92" i="13"/>
  <c r="K91" i="13"/>
  <c r="J91" i="13"/>
  <c r="I91" i="13"/>
  <c r="H91" i="13"/>
  <c r="G91" i="13"/>
  <c r="K90" i="13"/>
  <c r="J90" i="13"/>
  <c r="I90" i="13"/>
  <c r="H90" i="13"/>
  <c r="G90" i="13"/>
  <c r="K89" i="13"/>
  <c r="J89" i="13"/>
  <c r="I89" i="13"/>
  <c r="H89" i="13"/>
  <c r="G89" i="13"/>
  <c r="K88" i="13"/>
  <c r="J88" i="13"/>
  <c r="I88" i="13"/>
  <c r="H88" i="13"/>
  <c r="G88" i="13"/>
  <c r="K80" i="13"/>
  <c r="J80" i="13"/>
  <c r="I80" i="13"/>
  <c r="H80" i="13"/>
  <c r="G80" i="13"/>
  <c r="K79" i="13"/>
  <c r="J79" i="13"/>
  <c r="I79" i="13"/>
  <c r="H79" i="13"/>
  <c r="G79" i="13"/>
  <c r="K78" i="13"/>
  <c r="J78" i="13"/>
  <c r="I78" i="13"/>
  <c r="H78" i="13"/>
  <c r="G78" i="13"/>
  <c r="K77" i="13"/>
  <c r="J77" i="13"/>
  <c r="I77" i="13"/>
  <c r="H77" i="13"/>
  <c r="G77" i="13"/>
  <c r="K76" i="13"/>
  <c r="J76" i="13"/>
  <c r="I76" i="13"/>
  <c r="H76" i="13"/>
  <c r="G76" i="13"/>
  <c r="K75" i="13"/>
  <c r="J75" i="13"/>
  <c r="I75" i="13"/>
  <c r="H75" i="13"/>
  <c r="G75" i="13"/>
  <c r="K74" i="13"/>
  <c r="J74" i="13"/>
  <c r="I74" i="13"/>
  <c r="H74" i="13"/>
  <c r="G74" i="13"/>
  <c r="K73" i="13"/>
  <c r="J73" i="13"/>
  <c r="I73" i="13"/>
  <c r="H73" i="13"/>
  <c r="G73" i="13"/>
  <c r="K72" i="13"/>
  <c r="J72" i="13"/>
  <c r="I72" i="13"/>
  <c r="H72" i="13"/>
  <c r="G72" i="13"/>
  <c r="K64" i="13"/>
  <c r="J64" i="13"/>
  <c r="I64" i="13"/>
  <c r="H64" i="13"/>
  <c r="G64" i="13"/>
  <c r="K63" i="13"/>
  <c r="J63" i="13"/>
  <c r="I63" i="13"/>
  <c r="H63" i="13"/>
  <c r="G63" i="13"/>
  <c r="K62" i="13"/>
  <c r="J62" i="13"/>
  <c r="I62" i="13"/>
  <c r="H62" i="13"/>
  <c r="G62" i="13"/>
  <c r="K61" i="13"/>
  <c r="J61" i="13"/>
  <c r="I61" i="13"/>
  <c r="H61" i="13"/>
  <c r="G61" i="13"/>
  <c r="K60" i="13"/>
  <c r="J60" i="13"/>
  <c r="I60" i="13"/>
  <c r="H60" i="13"/>
  <c r="G60" i="13"/>
  <c r="K59" i="13"/>
  <c r="J59" i="13"/>
  <c r="I59" i="13"/>
  <c r="H59" i="13"/>
  <c r="G59" i="13"/>
  <c r="K58" i="13"/>
  <c r="J58" i="13"/>
  <c r="I58" i="13"/>
  <c r="H58" i="13"/>
  <c r="G58" i="13"/>
  <c r="K57" i="13"/>
  <c r="J57" i="13"/>
  <c r="I57" i="13"/>
  <c r="H57" i="13"/>
  <c r="G57" i="13"/>
  <c r="K56" i="13"/>
  <c r="J56" i="13"/>
  <c r="I56" i="13"/>
  <c r="H56" i="13"/>
  <c r="G56" i="13"/>
  <c r="K48" i="13"/>
  <c r="J48" i="13"/>
  <c r="I48" i="13"/>
  <c r="H48" i="13"/>
  <c r="G48" i="13"/>
  <c r="K47" i="13"/>
  <c r="J47" i="13"/>
  <c r="I47" i="13"/>
  <c r="H47" i="13"/>
  <c r="G47" i="13"/>
  <c r="K46" i="13"/>
  <c r="J46" i="13"/>
  <c r="I46" i="13"/>
  <c r="H46" i="13"/>
  <c r="G46" i="13"/>
  <c r="K45" i="13"/>
  <c r="J45" i="13"/>
  <c r="I45" i="13"/>
  <c r="H45" i="13"/>
  <c r="G45" i="13"/>
  <c r="K44" i="13"/>
  <c r="J44" i="13"/>
  <c r="I44" i="13"/>
  <c r="H44" i="13"/>
  <c r="G44" i="13"/>
  <c r="K43" i="13"/>
  <c r="J43" i="13"/>
  <c r="I43" i="13"/>
  <c r="H43" i="13"/>
  <c r="G43" i="13"/>
  <c r="K42" i="13"/>
  <c r="J42" i="13"/>
  <c r="I42" i="13"/>
  <c r="H42" i="13"/>
  <c r="G42" i="13"/>
  <c r="K41" i="13"/>
  <c r="J41" i="13"/>
  <c r="I41" i="13"/>
  <c r="H41" i="13"/>
  <c r="G41" i="13"/>
  <c r="K40" i="13"/>
  <c r="J40" i="13"/>
  <c r="I40" i="13"/>
  <c r="H40" i="13"/>
  <c r="G40" i="13"/>
  <c r="K32" i="13"/>
  <c r="J32" i="13"/>
  <c r="I32" i="13"/>
  <c r="H32" i="13"/>
  <c r="G32" i="13"/>
  <c r="K31" i="13"/>
  <c r="J31" i="13"/>
  <c r="I31" i="13"/>
  <c r="H31" i="13"/>
  <c r="G31" i="13"/>
  <c r="K30" i="13"/>
  <c r="J30" i="13"/>
  <c r="I30" i="13"/>
  <c r="H30" i="13"/>
  <c r="G30" i="13"/>
  <c r="K29" i="13"/>
  <c r="J29" i="13"/>
  <c r="I29" i="13"/>
  <c r="H29" i="13"/>
  <c r="G29" i="13"/>
  <c r="K28" i="13"/>
  <c r="J28" i="13"/>
  <c r="I28" i="13"/>
  <c r="H28" i="13"/>
  <c r="G28" i="13"/>
  <c r="K27" i="13"/>
  <c r="J27" i="13"/>
  <c r="I27" i="13"/>
  <c r="H27" i="13"/>
  <c r="G27" i="13"/>
  <c r="K26" i="13"/>
  <c r="J26" i="13"/>
  <c r="I26" i="13"/>
  <c r="H26" i="13"/>
  <c r="G26" i="13"/>
  <c r="K25" i="13"/>
  <c r="J25" i="13"/>
  <c r="I25" i="13"/>
  <c r="H25" i="13"/>
  <c r="G25" i="13"/>
  <c r="K24" i="13"/>
  <c r="J24" i="13"/>
  <c r="I24" i="13"/>
  <c r="H24" i="13"/>
  <c r="G24" i="13"/>
  <c r="L813" i="13"/>
  <c r="K807" i="13"/>
  <c r="I807" i="13"/>
  <c r="G807" i="13"/>
  <c r="H805" i="13"/>
  <c r="G805" i="13"/>
  <c r="G804" i="13"/>
  <c r="H804" i="13" s="1"/>
  <c r="I804" i="13" s="1"/>
  <c r="J804" i="13" s="1"/>
  <c r="K804" i="13" s="1"/>
  <c r="L804" i="13" s="1"/>
  <c r="M804" i="13" s="1"/>
  <c r="W803" i="13"/>
  <c r="S803" i="13"/>
  <c r="G803" i="13"/>
  <c r="H803" i="13" s="1"/>
  <c r="I803" i="13" s="1"/>
  <c r="J803" i="13" s="1"/>
  <c r="K803" i="13" s="1"/>
  <c r="L803" i="13" s="1"/>
  <c r="M803" i="13" s="1"/>
  <c r="H789" i="13"/>
  <c r="G789" i="13"/>
  <c r="G788" i="13"/>
  <c r="H788" i="13" s="1"/>
  <c r="I788" i="13" s="1"/>
  <c r="J788" i="13" s="1"/>
  <c r="K788" i="13" s="1"/>
  <c r="L788" i="13" s="1"/>
  <c r="M788" i="13" s="1"/>
  <c r="S787" i="13"/>
  <c r="H787" i="13"/>
  <c r="I787" i="13" s="1"/>
  <c r="J787" i="13" s="1"/>
  <c r="K787" i="13" s="1"/>
  <c r="L787" i="13" s="1"/>
  <c r="M787" i="13" s="1"/>
  <c r="G787" i="13"/>
  <c r="L780" i="13"/>
  <c r="X771" i="13" s="1"/>
  <c r="H773" i="13"/>
  <c r="G773" i="13"/>
  <c r="G772" i="13"/>
  <c r="H772" i="13" s="1"/>
  <c r="I772" i="13" s="1"/>
  <c r="J772" i="13" s="1"/>
  <c r="K772" i="13" s="1"/>
  <c r="L772" i="13" s="1"/>
  <c r="M772" i="13" s="1"/>
  <c r="S771" i="13"/>
  <c r="G771" i="13"/>
  <c r="H771" i="13" s="1"/>
  <c r="I771" i="13" s="1"/>
  <c r="J771" i="13" s="1"/>
  <c r="K771" i="13" s="1"/>
  <c r="L771" i="13" s="1"/>
  <c r="M771" i="13" s="1"/>
  <c r="L765" i="13"/>
  <c r="L761" i="13"/>
  <c r="J759" i="13"/>
  <c r="H757" i="13"/>
  <c r="G757" i="13"/>
  <c r="G756" i="13"/>
  <c r="H756" i="13" s="1"/>
  <c r="I756" i="13" s="1"/>
  <c r="J756" i="13" s="1"/>
  <c r="K756" i="13" s="1"/>
  <c r="L756" i="13" s="1"/>
  <c r="M756" i="13" s="1"/>
  <c r="S755" i="13"/>
  <c r="G755" i="13"/>
  <c r="H755" i="13" s="1"/>
  <c r="I755" i="13" s="1"/>
  <c r="J755" i="13" s="1"/>
  <c r="K755" i="13" s="1"/>
  <c r="L755" i="13" s="1"/>
  <c r="M755" i="13" s="1"/>
  <c r="H741" i="13"/>
  <c r="G741" i="13"/>
  <c r="G740" i="13"/>
  <c r="H740" i="13" s="1"/>
  <c r="I740" i="13" s="1"/>
  <c r="J740" i="13" s="1"/>
  <c r="K740" i="13" s="1"/>
  <c r="L740" i="13" s="1"/>
  <c r="M740" i="13" s="1"/>
  <c r="S739" i="13"/>
  <c r="G739" i="13"/>
  <c r="H739" i="13" s="1"/>
  <c r="I739" i="13" s="1"/>
  <c r="J739" i="13" s="1"/>
  <c r="K739" i="13" s="1"/>
  <c r="L739" i="13" s="1"/>
  <c r="M739" i="13" s="1"/>
  <c r="H725" i="13"/>
  <c r="G725" i="13"/>
  <c r="G724" i="13"/>
  <c r="H724" i="13" s="1"/>
  <c r="I724" i="13" s="1"/>
  <c r="J724" i="13" s="1"/>
  <c r="K724" i="13" s="1"/>
  <c r="L724" i="13" s="1"/>
  <c r="M724" i="13" s="1"/>
  <c r="S723" i="13"/>
  <c r="G723" i="13"/>
  <c r="H723" i="13" s="1"/>
  <c r="I723" i="13" s="1"/>
  <c r="J723" i="13" s="1"/>
  <c r="K723" i="13" s="1"/>
  <c r="L723" i="13" s="1"/>
  <c r="M723" i="13" s="1"/>
  <c r="I711" i="13"/>
  <c r="H709" i="13"/>
  <c r="G709" i="13"/>
  <c r="G708" i="13"/>
  <c r="H708" i="13" s="1"/>
  <c r="I708" i="13" s="1"/>
  <c r="J708" i="13" s="1"/>
  <c r="K708" i="13" s="1"/>
  <c r="L708" i="13" s="1"/>
  <c r="M708" i="13" s="1"/>
  <c r="S707" i="13"/>
  <c r="G707" i="13"/>
  <c r="H707" i="13" s="1"/>
  <c r="I707" i="13" s="1"/>
  <c r="J707" i="13" s="1"/>
  <c r="K707" i="13" s="1"/>
  <c r="L707" i="13" s="1"/>
  <c r="M707" i="13" s="1"/>
  <c r="H693" i="13"/>
  <c r="G693" i="13"/>
  <c r="G692" i="13"/>
  <c r="H692" i="13" s="1"/>
  <c r="I692" i="13" s="1"/>
  <c r="J692" i="13" s="1"/>
  <c r="K692" i="13" s="1"/>
  <c r="L692" i="13" s="1"/>
  <c r="M692" i="13" s="1"/>
  <c r="S691" i="13"/>
  <c r="G691" i="13"/>
  <c r="H691" i="13" s="1"/>
  <c r="I691" i="13" s="1"/>
  <c r="J691" i="13" s="1"/>
  <c r="K691" i="13" s="1"/>
  <c r="L691" i="13" s="1"/>
  <c r="M691" i="13" s="1"/>
  <c r="H677" i="13"/>
  <c r="G677" i="13"/>
  <c r="G676" i="13"/>
  <c r="H676" i="13" s="1"/>
  <c r="I676" i="13" s="1"/>
  <c r="J676" i="13" s="1"/>
  <c r="K676" i="13" s="1"/>
  <c r="L676" i="13" s="1"/>
  <c r="M676" i="13" s="1"/>
  <c r="S675" i="13"/>
  <c r="G675" i="13"/>
  <c r="H675" i="13" s="1"/>
  <c r="I675" i="13" s="1"/>
  <c r="J675" i="13" s="1"/>
  <c r="K675" i="13" s="1"/>
  <c r="L675" i="13" s="1"/>
  <c r="M675" i="13" s="1"/>
  <c r="L667" i="13"/>
  <c r="H661" i="13"/>
  <c r="G661" i="13"/>
  <c r="G660" i="13"/>
  <c r="H660" i="13" s="1"/>
  <c r="I660" i="13" s="1"/>
  <c r="J660" i="13" s="1"/>
  <c r="K660" i="13" s="1"/>
  <c r="L660" i="13" s="1"/>
  <c r="M660" i="13" s="1"/>
  <c r="S659" i="13"/>
  <c r="G659" i="13"/>
  <c r="H659" i="13" s="1"/>
  <c r="I659" i="13" s="1"/>
  <c r="J659" i="13" s="1"/>
  <c r="K659" i="13" s="1"/>
  <c r="L659" i="13" s="1"/>
  <c r="M659" i="13" s="1"/>
  <c r="L656" i="13"/>
  <c r="H645" i="13"/>
  <c r="G645" i="13"/>
  <c r="G644" i="13"/>
  <c r="H644" i="13" s="1"/>
  <c r="I644" i="13" s="1"/>
  <c r="J644" i="13" s="1"/>
  <c r="K644" i="13" s="1"/>
  <c r="L644" i="13" s="1"/>
  <c r="M644" i="13" s="1"/>
  <c r="S643" i="13"/>
  <c r="H643" i="13"/>
  <c r="I643" i="13" s="1"/>
  <c r="J643" i="13" s="1"/>
  <c r="K643" i="13" s="1"/>
  <c r="L643" i="13" s="1"/>
  <c r="M643" i="13" s="1"/>
  <c r="G643" i="13"/>
  <c r="H629" i="13"/>
  <c r="G629" i="13"/>
  <c r="G628" i="13"/>
  <c r="H628" i="13" s="1"/>
  <c r="I628" i="13" s="1"/>
  <c r="J628" i="13" s="1"/>
  <c r="K628" i="13" s="1"/>
  <c r="L628" i="13" s="1"/>
  <c r="M628" i="13" s="1"/>
  <c r="S627" i="13"/>
  <c r="G627" i="13"/>
  <c r="H627" i="13" s="1"/>
  <c r="I627" i="13" s="1"/>
  <c r="J627" i="13" s="1"/>
  <c r="K627" i="13" s="1"/>
  <c r="L627" i="13" s="1"/>
  <c r="M627" i="13" s="1"/>
  <c r="H613" i="13"/>
  <c r="G613" i="13"/>
  <c r="G612" i="13"/>
  <c r="H612" i="13" s="1"/>
  <c r="I612" i="13" s="1"/>
  <c r="J612" i="13" s="1"/>
  <c r="K612" i="13" s="1"/>
  <c r="L612" i="13" s="1"/>
  <c r="M612" i="13" s="1"/>
  <c r="S611" i="13"/>
  <c r="G611" i="13"/>
  <c r="H611" i="13" s="1"/>
  <c r="I611" i="13" s="1"/>
  <c r="J611" i="13" s="1"/>
  <c r="K611" i="13" s="1"/>
  <c r="L611" i="13" s="1"/>
  <c r="M611" i="13" s="1"/>
  <c r="H597" i="13"/>
  <c r="G597" i="13"/>
  <c r="G596" i="13"/>
  <c r="H596" i="13" s="1"/>
  <c r="I596" i="13" s="1"/>
  <c r="J596" i="13" s="1"/>
  <c r="K596" i="13" s="1"/>
  <c r="L596" i="13" s="1"/>
  <c r="M596" i="13" s="1"/>
  <c r="S595" i="13"/>
  <c r="H595" i="13"/>
  <c r="I595" i="13" s="1"/>
  <c r="J595" i="13" s="1"/>
  <c r="K595" i="13" s="1"/>
  <c r="L595" i="13" s="1"/>
  <c r="M595" i="13" s="1"/>
  <c r="G595" i="13"/>
  <c r="H581" i="13"/>
  <c r="G581" i="13"/>
  <c r="G580" i="13"/>
  <c r="H580" i="13" s="1"/>
  <c r="I580" i="13" s="1"/>
  <c r="J580" i="13" s="1"/>
  <c r="K580" i="13" s="1"/>
  <c r="L580" i="13" s="1"/>
  <c r="M580" i="13" s="1"/>
  <c r="S579" i="13"/>
  <c r="G579" i="13"/>
  <c r="H579" i="13" s="1"/>
  <c r="I579" i="13" s="1"/>
  <c r="J579" i="13" s="1"/>
  <c r="K579" i="13" s="1"/>
  <c r="L579" i="13" s="1"/>
  <c r="M579" i="13" s="1"/>
  <c r="H565" i="13"/>
  <c r="G565" i="13"/>
  <c r="G564" i="13"/>
  <c r="H564" i="13" s="1"/>
  <c r="I564" i="13" s="1"/>
  <c r="J564" i="13" s="1"/>
  <c r="K564" i="13" s="1"/>
  <c r="L564" i="13" s="1"/>
  <c r="M564" i="13" s="1"/>
  <c r="S563" i="13"/>
  <c r="G563" i="13"/>
  <c r="H563" i="13" s="1"/>
  <c r="I563" i="13" s="1"/>
  <c r="J563" i="13" s="1"/>
  <c r="K563" i="13" s="1"/>
  <c r="L563" i="13" s="1"/>
  <c r="M563" i="13" s="1"/>
  <c r="H549" i="13"/>
  <c r="G549" i="13"/>
  <c r="G548" i="13"/>
  <c r="H548" i="13" s="1"/>
  <c r="I548" i="13" s="1"/>
  <c r="J548" i="13" s="1"/>
  <c r="K548" i="13" s="1"/>
  <c r="L548" i="13" s="1"/>
  <c r="M548" i="13" s="1"/>
  <c r="S547" i="13"/>
  <c r="I547" i="13"/>
  <c r="J547" i="13" s="1"/>
  <c r="K547" i="13" s="1"/>
  <c r="L547" i="13" s="1"/>
  <c r="M547" i="13" s="1"/>
  <c r="G547" i="13"/>
  <c r="H547" i="13" s="1"/>
  <c r="H533" i="13"/>
  <c r="G533" i="13"/>
  <c r="G532" i="13"/>
  <c r="H532" i="13" s="1"/>
  <c r="I532" i="13" s="1"/>
  <c r="J532" i="13" s="1"/>
  <c r="K532" i="13" s="1"/>
  <c r="L532" i="13" s="1"/>
  <c r="M532" i="13" s="1"/>
  <c r="S531" i="13"/>
  <c r="G531" i="13"/>
  <c r="H531" i="13" s="1"/>
  <c r="I531" i="13" s="1"/>
  <c r="J531" i="13" s="1"/>
  <c r="K531" i="13" s="1"/>
  <c r="L531" i="13" s="1"/>
  <c r="M531" i="13" s="1"/>
  <c r="H517" i="13"/>
  <c r="G517" i="13"/>
  <c r="G516" i="13"/>
  <c r="H516" i="13" s="1"/>
  <c r="I516" i="13" s="1"/>
  <c r="J516" i="13" s="1"/>
  <c r="K516" i="13" s="1"/>
  <c r="L516" i="13" s="1"/>
  <c r="M516" i="13" s="1"/>
  <c r="S515" i="13"/>
  <c r="G515" i="13"/>
  <c r="H515" i="13" s="1"/>
  <c r="I515" i="13" s="1"/>
  <c r="J515" i="13" s="1"/>
  <c r="K515" i="13" s="1"/>
  <c r="L515" i="13" s="1"/>
  <c r="M515" i="13" s="1"/>
  <c r="H501" i="13"/>
  <c r="G501" i="13"/>
  <c r="G500" i="13"/>
  <c r="H500" i="13" s="1"/>
  <c r="I500" i="13" s="1"/>
  <c r="J500" i="13" s="1"/>
  <c r="K500" i="13" s="1"/>
  <c r="L500" i="13" s="1"/>
  <c r="M500" i="13" s="1"/>
  <c r="S499" i="13"/>
  <c r="G499" i="13"/>
  <c r="H499" i="13" s="1"/>
  <c r="I499" i="13" s="1"/>
  <c r="J499" i="13" s="1"/>
  <c r="K499" i="13" s="1"/>
  <c r="L499" i="13" s="1"/>
  <c r="M499" i="13" s="1"/>
  <c r="H485" i="13"/>
  <c r="G485" i="13"/>
  <c r="G484" i="13"/>
  <c r="H484" i="13" s="1"/>
  <c r="I484" i="13" s="1"/>
  <c r="J484" i="13" s="1"/>
  <c r="K484" i="13" s="1"/>
  <c r="L484" i="13" s="1"/>
  <c r="M484" i="13" s="1"/>
  <c r="S483" i="13"/>
  <c r="I483" i="13"/>
  <c r="J483" i="13" s="1"/>
  <c r="K483" i="13" s="1"/>
  <c r="L483" i="13" s="1"/>
  <c r="M483" i="13" s="1"/>
  <c r="G483" i="13"/>
  <c r="H483" i="13" s="1"/>
  <c r="H469" i="13"/>
  <c r="G469" i="13"/>
  <c r="G468" i="13"/>
  <c r="H468" i="13" s="1"/>
  <c r="I468" i="13" s="1"/>
  <c r="J468" i="13" s="1"/>
  <c r="K468" i="13" s="1"/>
  <c r="L468" i="13" s="1"/>
  <c r="M468" i="13" s="1"/>
  <c r="S467" i="13"/>
  <c r="G467" i="13"/>
  <c r="H467" i="13" s="1"/>
  <c r="I467" i="13" s="1"/>
  <c r="J467" i="13" s="1"/>
  <c r="K467" i="13" s="1"/>
  <c r="L467" i="13" s="1"/>
  <c r="M467" i="13" s="1"/>
  <c r="H453" i="13"/>
  <c r="G453" i="13"/>
  <c r="G452" i="13"/>
  <c r="H452" i="13" s="1"/>
  <c r="I452" i="13" s="1"/>
  <c r="J452" i="13" s="1"/>
  <c r="K452" i="13" s="1"/>
  <c r="L452" i="13" s="1"/>
  <c r="M452" i="13" s="1"/>
  <c r="S451" i="13"/>
  <c r="G451" i="13"/>
  <c r="H451" i="13" s="1"/>
  <c r="I451" i="13" s="1"/>
  <c r="J451" i="13" s="1"/>
  <c r="K451" i="13" s="1"/>
  <c r="L451" i="13" s="1"/>
  <c r="M451" i="13" s="1"/>
  <c r="H437" i="13"/>
  <c r="G437" i="13"/>
  <c r="G436" i="13"/>
  <c r="H436" i="13" s="1"/>
  <c r="I436" i="13" s="1"/>
  <c r="J436" i="13" s="1"/>
  <c r="K436" i="13" s="1"/>
  <c r="L436" i="13" s="1"/>
  <c r="M436" i="13" s="1"/>
  <c r="S435" i="13"/>
  <c r="G435" i="13"/>
  <c r="H435" i="13" s="1"/>
  <c r="I435" i="13" s="1"/>
  <c r="J435" i="13" s="1"/>
  <c r="K435" i="13" s="1"/>
  <c r="L435" i="13" s="1"/>
  <c r="M435" i="13" s="1"/>
  <c r="H421" i="13"/>
  <c r="G421" i="13"/>
  <c r="G420" i="13"/>
  <c r="H420" i="13" s="1"/>
  <c r="I420" i="13" s="1"/>
  <c r="J420" i="13" s="1"/>
  <c r="K420" i="13" s="1"/>
  <c r="L420" i="13" s="1"/>
  <c r="M420" i="13" s="1"/>
  <c r="S419" i="13"/>
  <c r="G419" i="13"/>
  <c r="H419" i="13" s="1"/>
  <c r="I419" i="13" s="1"/>
  <c r="J419" i="13" s="1"/>
  <c r="K419" i="13" s="1"/>
  <c r="L419" i="13" s="1"/>
  <c r="M419" i="13" s="1"/>
  <c r="H405" i="13"/>
  <c r="G405" i="13"/>
  <c r="G404" i="13"/>
  <c r="H404" i="13" s="1"/>
  <c r="I404" i="13" s="1"/>
  <c r="J404" i="13" s="1"/>
  <c r="K404" i="13" s="1"/>
  <c r="L404" i="13" s="1"/>
  <c r="M404" i="13" s="1"/>
  <c r="S403" i="13"/>
  <c r="G403" i="13"/>
  <c r="H403" i="13" s="1"/>
  <c r="I403" i="13" s="1"/>
  <c r="J403" i="13" s="1"/>
  <c r="K403" i="13" s="1"/>
  <c r="L403" i="13" s="1"/>
  <c r="M403" i="13" s="1"/>
  <c r="H389" i="13"/>
  <c r="G389" i="13"/>
  <c r="G388" i="13"/>
  <c r="H388" i="13" s="1"/>
  <c r="I388" i="13" s="1"/>
  <c r="J388" i="13" s="1"/>
  <c r="K388" i="13" s="1"/>
  <c r="L388" i="13" s="1"/>
  <c r="M388" i="13" s="1"/>
  <c r="S387" i="13"/>
  <c r="G387" i="13"/>
  <c r="H387" i="13" s="1"/>
  <c r="I387" i="13" s="1"/>
  <c r="J387" i="13" s="1"/>
  <c r="K387" i="13" s="1"/>
  <c r="L387" i="13" s="1"/>
  <c r="M387" i="13" s="1"/>
  <c r="H373" i="13"/>
  <c r="G373" i="13"/>
  <c r="G372" i="13"/>
  <c r="H372" i="13" s="1"/>
  <c r="I372" i="13" s="1"/>
  <c r="J372" i="13" s="1"/>
  <c r="K372" i="13" s="1"/>
  <c r="L372" i="13" s="1"/>
  <c r="M372" i="13" s="1"/>
  <c r="S371" i="13"/>
  <c r="G371" i="13"/>
  <c r="H371" i="13" s="1"/>
  <c r="I371" i="13" s="1"/>
  <c r="J371" i="13" s="1"/>
  <c r="K371" i="13" s="1"/>
  <c r="L371" i="13" s="1"/>
  <c r="M371" i="13" s="1"/>
  <c r="H357" i="13"/>
  <c r="G357" i="13"/>
  <c r="G356" i="13"/>
  <c r="H356" i="13" s="1"/>
  <c r="I356" i="13" s="1"/>
  <c r="J356" i="13" s="1"/>
  <c r="K356" i="13" s="1"/>
  <c r="L356" i="13" s="1"/>
  <c r="M356" i="13" s="1"/>
  <c r="S355" i="13"/>
  <c r="M355" i="13"/>
  <c r="G355" i="13"/>
  <c r="H355" i="13" s="1"/>
  <c r="I355" i="13" s="1"/>
  <c r="J355" i="13" s="1"/>
  <c r="K355" i="13" s="1"/>
  <c r="L355" i="13" s="1"/>
  <c r="H341" i="13"/>
  <c r="G341" i="13"/>
  <c r="G340" i="13"/>
  <c r="H340" i="13" s="1"/>
  <c r="I340" i="13" s="1"/>
  <c r="J340" i="13" s="1"/>
  <c r="K340" i="13" s="1"/>
  <c r="L340" i="13" s="1"/>
  <c r="M340" i="13" s="1"/>
  <c r="S339" i="13"/>
  <c r="G339" i="13"/>
  <c r="H339" i="13" s="1"/>
  <c r="I339" i="13" s="1"/>
  <c r="J339" i="13" s="1"/>
  <c r="K339" i="13" s="1"/>
  <c r="L339" i="13" s="1"/>
  <c r="M339" i="13" s="1"/>
  <c r="H325" i="13"/>
  <c r="G325" i="13"/>
  <c r="G324" i="13"/>
  <c r="H324" i="13" s="1"/>
  <c r="I324" i="13" s="1"/>
  <c r="J324" i="13" s="1"/>
  <c r="K324" i="13" s="1"/>
  <c r="L324" i="13" s="1"/>
  <c r="M324" i="13" s="1"/>
  <c r="S323" i="13"/>
  <c r="G323" i="13"/>
  <c r="H323" i="13" s="1"/>
  <c r="I323" i="13" s="1"/>
  <c r="J323" i="13" s="1"/>
  <c r="K323" i="13" s="1"/>
  <c r="L323" i="13" s="1"/>
  <c r="M323" i="13" s="1"/>
  <c r="H309" i="13"/>
  <c r="G309" i="13"/>
  <c r="G308" i="13"/>
  <c r="H308" i="13" s="1"/>
  <c r="I308" i="13" s="1"/>
  <c r="J308" i="13" s="1"/>
  <c r="K308" i="13" s="1"/>
  <c r="L308" i="13" s="1"/>
  <c r="M308" i="13" s="1"/>
  <c r="S307" i="13"/>
  <c r="G307" i="13"/>
  <c r="H307" i="13" s="1"/>
  <c r="I307" i="13" s="1"/>
  <c r="J307" i="13" s="1"/>
  <c r="K307" i="13" s="1"/>
  <c r="L307" i="13" s="1"/>
  <c r="M307" i="13" s="1"/>
  <c r="H293" i="13"/>
  <c r="G293" i="13"/>
  <c r="G292" i="13"/>
  <c r="H292" i="13" s="1"/>
  <c r="I292" i="13" s="1"/>
  <c r="J292" i="13" s="1"/>
  <c r="K292" i="13" s="1"/>
  <c r="L292" i="13" s="1"/>
  <c r="M292" i="13" s="1"/>
  <c r="S291" i="13"/>
  <c r="G291" i="13"/>
  <c r="H291" i="13" s="1"/>
  <c r="I291" i="13" s="1"/>
  <c r="J291" i="13" s="1"/>
  <c r="K291" i="13" s="1"/>
  <c r="L291" i="13" s="1"/>
  <c r="M291" i="13" s="1"/>
  <c r="H277" i="13"/>
  <c r="G277" i="13"/>
  <c r="G276" i="13"/>
  <c r="H276" i="13" s="1"/>
  <c r="I276" i="13" s="1"/>
  <c r="J276" i="13" s="1"/>
  <c r="K276" i="13" s="1"/>
  <c r="L276" i="13" s="1"/>
  <c r="M276" i="13" s="1"/>
  <c r="S275" i="13"/>
  <c r="G275" i="13"/>
  <c r="H275" i="13" s="1"/>
  <c r="I275" i="13" s="1"/>
  <c r="J275" i="13" s="1"/>
  <c r="K275" i="13" s="1"/>
  <c r="L275" i="13" s="1"/>
  <c r="M275" i="13" s="1"/>
  <c r="H261" i="13"/>
  <c r="G261" i="13"/>
  <c r="G260" i="13"/>
  <c r="H260" i="13" s="1"/>
  <c r="I260" i="13" s="1"/>
  <c r="J260" i="13" s="1"/>
  <c r="K260" i="13" s="1"/>
  <c r="L260" i="13" s="1"/>
  <c r="M260" i="13" s="1"/>
  <c r="S259" i="13"/>
  <c r="G259" i="13"/>
  <c r="H259" i="13" s="1"/>
  <c r="I259" i="13" s="1"/>
  <c r="J259" i="13" s="1"/>
  <c r="K259" i="13" s="1"/>
  <c r="L259" i="13" s="1"/>
  <c r="M259" i="13" s="1"/>
  <c r="H245" i="13"/>
  <c r="G245" i="13"/>
  <c r="G244" i="13"/>
  <c r="H244" i="13" s="1"/>
  <c r="I244" i="13" s="1"/>
  <c r="J244" i="13" s="1"/>
  <c r="K244" i="13" s="1"/>
  <c r="L244" i="13" s="1"/>
  <c r="M244" i="13" s="1"/>
  <c r="S243" i="13"/>
  <c r="G243" i="13"/>
  <c r="H243" i="13" s="1"/>
  <c r="I243" i="13" s="1"/>
  <c r="J243" i="13" s="1"/>
  <c r="K243" i="13" s="1"/>
  <c r="L243" i="13" s="1"/>
  <c r="M243" i="13" s="1"/>
  <c r="H229" i="13"/>
  <c r="G229" i="13"/>
  <c r="G228" i="13"/>
  <c r="H228" i="13" s="1"/>
  <c r="I228" i="13" s="1"/>
  <c r="J228" i="13" s="1"/>
  <c r="K228" i="13" s="1"/>
  <c r="L228" i="13" s="1"/>
  <c r="M228" i="13" s="1"/>
  <c r="S227" i="13"/>
  <c r="G227" i="13"/>
  <c r="H227" i="13" s="1"/>
  <c r="I227" i="13" s="1"/>
  <c r="J227" i="13" s="1"/>
  <c r="K227" i="13" s="1"/>
  <c r="L227" i="13" s="1"/>
  <c r="M227" i="13" s="1"/>
  <c r="H213" i="13"/>
  <c r="G213" i="13"/>
  <c r="G212" i="13"/>
  <c r="H212" i="13" s="1"/>
  <c r="I212" i="13" s="1"/>
  <c r="J212" i="13" s="1"/>
  <c r="K212" i="13" s="1"/>
  <c r="L212" i="13" s="1"/>
  <c r="M212" i="13" s="1"/>
  <c r="S211" i="13"/>
  <c r="G211" i="13"/>
  <c r="H211" i="13" s="1"/>
  <c r="I211" i="13" s="1"/>
  <c r="J211" i="13" s="1"/>
  <c r="K211" i="13" s="1"/>
  <c r="L211" i="13" s="1"/>
  <c r="M211" i="13" s="1"/>
  <c r="H197" i="13"/>
  <c r="G197" i="13"/>
  <c r="G196" i="13"/>
  <c r="H196" i="13" s="1"/>
  <c r="I196" i="13" s="1"/>
  <c r="J196" i="13" s="1"/>
  <c r="K196" i="13" s="1"/>
  <c r="L196" i="13" s="1"/>
  <c r="M196" i="13" s="1"/>
  <c r="S195" i="13"/>
  <c r="G195" i="13"/>
  <c r="H195" i="13" s="1"/>
  <c r="I195" i="13" s="1"/>
  <c r="J195" i="13" s="1"/>
  <c r="K195" i="13" s="1"/>
  <c r="L195" i="13" s="1"/>
  <c r="M195" i="13" s="1"/>
  <c r="H181" i="13"/>
  <c r="G181" i="13"/>
  <c r="G180" i="13"/>
  <c r="H180" i="13" s="1"/>
  <c r="I180" i="13" s="1"/>
  <c r="J180" i="13" s="1"/>
  <c r="K180" i="13" s="1"/>
  <c r="L180" i="13" s="1"/>
  <c r="M180" i="13" s="1"/>
  <c r="S179" i="13"/>
  <c r="G179" i="13"/>
  <c r="H179" i="13" s="1"/>
  <c r="I179" i="13" s="1"/>
  <c r="J179" i="13" s="1"/>
  <c r="K179" i="13" s="1"/>
  <c r="L179" i="13" s="1"/>
  <c r="M179" i="13" s="1"/>
  <c r="H165" i="13"/>
  <c r="G165" i="13"/>
  <c r="G164" i="13"/>
  <c r="H164" i="13" s="1"/>
  <c r="I164" i="13" s="1"/>
  <c r="J164" i="13" s="1"/>
  <c r="K164" i="13" s="1"/>
  <c r="L164" i="13" s="1"/>
  <c r="M164" i="13" s="1"/>
  <c r="S163" i="13"/>
  <c r="G163" i="13"/>
  <c r="H163" i="13" s="1"/>
  <c r="I163" i="13" s="1"/>
  <c r="J163" i="13" s="1"/>
  <c r="K163" i="13" s="1"/>
  <c r="L163" i="13" s="1"/>
  <c r="M163" i="13" s="1"/>
  <c r="H149" i="13"/>
  <c r="G149" i="13"/>
  <c r="G148" i="13"/>
  <c r="H148" i="13" s="1"/>
  <c r="I148" i="13" s="1"/>
  <c r="J148" i="13" s="1"/>
  <c r="K148" i="13" s="1"/>
  <c r="L148" i="13" s="1"/>
  <c r="M148" i="13" s="1"/>
  <c r="S147" i="13"/>
  <c r="G147" i="13"/>
  <c r="H147" i="13" s="1"/>
  <c r="I147" i="13" s="1"/>
  <c r="J147" i="13" s="1"/>
  <c r="K147" i="13" s="1"/>
  <c r="L147" i="13" s="1"/>
  <c r="M147" i="13" s="1"/>
  <c r="H133" i="13"/>
  <c r="G133" i="13"/>
  <c r="G132" i="13"/>
  <c r="H132" i="13" s="1"/>
  <c r="I132" i="13" s="1"/>
  <c r="J132" i="13" s="1"/>
  <c r="K132" i="13" s="1"/>
  <c r="L132" i="13" s="1"/>
  <c r="M132" i="13" s="1"/>
  <c r="S131" i="13"/>
  <c r="G131" i="13"/>
  <c r="H131" i="13" s="1"/>
  <c r="I131" i="13" s="1"/>
  <c r="J131" i="13" s="1"/>
  <c r="K131" i="13" s="1"/>
  <c r="L131" i="13" s="1"/>
  <c r="M131" i="13" s="1"/>
  <c r="H117" i="13"/>
  <c r="G117" i="13"/>
  <c r="G116" i="13"/>
  <c r="H116" i="13" s="1"/>
  <c r="I116" i="13" s="1"/>
  <c r="J116" i="13" s="1"/>
  <c r="K116" i="13" s="1"/>
  <c r="L116" i="13" s="1"/>
  <c r="M116" i="13" s="1"/>
  <c r="S115" i="13"/>
  <c r="G115" i="13"/>
  <c r="H115" i="13" s="1"/>
  <c r="I115" i="13" s="1"/>
  <c r="J115" i="13" s="1"/>
  <c r="K115" i="13" s="1"/>
  <c r="L115" i="13" s="1"/>
  <c r="M115" i="13" s="1"/>
  <c r="H101" i="13"/>
  <c r="G101" i="13"/>
  <c r="G100" i="13"/>
  <c r="H100" i="13" s="1"/>
  <c r="I100" i="13" s="1"/>
  <c r="J100" i="13" s="1"/>
  <c r="K100" i="13" s="1"/>
  <c r="L100" i="13" s="1"/>
  <c r="M100" i="13" s="1"/>
  <c r="S99" i="13"/>
  <c r="G99" i="13"/>
  <c r="H99" i="13" s="1"/>
  <c r="I99" i="13" s="1"/>
  <c r="J99" i="13" s="1"/>
  <c r="K99" i="13" s="1"/>
  <c r="L99" i="13" s="1"/>
  <c r="M99" i="13" s="1"/>
  <c r="H85" i="13"/>
  <c r="G85" i="13"/>
  <c r="G84" i="13"/>
  <c r="H84" i="13" s="1"/>
  <c r="I84" i="13" s="1"/>
  <c r="J84" i="13" s="1"/>
  <c r="K84" i="13" s="1"/>
  <c r="L84" i="13" s="1"/>
  <c r="M84" i="13" s="1"/>
  <c r="S83" i="13"/>
  <c r="G83" i="13"/>
  <c r="H83" i="13" s="1"/>
  <c r="I83" i="13" s="1"/>
  <c r="J83" i="13" s="1"/>
  <c r="K83" i="13" s="1"/>
  <c r="L83" i="13" s="1"/>
  <c r="M83" i="13" s="1"/>
  <c r="H69" i="13"/>
  <c r="G69" i="13"/>
  <c r="G68" i="13"/>
  <c r="H68" i="13" s="1"/>
  <c r="I68" i="13" s="1"/>
  <c r="J68" i="13" s="1"/>
  <c r="K68" i="13" s="1"/>
  <c r="L68" i="13" s="1"/>
  <c r="M68" i="13" s="1"/>
  <c r="S67" i="13"/>
  <c r="G67" i="13"/>
  <c r="H67" i="13" s="1"/>
  <c r="I67" i="13" s="1"/>
  <c r="J67" i="13" s="1"/>
  <c r="K67" i="13" s="1"/>
  <c r="L67" i="13" s="1"/>
  <c r="M67" i="13" s="1"/>
  <c r="H53" i="13"/>
  <c r="G53" i="13"/>
  <c r="G52" i="13"/>
  <c r="H52" i="13" s="1"/>
  <c r="I52" i="13" s="1"/>
  <c r="J52" i="13" s="1"/>
  <c r="K52" i="13" s="1"/>
  <c r="L52" i="13" s="1"/>
  <c r="M52" i="13" s="1"/>
  <c r="S51" i="13"/>
  <c r="G51" i="13"/>
  <c r="H51" i="13" s="1"/>
  <c r="I51" i="13" s="1"/>
  <c r="J51" i="13" s="1"/>
  <c r="K51" i="13" s="1"/>
  <c r="L51" i="13" s="1"/>
  <c r="M51" i="13" s="1"/>
  <c r="H37" i="13"/>
  <c r="G37" i="13"/>
  <c r="G36" i="13"/>
  <c r="H36" i="13" s="1"/>
  <c r="I36" i="13" s="1"/>
  <c r="J36" i="13" s="1"/>
  <c r="K36" i="13" s="1"/>
  <c r="L36" i="13" s="1"/>
  <c r="M36" i="13" s="1"/>
  <c r="S35" i="13"/>
  <c r="G35" i="13"/>
  <c r="H35" i="13" s="1"/>
  <c r="I35" i="13" s="1"/>
  <c r="J35" i="13" s="1"/>
  <c r="K35" i="13" s="1"/>
  <c r="L35" i="13" s="1"/>
  <c r="M35" i="13" s="1"/>
  <c r="A35" i="13"/>
  <c r="A51" i="13" s="1"/>
  <c r="A67" i="13" s="1"/>
  <c r="A83" i="13" s="1"/>
  <c r="A99" i="13" s="1"/>
  <c r="A115" i="13" s="1"/>
  <c r="A131" i="13" s="1"/>
  <c r="A147" i="13" s="1"/>
  <c r="A163" i="13" s="1"/>
  <c r="A179" i="13" s="1"/>
  <c r="A195" i="13" s="1"/>
  <c r="A211" i="13" s="1"/>
  <c r="A227" i="13" s="1"/>
  <c r="A243" i="13" s="1"/>
  <c r="A259" i="13" s="1"/>
  <c r="A275" i="13" s="1"/>
  <c r="A291" i="13" s="1"/>
  <c r="A307" i="13" s="1"/>
  <c r="A323" i="13" s="1"/>
  <c r="A339" i="13" s="1"/>
  <c r="A355" i="13" s="1"/>
  <c r="A371" i="13" s="1"/>
  <c r="A387" i="13" s="1"/>
  <c r="A403" i="13" s="1"/>
  <c r="A419" i="13" s="1"/>
  <c r="A435" i="13" s="1"/>
  <c r="A451" i="13" s="1"/>
  <c r="A467" i="13" s="1"/>
  <c r="A483" i="13" s="1"/>
  <c r="A499" i="13" s="1"/>
  <c r="A515" i="13" s="1"/>
  <c r="A531" i="13" s="1"/>
  <c r="A547" i="13" s="1"/>
  <c r="A563" i="13" s="1"/>
  <c r="A579" i="13" s="1"/>
  <c r="A595" i="13" s="1"/>
  <c r="A611" i="13" s="1"/>
  <c r="A627" i="13" s="1"/>
  <c r="A643" i="13" s="1"/>
  <c r="A659" i="13" s="1"/>
  <c r="A675" i="13" s="1"/>
  <c r="A691" i="13" s="1"/>
  <c r="A707" i="13" s="1"/>
  <c r="A723" i="13" s="1"/>
  <c r="A739" i="13" s="1"/>
  <c r="A755" i="13" s="1"/>
  <c r="A771" i="13" s="1"/>
  <c r="A787" i="13" s="1"/>
  <c r="A803" i="13" s="1"/>
  <c r="H21" i="13"/>
  <c r="G21" i="13"/>
  <c r="G20" i="13"/>
  <c r="H20" i="13" s="1"/>
  <c r="I20" i="13" s="1"/>
  <c r="J20" i="13" s="1"/>
  <c r="K20" i="13" s="1"/>
  <c r="L20" i="13" s="1"/>
  <c r="M20" i="13" s="1"/>
  <c r="C20" i="13"/>
  <c r="C36" i="13" s="1"/>
  <c r="C52" i="13" s="1"/>
  <c r="C68" i="13" s="1"/>
  <c r="C84" i="13" s="1"/>
  <c r="C100" i="13" s="1"/>
  <c r="C116" i="13" s="1"/>
  <c r="C132" i="13" s="1"/>
  <c r="C148" i="13" s="1"/>
  <c r="C164" i="13" s="1"/>
  <c r="C180" i="13" s="1"/>
  <c r="C196" i="13" s="1"/>
  <c r="C212" i="13" s="1"/>
  <c r="C228" i="13" s="1"/>
  <c r="C244" i="13" s="1"/>
  <c r="C260" i="13" s="1"/>
  <c r="C276" i="13" s="1"/>
  <c r="C292" i="13" s="1"/>
  <c r="C308" i="13" s="1"/>
  <c r="C324" i="13" s="1"/>
  <c r="C340" i="13" s="1"/>
  <c r="C356" i="13" s="1"/>
  <c r="C372" i="13" s="1"/>
  <c r="C388" i="13" s="1"/>
  <c r="C404" i="13" s="1"/>
  <c r="C420" i="13" s="1"/>
  <c r="C436" i="13" s="1"/>
  <c r="C452" i="13" s="1"/>
  <c r="C468" i="13" s="1"/>
  <c r="C484" i="13" s="1"/>
  <c r="C500" i="13" s="1"/>
  <c r="C516" i="13" s="1"/>
  <c r="C532" i="13" s="1"/>
  <c r="C548" i="13" s="1"/>
  <c r="C564" i="13" s="1"/>
  <c r="C580" i="13" s="1"/>
  <c r="C596" i="13" s="1"/>
  <c r="C612" i="13" s="1"/>
  <c r="C628" i="13" s="1"/>
  <c r="C644" i="13" s="1"/>
  <c r="C660" i="13" s="1"/>
  <c r="C676" i="13" s="1"/>
  <c r="C692" i="13" s="1"/>
  <c r="C708" i="13" s="1"/>
  <c r="C724" i="13" s="1"/>
  <c r="C740" i="13" s="1"/>
  <c r="C756" i="13" s="1"/>
  <c r="C772" i="13" s="1"/>
  <c r="C788" i="13" s="1"/>
  <c r="C804" i="13" s="1"/>
  <c r="S19" i="13"/>
  <c r="G19" i="13"/>
  <c r="H19" i="13" s="1"/>
  <c r="I19" i="13" s="1"/>
  <c r="J19" i="13" s="1"/>
  <c r="K19" i="13" s="1"/>
  <c r="L19" i="13" s="1"/>
  <c r="M19" i="13" s="1"/>
  <c r="H4" i="13"/>
  <c r="I4" i="13" s="1"/>
  <c r="J4" i="13" s="1"/>
  <c r="K4" i="13" s="1"/>
  <c r="M4" i="13" s="1"/>
  <c r="S3" i="13"/>
  <c r="H3" i="13"/>
  <c r="I3" i="13" s="1"/>
  <c r="J3" i="13" s="1"/>
  <c r="K3" i="13" s="1"/>
  <c r="L3" i="13" s="1"/>
  <c r="M3" i="13" s="1"/>
  <c r="X1" i="13"/>
  <c r="T1" i="13"/>
  <c r="L816" i="12"/>
  <c r="M816" i="12" s="1"/>
  <c r="L815" i="12"/>
  <c r="M815" i="12" s="1"/>
  <c r="L814" i="12"/>
  <c r="M814" i="12" s="1"/>
  <c r="L813" i="12"/>
  <c r="M813" i="12" s="1"/>
  <c r="L812" i="12"/>
  <c r="M812" i="12" s="1"/>
  <c r="L811" i="12"/>
  <c r="L810" i="12"/>
  <c r="M810" i="12" s="1"/>
  <c r="L809" i="12"/>
  <c r="M809" i="12" s="1"/>
  <c r="L808" i="12"/>
  <c r="M808" i="12" s="1"/>
  <c r="K807" i="12"/>
  <c r="J807" i="12"/>
  <c r="I807" i="12"/>
  <c r="H807" i="12"/>
  <c r="G807" i="12"/>
  <c r="K805" i="12"/>
  <c r="J805" i="12"/>
  <c r="I805" i="12"/>
  <c r="H805" i="12"/>
  <c r="G805" i="12"/>
  <c r="G804" i="12"/>
  <c r="H804" i="12" s="1"/>
  <c r="I804" i="12" s="1"/>
  <c r="J804" i="12" s="1"/>
  <c r="K804" i="12" s="1"/>
  <c r="L804" i="12" s="1"/>
  <c r="M804" i="12" s="1"/>
  <c r="U803" i="12"/>
  <c r="S803" i="12"/>
  <c r="G803" i="12"/>
  <c r="H803" i="12" s="1"/>
  <c r="I803" i="12" s="1"/>
  <c r="J803" i="12" s="1"/>
  <c r="K803" i="12" s="1"/>
  <c r="L803" i="12" s="1"/>
  <c r="M803" i="12" s="1"/>
  <c r="L800" i="12"/>
  <c r="M800" i="12" s="1"/>
  <c r="L799" i="12"/>
  <c r="M799" i="12" s="1"/>
  <c r="M798" i="12"/>
  <c r="L798" i="12"/>
  <c r="W787" i="12" s="1"/>
  <c r="L797" i="12"/>
  <c r="M797" i="12" s="1"/>
  <c r="L796" i="12"/>
  <c r="L795" i="12"/>
  <c r="M795" i="12" s="1"/>
  <c r="L794" i="12"/>
  <c r="V787" i="12" s="1"/>
  <c r="L793" i="12"/>
  <c r="M793" i="12" s="1"/>
  <c r="L792" i="12"/>
  <c r="K791" i="12"/>
  <c r="J791" i="12"/>
  <c r="I791" i="12"/>
  <c r="H791" i="12"/>
  <c r="G791" i="12"/>
  <c r="K789" i="12"/>
  <c r="J789" i="12"/>
  <c r="I789" i="12"/>
  <c r="H789" i="12"/>
  <c r="G789" i="12"/>
  <c r="G788" i="12"/>
  <c r="H788" i="12" s="1"/>
  <c r="I788" i="12" s="1"/>
  <c r="J788" i="12" s="1"/>
  <c r="K788" i="12" s="1"/>
  <c r="L788" i="12" s="1"/>
  <c r="M788" i="12" s="1"/>
  <c r="U787" i="12"/>
  <c r="S787" i="12"/>
  <c r="H787" i="12"/>
  <c r="I787" i="12" s="1"/>
  <c r="J787" i="12" s="1"/>
  <c r="K787" i="12" s="1"/>
  <c r="L787" i="12" s="1"/>
  <c r="M787" i="12" s="1"/>
  <c r="G787" i="12"/>
  <c r="L784" i="12"/>
  <c r="M784" i="12" s="1"/>
  <c r="L783" i="12"/>
  <c r="M783" i="12" s="1"/>
  <c r="M782" i="12"/>
  <c r="L782" i="12"/>
  <c r="W771" i="12" s="1"/>
  <c r="L781" i="12"/>
  <c r="M781" i="12" s="1"/>
  <c r="L780" i="12"/>
  <c r="L779" i="12"/>
  <c r="M779" i="12" s="1"/>
  <c r="L778" i="12"/>
  <c r="V771" i="12" s="1"/>
  <c r="L777" i="12"/>
  <c r="M777" i="12" s="1"/>
  <c r="L776" i="12"/>
  <c r="K775" i="12"/>
  <c r="J775" i="12"/>
  <c r="I775" i="12"/>
  <c r="H775" i="12"/>
  <c r="G775" i="12"/>
  <c r="K773" i="12"/>
  <c r="J773" i="12"/>
  <c r="I773" i="12"/>
  <c r="H773" i="12"/>
  <c r="G773" i="12"/>
  <c r="G772" i="12"/>
  <c r="H772" i="12" s="1"/>
  <c r="I772" i="12" s="1"/>
  <c r="J772" i="12" s="1"/>
  <c r="K772" i="12" s="1"/>
  <c r="L772" i="12" s="1"/>
  <c r="M772" i="12" s="1"/>
  <c r="U771" i="12"/>
  <c r="S771" i="12"/>
  <c r="H771" i="12"/>
  <c r="I771" i="12" s="1"/>
  <c r="J771" i="12" s="1"/>
  <c r="K771" i="12" s="1"/>
  <c r="L771" i="12" s="1"/>
  <c r="M771" i="12" s="1"/>
  <c r="G771" i="12"/>
  <c r="L768" i="12"/>
  <c r="M768" i="12" s="1"/>
  <c r="L767" i="12"/>
  <c r="M767" i="12" s="1"/>
  <c r="M766" i="12"/>
  <c r="L766" i="12"/>
  <c r="W755" i="12" s="1"/>
  <c r="L765" i="12"/>
  <c r="M765" i="12" s="1"/>
  <c r="L764" i="12"/>
  <c r="L763" i="12"/>
  <c r="M763" i="12" s="1"/>
  <c r="L762" i="12"/>
  <c r="L761" i="12"/>
  <c r="M761" i="12" s="1"/>
  <c r="L760" i="12"/>
  <c r="K759" i="12"/>
  <c r="J759" i="12"/>
  <c r="I759" i="12"/>
  <c r="H759" i="12"/>
  <c r="G759" i="12"/>
  <c r="K757" i="12"/>
  <c r="J757" i="12"/>
  <c r="I757" i="12"/>
  <c r="H757" i="12"/>
  <c r="G757" i="12"/>
  <c r="G756" i="12"/>
  <c r="H756" i="12" s="1"/>
  <c r="I756" i="12" s="1"/>
  <c r="J756" i="12" s="1"/>
  <c r="K756" i="12" s="1"/>
  <c r="L756" i="12" s="1"/>
  <c r="M756" i="12" s="1"/>
  <c r="U755" i="12"/>
  <c r="S755" i="12"/>
  <c r="H755" i="12"/>
  <c r="I755" i="12" s="1"/>
  <c r="J755" i="12" s="1"/>
  <c r="K755" i="12" s="1"/>
  <c r="L755" i="12" s="1"/>
  <c r="M755" i="12" s="1"/>
  <c r="G755" i="12"/>
  <c r="L752" i="12"/>
  <c r="M752" i="12" s="1"/>
  <c r="L751" i="12"/>
  <c r="M751" i="12" s="1"/>
  <c r="M750" i="12"/>
  <c r="L750" i="12"/>
  <c r="W739" i="12" s="1"/>
  <c r="L749" i="12"/>
  <c r="M749" i="12" s="1"/>
  <c r="L748" i="12"/>
  <c r="L747" i="12"/>
  <c r="M747" i="12" s="1"/>
  <c r="L746" i="12"/>
  <c r="L745" i="12"/>
  <c r="M745" i="12" s="1"/>
  <c r="L744" i="12"/>
  <c r="K743" i="12"/>
  <c r="J743" i="12"/>
  <c r="I743" i="12"/>
  <c r="H743" i="12"/>
  <c r="G743" i="12"/>
  <c r="K741" i="12"/>
  <c r="J741" i="12"/>
  <c r="I741" i="12"/>
  <c r="H741" i="12"/>
  <c r="G741" i="12"/>
  <c r="G740" i="12"/>
  <c r="H740" i="12" s="1"/>
  <c r="I740" i="12" s="1"/>
  <c r="J740" i="12" s="1"/>
  <c r="K740" i="12" s="1"/>
  <c r="L740" i="12" s="1"/>
  <c r="M740" i="12" s="1"/>
  <c r="U739" i="12"/>
  <c r="S739" i="12"/>
  <c r="G739" i="12"/>
  <c r="H739" i="12" s="1"/>
  <c r="I739" i="12" s="1"/>
  <c r="J739" i="12" s="1"/>
  <c r="K739" i="12" s="1"/>
  <c r="L739" i="12" s="1"/>
  <c r="M739" i="12" s="1"/>
  <c r="L736" i="12"/>
  <c r="M736" i="12" s="1"/>
  <c r="L735" i="12"/>
  <c r="M735" i="12" s="1"/>
  <c r="M734" i="12"/>
  <c r="L734" i="12"/>
  <c r="W723" i="12" s="1"/>
  <c r="L733" i="12"/>
  <c r="M733" i="12" s="1"/>
  <c r="L732" i="12"/>
  <c r="L731" i="12"/>
  <c r="M731" i="12" s="1"/>
  <c r="L730" i="12"/>
  <c r="L729" i="12"/>
  <c r="M729" i="12" s="1"/>
  <c r="L728" i="12"/>
  <c r="K727" i="12"/>
  <c r="J727" i="12"/>
  <c r="I727" i="12"/>
  <c r="H727" i="12"/>
  <c r="G727" i="12"/>
  <c r="K725" i="12"/>
  <c r="J725" i="12"/>
  <c r="I725" i="12"/>
  <c r="H725" i="12"/>
  <c r="G725" i="12"/>
  <c r="G724" i="12"/>
  <c r="H724" i="12" s="1"/>
  <c r="I724" i="12" s="1"/>
  <c r="J724" i="12" s="1"/>
  <c r="K724" i="12" s="1"/>
  <c r="L724" i="12" s="1"/>
  <c r="M724" i="12" s="1"/>
  <c r="U723" i="12"/>
  <c r="S723" i="12"/>
  <c r="G723" i="12"/>
  <c r="H723" i="12" s="1"/>
  <c r="I723" i="12" s="1"/>
  <c r="J723" i="12" s="1"/>
  <c r="K723" i="12" s="1"/>
  <c r="L723" i="12" s="1"/>
  <c r="M723" i="12" s="1"/>
  <c r="L720" i="12"/>
  <c r="M720" i="12" s="1"/>
  <c r="L719" i="12"/>
  <c r="M719" i="12" s="1"/>
  <c r="L718" i="12"/>
  <c r="L717" i="12"/>
  <c r="M717" i="12" s="1"/>
  <c r="M716" i="12"/>
  <c r="L716" i="12"/>
  <c r="X707" i="12" s="1"/>
  <c r="L715" i="12"/>
  <c r="M715" i="12" s="1"/>
  <c r="L714" i="12"/>
  <c r="L713" i="12"/>
  <c r="L712" i="12"/>
  <c r="K711" i="12"/>
  <c r="J711" i="12"/>
  <c r="I711" i="12"/>
  <c r="H711" i="12"/>
  <c r="G711" i="12"/>
  <c r="K709" i="12"/>
  <c r="J709" i="12"/>
  <c r="I709" i="12"/>
  <c r="H709" i="12"/>
  <c r="G709" i="12"/>
  <c r="G708" i="12"/>
  <c r="H708" i="12" s="1"/>
  <c r="I708" i="12" s="1"/>
  <c r="J708" i="12" s="1"/>
  <c r="K708" i="12" s="1"/>
  <c r="L708" i="12" s="1"/>
  <c r="M708" i="12" s="1"/>
  <c r="S707" i="12"/>
  <c r="G707" i="12"/>
  <c r="H707" i="12" s="1"/>
  <c r="I707" i="12" s="1"/>
  <c r="J707" i="12" s="1"/>
  <c r="K707" i="12" s="1"/>
  <c r="L707" i="12" s="1"/>
  <c r="M707" i="12" s="1"/>
  <c r="L704" i="12"/>
  <c r="M704" i="12" s="1"/>
  <c r="L703" i="12"/>
  <c r="M703" i="12" s="1"/>
  <c r="M702" i="12"/>
  <c r="L702" i="12"/>
  <c r="W691" i="12" s="1"/>
  <c r="L701" i="12"/>
  <c r="M701" i="12" s="1"/>
  <c r="L700" i="12"/>
  <c r="L699" i="12"/>
  <c r="M699" i="12" s="1"/>
  <c r="L698" i="12"/>
  <c r="L697" i="12"/>
  <c r="M697" i="12" s="1"/>
  <c r="L696" i="12"/>
  <c r="K695" i="12"/>
  <c r="J695" i="12"/>
  <c r="I695" i="12"/>
  <c r="H695" i="12"/>
  <c r="G695" i="12"/>
  <c r="K693" i="12"/>
  <c r="J693" i="12"/>
  <c r="I693" i="12"/>
  <c r="H693" i="12"/>
  <c r="G693" i="12"/>
  <c r="G692" i="12"/>
  <c r="H692" i="12" s="1"/>
  <c r="I692" i="12" s="1"/>
  <c r="J692" i="12" s="1"/>
  <c r="K692" i="12" s="1"/>
  <c r="L692" i="12" s="1"/>
  <c r="M692" i="12" s="1"/>
  <c r="S691" i="12"/>
  <c r="M691" i="12"/>
  <c r="G691" i="12"/>
  <c r="H691" i="12" s="1"/>
  <c r="I691" i="12" s="1"/>
  <c r="J691" i="12" s="1"/>
  <c r="K691" i="12" s="1"/>
  <c r="L691" i="12" s="1"/>
  <c r="L688" i="12"/>
  <c r="M688" i="12" s="1"/>
  <c r="L687" i="12"/>
  <c r="M687" i="12" s="1"/>
  <c r="L686" i="12"/>
  <c r="L685" i="12"/>
  <c r="M685" i="12" s="1"/>
  <c r="M684" i="12"/>
  <c r="L684" i="12"/>
  <c r="X675" i="12" s="1"/>
  <c r="L683" i="12"/>
  <c r="M683" i="12" s="1"/>
  <c r="L682" i="12"/>
  <c r="M682" i="12" s="1"/>
  <c r="L681" i="12"/>
  <c r="M681" i="12" s="1"/>
  <c r="L680" i="12"/>
  <c r="M680" i="12" s="1"/>
  <c r="K679" i="12"/>
  <c r="J679" i="12"/>
  <c r="I679" i="12"/>
  <c r="H679" i="12"/>
  <c r="G679" i="12"/>
  <c r="K677" i="12"/>
  <c r="J677" i="12"/>
  <c r="I677" i="12"/>
  <c r="H677" i="12"/>
  <c r="G677" i="12"/>
  <c r="G676" i="12"/>
  <c r="H676" i="12" s="1"/>
  <c r="I676" i="12" s="1"/>
  <c r="J676" i="12" s="1"/>
  <c r="K676" i="12" s="1"/>
  <c r="L676" i="12" s="1"/>
  <c r="M676" i="12" s="1"/>
  <c r="S675" i="12"/>
  <c r="G675" i="12"/>
  <c r="H675" i="12" s="1"/>
  <c r="I675" i="12" s="1"/>
  <c r="J675" i="12" s="1"/>
  <c r="K675" i="12" s="1"/>
  <c r="L675" i="12" s="1"/>
  <c r="M675" i="12" s="1"/>
  <c r="M672" i="12"/>
  <c r="L672" i="12"/>
  <c r="L671" i="12"/>
  <c r="M671" i="12" s="1"/>
  <c r="L670" i="12"/>
  <c r="L669" i="12"/>
  <c r="M669" i="12" s="1"/>
  <c r="M668" i="12"/>
  <c r="L668" i="12"/>
  <c r="L667" i="12"/>
  <c r="M667" i="12" s="1"/>
  <c r="L666" i="12"/>
  <c r="M666" i="12" s="1"/>
  <c r="L665" i="12"/>
  <c r="M664" i="12"/>
  <c r="L664" i="12"/>
  <c r="K663" i="12"/>
  <c r="J663" i="12"/>
  <c r="I663" i="12"/>
  <c r="H663" i="12"/>
  <c r="G663" i="12"/>
  <c r="K661" i="12"/>
  <c r="J661" i="12"/>
  <c r="I661" i="12"/>
  <c r="H661" i="12"/>
  <c r="G661" i="12"/>
  <c r="H660" i="12"/>
  <c r="I660" i="12" s="1"/>
  <c r="J660" i="12" s="1"/>
  <c r="K660" i="12" s="1"/>
  <c r="L660" i="12" s="1"/>
  <c r="M660" i="12" s="1"/>
  <c r="G660" i="12"/>
  <c r="X659" i="12"/>
  <c r="S659" i="12"/>
  <c r="I659" i="12"/>
  <c r="J659" i="12" s="1"/>
  <c r="K659" i="12" s="1"/>
  <c r="L659" i="12" s="1"/>
  <c r="M659" i="12" s="1"/>
  <c r="G659" i="12"/>
  <c r="H659" i="12" s="1"/>
  <c r="M656" i="12"/>
  <c r="L656" i="12"/>
  <c r="L655" i="12"/>
  <c r="M655" i="12" s="1"/>
  <c r="L654" i="12"/>
  <c r="L653" i="12"/>
  <c r="M653" i="12" s="1"/>
  <c r="M652" i="12"/>
  <c r="L652" i="12"/>
  <c r="L651" i="12"/>
  <c r="M651" i="12" s="1"/>
  <c r="L650" i="12"/>
  <c r="M650" i="12" s="1"/>
  <c r="L649" i="12"/>
  <c r="M648" i="12"/>
  <c r="L648" i="12"/>
  <c r="K647" i="12"/>
  <c r="J647" i="12"/>
  <c r="I647" i="12"/>
  <c r="H647" i="12"/>
  <c r="G647" i="12"/>
  <c r="K645" i="12"/>
  <c r="J645" i="12"/>
  <c r="I645" i="12"/>
  <c r="H645" i="12"/>
  <c r="G645" i="12"/>
  <c r="G644" i="12"/>
  <c r="H644" i="12" s="1"/>
  <c r="I644" i="12" s="1"/>
  <c r="J644" i="12" s="1"/>
  <c r="K644" i="12" s="1"/>
  <c r="L644" i="12" s="1"/>
  <c r="M644" i="12" s="1"/>
  <c r="X643" i="12"/>
  <c r="S643" i="12"/>
  <c r="G643" i="12"/>
  <c r="H643" i="12" s="1"/>
  <c r="I643" i="12" s="1"/>
  <c r="J643" i="12" s="1"/>
  <c r="K643" i="12" s="1"/>
  <c r="L643" i="12" s="1"/>
  <c r="M643" i="12" s="1"/>
  <c r="M640" i="12"/>
  <c r="L640" i="12"/>
  <c r="L639" i="12"/>
  <c r="M639" i="12" s="1"/>
  <c r="L638" i="12"/>
  <c r="L637" i="12"/>
  <c r="M637" i="12" s="1"/>
  <c r="M636" i="12"/>
  <c r="L636" i="12"/>
  <c r="L635" i="12"/>
  <c r="M635" i="12" s="1"/>
  <c r="L634" i="12"/>
  <c r="M634" i="12" s="1"/>
  <c r="L633" i="12"/>
  <c r="M632" i="12"/>
  <c r="L632" i="12"/>
  <c r="K631" i="12"/>
  <c r="J631" i="12"/>
  <c r="I631" i="12"/>
  <c r="H631" i="12"/>
  <c r="G631" i="12"/>
  <c r="K629" i="12"/>
  <c r="J629" i="12"/>
  <c r="I629" i="12"/>
  <c r="H629" i="12"/>
  <c r="G629" i="12"/>
  <c r="H628" i="12"/>
  <c r="I628" i="12" s="1"/>
  <c r="J628" i="12" s="1"/>
  <c r="K628" i="12" s="1"/>
  <c r="L628" i="12" s="1"/>
  <c r="M628" i="12" s="1"/>
  <c r="G628" i="12"/>
  <c r="X627" i="12"/>
  <c r="S627" i="12"/>
  <c r="I627" i="12"/>
  <c r="J627" i="12" s="1"/>
  <c r="K627" i="12" s="1"/>
  <c r="L627" i="12" s="1"/>
  <c r="M627" i="12" s="1"/>
  <c r="G627" i="12"/>
  <c r="H627" i="12" s="1"/>
  <c r="M624" i="12"/>
  <c r="L624" i="12"/>
  <c r="L623" i="12"/>
  <c r="M623" i="12" s="1"/>
  <c r="L622" i="12"/>
  <c r="L621" i="12"/>
  <c r="M621" i="12" s="1"/>
  <c r="M620" i="12"/>
  <c r="L620" i="12"/>
  <c r="L619" i="12"/>
  <c r="M619" i="12" s="1"/>
  <c r="L618" i="12"/>
  <c r="M618" i="12" s="1"/>
  <c r="L617" i="12"/>
  <c r="L616" i="12"/>
  <c r="M616" i="12" s="1"/>
  <c r="K615" i="12"/>
  <c r="J615" i="12"/>
  <c r="I615" i="12"/>
  <c r="H615" i="12"/>
  <c r="G615" i="12"/>
  <c r="K613" i="12"/>
  <c r="J613" i="12"/>
  <c r="I613" i="12"/>
  <c r="H613" i="12"/>
  <c r="G613" i="12"/>
  <c r="G612" i="12"/>
  <c r="H612" i="12" s="1"/>
  <c r="I612" i="12" s="1"/>
  <c r="J612" i="12" s="1"/>
  <c r="K612" i="12" s="1"/>
  <c r="L612" i="12" s="1"/>
  <c r="M612" i="12" s="1"/>
  <c r="X611" i="12"/>
  <c r="S611" i="12"/>
  <c r="G611" i="12"/>
  <c r="H611" i="12" s="1"/>
  <c r="I611" i="12" s="1"/>
  <c r="J611" i="12" s="1"/>
  <c r="K611" i="12" s="1"/>
  <c r="L611" i="12" s="1"/>
  <c r="M611" i="12" s="1"/>
  <c r="M608" i="12"/>
  <c r="L608" i="12"/>
  <c r="L607" i="12"/>
  <c r="M607" i="12" s="1"/>
  <c r="L606" i="12"/>
  <c r="M606" i="12" s="1"/>
  <c r="L605" i="12"/>
  <c r="M605" i="12" s="1"/>
  <c r="M604" i="12"/>
  <c r="L604" i="12"/>
  <c r="X595" i="12" s="1"/>
  <c r="L603" i="12"/>
  <c r="M603" i="12" s="1"/>
  <c r="L602" i="12"/>
  <c r="L601" i="12"/>
  <c r="M600" i="12"/>
  <c r="L600" i="12"/>
  <c r="K599" i="12"/>
  <c r="J599" i="12"/>
  <c r="I599" i="12"/>
  <c r="H599" i="12"/>
  <c r="G599" i="12"/>
  <c r="K597" i="12"/>
  <c r="J597" i="12"/>
  <c r="I597" i="12"/>
  <c r="H597" i="12"/>
  <c r="G597" i="12"/>
  <c r="G596" i="12"/>
  <c r="H596" i="12" s="1"/>
  <c r="I596" i="12" s="1"/>
  <c r="J596" i="12" s="1"/>
  <c r="K596" i="12" s="1"/>
  <c r="L596" i="12" s="1"/>
  <c r="M596" i="12" s="1"/>
  <c r="W595" i="12"/>
  <c r="S595" i="12"/>
  <c r="G595" i="12"/>
  <c r="H595" i="12" s="1"/>
  <c r="I595" i="12" s="1"/>
  <c r="J595" i="12" s="1"/>
  <c r="K595" i="12" s="1"/>
  <c r="L595" i="12" s="1"/>
  <c r="M595" i="12" s="1"/>
  <c r="L592" i="12"/>
  <c r="M592" i="12" s="1"/>
  <c r="L591" i="12"/>
  <c r="M591" i="12" s="1"/>
  <c r="L590" i="12"/>
  <c r="M590" i="12" s="1"/>
  <c r="L589" i="12"/>
  <c r="M589" i="12" s="1"/>
  <c r="L588" i="12"/>
  <c r="M588" i="12" s="1"/>
  <c r="L587" i="12"/>
  <c r="M587" i="12" s="1"/>
  <c r="L586" i="12"/>
  <c r="M586" i="12" s="1"/>
  <c r="L585" i="12"/>
  <c r="M585" i="12" s="1"/>
  <c r="L584" i="12"/>
  <c r="K583" i="12"/>
  <c r="J583" i="12"/>
  <c r="I583" i="12"/>
  <c r="H583" i="12"/>
  <c r="G583" i="12"/>
  <c r="K581" i="12"/>
  <c r="J581" i="12"/>
  <c r="I581" i="12"/>
  <c r="H581" i="12"/>
  <c r="G581" i="12"/>
  <c r="K580" i="12"/>
  <c r="L580" i="12" s="1"/>
  <c r="M580" i="12" s="1"/>
  <c r="G580" i="12"/>
  <c r="H580" i="12" s="1"/>
  <c r="I580" i="12" s="1"/>
  <c r="J580" i="12" s="1"/>
  <c r="X579" i="12"/>
  <c r="W579" i="12"/>
  <c r="S579" i="12"/>
  <c r="G579" i="12"/>
  <c r="H579" i="12" s="1"/>
  <c r="I579" i="12" s="1"/>
  <c r="J579" i="12" s="1"/>
  <c r="K579" i="12" s="1"/>
  <c r="L579" i="12" s="1"/>
  <c r="M579" i="12" s="1"/>
  <c r="L576" i="12"/>
  <c r="M576" i="12" s="1"/>
  <c r="L575" i="12"/>
  <c r="M575" i="12" s="1"/>
  <c r="L574" i="12"/>
  <c r="L573" i="12"/>
  <c r="M573" i="12" s="1"/>
  <c r="L572" i="12"/>
  <c r="X563" i="12" s="1"/>
  <c r="L571" i="12"/>
  <c r="M571" i="12" s="1"/>
  <c r="L570" i="12"/>
  <c r="L569" i="12"/>
  <c r="M569" i="12" s="1"/>
  <c r="L568" i="12"/>
  <c r="K567" i="12"/>
  <c r="J567" i="12"/>
  <c r="I567" i="12"/>
  <c r="H567" i="12"/>
  <c r="G567" i="12"/>
  <c r="K565" i="12"/>
  <c r="J565" i="12"/>
  <c r="I565" i="12"/>
  <c r="H565" i="12"/>
  <c r="G565" i="12"/>
  <c r="G564" i="12"/>
  <c r="H564" i="12" s="1"/>
  <c r="I564" i="12" s="1"/>
  <c r="J564" i="12" s="1"/>
  <c r="K564" i="12" s="1"/>
  <c r="L564" i="12" s="1"/>
  <c r="M564" i="12" s="1"/>
  <c r="U563" i="12"/>
  <c r="S563" i="12"/>
  <c r="G563" i="12"/>
  <c r="H563" i="12" s="1"/>
  <c r="I563" i="12" s="1"/>
  <c r="J563" i="12" s="1"/>
  <c r="K563" i="12" s="1"/>
  <c r="L563" i="12" s="1"/>
  <c r="M563" i="12" s="1"/>
  <c r="L560" i="12"/>
  <c r="M560" i="12" s="1"/>
  <c r="L559" i="12"/>
  <c r="M559" i="12" s="1"/>
  <c r="M558" i="12"/>
  <c r="L558" i="12"/>
  <c r="W547" i="12" s="1"/>
  <c r="L557" i="12"/>
  <c r="M557" i="12" s="1"/>
  <c r="L556" i="12"/>
  <c r="X547" i="12" s="1"/>
  <c r="L555" i="12"/>
  <c r="M555" i="12" s="1"/>
  <c r="L554" i="12"/>
  <c r="L553" i="12"/>
  <c r="L552" i="12"/>
  <c r="K551" i="12"/>
  <c r="J551" i="12"/>
  <c r="I551" i="12"/>
  <c r="H551" i="12"/>
  <c r="G551" i="12"/>
  <c r="K549" i="12"/>
  <c r="J549" i="12"/>
  <c r="I549" i="12"/>
  <c r="H549" i="12"/>
  <c r="G549" i="12"/>
  <c r="G548" i="12"/>
  <c r="H548" i="12" s="1"/>
  <c r="I548" i="12" s="1"/>
  <c r="J548" i="12" s="1"/>
  <c r="K548" i="12" s="1"/>
  <c r="L548" i="12" s="1"/>
  <c r="M548" i="12" s="1"/>
  <c r="S547" i="12"/>
  <c r="G547" i="12"/>
  <c r="H547" i="12" s="1"/>
  <c r="I547" i="12" s="1"/>
  <c r="J547" i="12" s="1"/>
  <c r="K547" i="12" s="1"/>
  <c r="L547" i="12" s="1"/>
  <c r="M547" i="12" s="1"/>
  <c r="L544" i="12"/>
  <c r="M544" i="12" s="1"/>
  <c r="L543" i="12"/>
  <c r="M543" i="12" s="1"/>
  <c r="L542" i="12"/>
  <c r="L541" i="12"/>
  <c r="M541" i="12" s="1"/>
  <c r="L540" i="12"/>
  <c r="X531" i="12" s="1"/>
  <c r="L539" i="12"/>
  <c r="M539" i="12" s="1"/>
  <c r="L538" i="12"/>
  <c r="L537" i="12"/>
  <c r="M537" i="12" s="1"/>
  <c r="L536" i="12"/>
  <c r="K535" i="12"/>
  <c r="J535" i="12"/>
  <c r="I535" i="12"/>
  <c r="H535" i="12"/>
  <c r="G535" i="12"/>
  <c r="K533" i="12"/>
  <c r="J533" i="12"/>
  <c r="I533" i="12"/>
  <c r="H533" i="12"/>
  <c r="G533" i="12"/>
  <c r="G532" i="12"/>
  <c r="H532" i="12" s="1"/>
  <c r="I532" i="12" s="1"/>
  <c r="J532" i="12" s="1"/>
  <c r="K532" i="12" s="1"/>
  <c r="L532" i="12" s="1"/>
  <c r="M532" i="12" s="1"/>
  <c r="S531" i="12"/>
  <c r="H531" i="12"/>
  <c r="I531" i="12" s="1"/>
  <c r="J531" i="12" s="1"/>
  <c r="K531" i="12" s="1"/>
  <c r="L531" i="12" s="1"/>
  <c r="M531" i="12" s="1"/>
  <c r="G531" i="12"/>
  <c r="L528" i="12"/>
  <c r="M528" i="12" s="1"/>
  <c r="L527" i="12"/>
  <c r="M527" i="12" s="1"/>
  <c r="M526" i="12"/>
  <c r="L526" i="12"/>
  <c r="W515" i="12" s="1"/>
  <c r="L525" i="12"/>
  <c r="M525" i="12" s="1"/>
  <c r="L524" i="12"/>
  <c r="X515" i="12" s="1"/>
  <c r="L523" i="12"/>
  <c r="M523" i="12" s="1"/>
  <c r="L522" i="12"/>
  <c r="L521" i="12"/>
  <c r="L520" i="12"/>
  <c r="K519" i="12"/>
  <c r="J519" i="12"/>
  <c r="I519" i="12"/>
  <c r="H519" i="12"/>
  <c r="G519" i="12"/>
  <c r="K517" i="12"/>
  <c r="J517" i="12"/>
  <c r="I517" i="12"/>
  <c r="H517" i="12"/>
  <c r="G517" i="12"/>
  <c r="G516" i="12"/>
  <c r="H516" i="12" s="1"/>
  <c r="I516" i="12" s="1"/>
  <c r="J516" i="12" s="1"/>
  <c r="K516" i="12" s="1"/>
  <c r="L516" i="12" s="1"/>
  <c r="M516" i="12" s="1"/>
  <c r="S515" i="12"/>
  <c r="G515" i="12"/>
  <c r="H515" i="12" s="1"/>
  <c r="I515" i="12" s="1"/>
  <c r="J515" i="12" s="1"/>
  <c r="K515" i="12" s="1"/>
  <c r="L515" i="12" s="1"/>
  <c r="M515" i="12" s="1"/>
  <c r="L512" i="12"/>
  <c r="M512" i="12" s="1"/>
  <c r="L511" i="12"/>
  <c r="M511" i="12" s="1"/>
  <c r="L510" i="12"/>
  <c r="L509" i="12"/>
  <c r="M509" i="12" s="1"/>
  <c r="L508" i="12"/>
  <c r="X499" i="12" s="1"/>
  <c r="L507" i="12"/>
  <c r="M507" i="12" s="1"/>
  <c r="L506" i="12"/>
  <c r="L505" i="12"/>
  <c r="M505" i="12" s="1"/>
  <c r="L504" i="12"/>
  <c r="K503" i="12"/>
  <c r="J503" i="12"/>
  <c r="I503" i="12"/>
  <c r="H503" i="12"/>
  <c r="G503" i="12"/>
  <c r="K501" i="12"/>
  <c r="J501" i="12"/>
  <c r="I501" i="12"/>
  <c r="H501" i="12"/>
  <c r="G501" i="12"/>
  <c r="G500" i="12"/>
  <c r="H500" i="12" s="1"/>
  <c r="I500" i="12" s="1"/>
  <c r="J500" i="12" s="1"/>
  <c r="K500" i="12" s="1"/>
  <c r="L500" i="12" s="1"/>
  <c r="M500" i="12" s="1"/>
  <c r="S499" i="12"/>
  <c r="G499" i="12"/>
  <c r="H499" i="12" s="1"/>
  <c r="I499" i="12" s="1"/>
  <c r="J499" i="12" s="1"/>
  <c r="K499" i="12" s="1"/>
  <c r="L499" i="12" s="1"/>
  <c r="M499" i="12" s="1"/>
  <c r="L496" i="12"/>
  <c r="M496" i="12" s="1"/>
  <c r="L495" i="12"/>
  <c r="M495" i="12" s="1"/>
  <c r="L494" i="12"/>
  <c r="W483" i="12" s="1"/>
  <c r="L493" i="12"/>
  <c r="M493" i="12" s="1"/>
  <c r="L492" i="12"/>
  <c r="X483" i="12" s="1"/>
  <c r="L491" i="12"/>
  <c r="M491" i="12" s="1"/>
  <c r="L490" i="12"/>
  <c r="L489" i="12"/>
  <c r="L488" i="12"/>
  <c r="K487" i="12"/>
  <c r="J487" i="12"/>
  <c r="I487" i="12"/>
  <c r="H487" i="12"/>
  <c r="G487" i="12"/>
  <c r="K485" i="12"/>
  <c r="J485" i="12"/>
  <c r="I485" i="12"/>
  <c r="H485" i="12"/>
  <c r="G485" i="12"/>
  <c r="G484" i="12"/>
  <c r="H484" i="12" s="1"/>
  <c r="I484" i="12" s="1"/>
  <c r="J484" i="12" s="1"/>
  <c r="K484" i="12" s="1"/>
  <c r="L484" i="12" s="1"/>
  <c r="M484" i="12" s="1"/>
  <c r="S483" i="12"/>
  <c r="G483" i="12"/>
  <c r="H483" i="12" s="1"/>
  <c r="I483" i="12" s="1"/>
  <c r="J483" i="12" s="1"/>
  <c r="K483" i="12" s="1"/>
  <c r="L483" i="12" s="1"/>
  <c r="M483" i="12" s="1"/>
  <c r="L480" i="12"/>
  <c r="M480" i="12" s="1"/>
  <c r="L479" i="12"/>
  <c r="M479" i="12" s="1"/>
  <c r="L478" i="12"/>
  <c r="L477" i="12"/>
  <c r="M477" i="12" s="1"/>
  <c r="L476" i="12"/>
  <c r="X467" i="12" s="1"/>
  <c r="L475" i="12"/>
  <c r="M475" i="12" s="1"/>
  <c r="L474" i="12"/>
  <c r="L473" i="12"/>
  <c r="M473" i="12" s="1"/>
  <c r="L472" i="12"/>
  <c r="K471" i="12"/>
  <c r="J471" i="12"/>
  <c r="I471" i="12"/>
  <c r="H471" i="12"/>
  <c r="G471" i="12"/>
  <c r="K469" i="12"/>
  <c r="J469" i="12"/>
  <c r="I469" i="12"/>
  <c r="H469" i="12"/>
  <c r="G469" i="12"/>
  <c r="G468" i="12"/>
  <c r="H468" i="12" s="1"/>
  <c r="I468" i="12" s="1"/>
  <c r="J468" i="12" s="1"/>
  <c r="K468" i="12" s="1"/>
  <c r="L468" i="12" s="1"/>
  <c r="M468" i="12" s="1"/>
  <c r="S467" i="12"/>
  <c r="M467" i="12"/>
  <c r="G467" i="12"/>
  <c r="H467" i="12" s="1"/>
  <c r="I467" i="12" s="1"/>
  <c r="J467" i="12" s="1"/>
  <c r="K467" i="12" s="1"/>
  <c r="L467" i="12" s="1"/>
  <c r="L464" i="12"/>
  <c r="M464" i="12" s="1"/>
  <c r="L463" i="12"/>
  <c r="M463" i="12" s="1"/>
  <c r="L462" i="12"/>
  <c r="L461" i="12"/>
  <c r="M461" i="12" s="1"/>
  <c r="M460" i="12"/>
  <c r="L460" i="12"/>
  <c r="X451" i="12" s="1"/>
  <c r="L459" i="12"/>
  <c r="M459" i="12" s="1"/>
  <c r="L458" i="12"/>
  <c r="L457" i="12"/>
  <c r="L456" i="12"/>
  <c r="K455" i="12"/>
  <c r="J455" i="12"/>
  <c r="I455" i="12"/>
  <c r="H455" i="12"/>
  <c r="G455" i="12"/>
  <c r="K453" i="12"/>
  <c r="J453" i="12"/>
  <c r="I453" i="12"/>
  <c r="H453" i="12"/>
  <c r="G453" i="12"/>
  <c r="G452" i="12"/>
  <c r="H452" i="12" s="1"/>
  <c r="I452" i="12" s="1"/>
  <c r="J452" i="12" s="1"/>
  <c r="K452" i="12" s="1"/>
  <c r="L452" i="12" s="1"/>
  <c r="M452" i="12" s="1"/>
  <c r="S451" i="12"/>
  <c r="H451" i="12"/>
  <c r="I451" i="12" s="1"/>
  <c r="J451" i="12" s="1"/>
  <c r="K451" i="12" s="1"/>
  <c r="L451" i="12" s="1"/>
  <c r="M451" i="12" s="1"/>
  <c r="G451" i="12"/>
  <c r="L448" i="12"/>
  <c r="M448" i="12" s="1"/>
  <c r="L447" i="12"/>
  <c r="M447" i="12" s="1"/>
  <c r="L446" i="12"/>
  <c r="W435" i="12" s="1"/>
  <c r="L445" i="12"/>
  <c r="M445" i="12" s="1"/>
  <c r="L444" i="12"/>
  <c r="L443" i="12"/>
  <c r="M443" i="12" s="1"/>
  <c r="L442" i="12"/>
  <c r="L441" i="12"/>
  <c r="M441" i="12" s="1"/>
  <c r="L440" i="12"/>
  <c r="K439" i="12"/>
  <c r="J439" i="12"/>
  <c r="I439" i="12"/>
  <c r="H439" i="12"/>
  <c r="G439" i="12"/>
  <c r="K437" i="12"/>
  <c r="J437" i="12"/>
  <c r="I437" i="12"/>
  <c r="H437" i="12"/>
  <c r="G437" i="12"/>
  <c r="G436" i="12"/>
  <c r="H436" i="12" s="1"/>
  <c r="I436" i="12" s="1"/>
  <c r="J436" i="12" s="1"/>
  <c r="K436" i="12" s="1"/>
  <c r="L436" i="12" s="1"/>
  <c r="M436" i="12" s="1"/>
  <c r="S435" i="12"/>
  <c r="G435" i="12"/>
  <c r="H435" i="12" s="1"/>
  <c r="I435" i="12" s="1"/>
  <c r="J435" i="12" s="1"/>
  <c r="K435" i="12" s="1"/>
  <c r="L435" i="12" s="1"/>
  <c r="M435" i="12" s="1"/>
  <c r="L432" i="12"/>
  <c r="M432" i="12" s="1"/>
  <c r="L431" i="12"/>
  <c r="M431" i="12" s="1"/>
  <c r="L430" i="12"/>
  <c r="L429" i="12"/>
  <c r="M429" i="12" s="1"/>
  <c r="M428" i="12"/>
  <c r="L428" i="12"/>
  <c r="X419" i="12" s="1"/>
  <c r="L427" i="12"/>
  <c r="M427" i="12" s="1"/>
  <c r="L426" i="12"/>
  <c r="L425" i="12"/>
  <c r="L424" i="12"/>
  <c r="K423" i="12"/>
  <c r="J423" i="12"/>
  <c r="I423" i="12"/>
  <c r="H423" i="12"/>
  <c r="G423" i="12"/>
  <c r="K421" i="12"/>
  <c r="J421" i="12"/>
  <c r="I421" i="12"/>
  <c r="H421" i="12"/>
  <c r="G421" i="12"/>
  <c r="G420" i="12"/>
  <c r="H420" i="12" s="1"/>
  <c r="I420" i="12" s="1"/>
  <c r="J420" i="12" s="1"/>
  <c r="K420" i="12" s="1"/>
  <c r="L420" i="12" s="1"/>
  <c r="M420" i="12" s="1"/>
  <c r="S419" i="12"/>
  <c r="H419" i="12"/>
  <c r="I419" i="12" s="1"/>
  <c r="J419" i="12" s="1"/>
  <c r="K419" i="12" s="1"/>
  <c r="L419" i="12" s="1"/>
  <c r="M419" i="12" s="1"/>
  <c r="G419" i="12"/>
  <c r="L416" i="12"/>
  <c r="M416" i="12" s="1"/>
  <c r="L415" i="12"/>
  <c r="M415" i="12" s="1"/>
  <c r="L414" i="12"/>
  <c r="W403" i="12" s="1"/>
  <c r="L413" i="12"/>
  <c r="M413" i="12" s="1"/>
  <c r="L412" i="12"/>
  <c r="L411" i="12"/>
  <c r="M411" i="12" s="1"/>
  <c r="L410" i="12"/>
  <c r="L409" i="12"/>
  <c r="M409" i="12" s="1"/>
  <c r="L408" i="12"/>
  <c r="K407" i="12"/>
  <c r="J407" i="12"/>
  <c r="I407" i="12"/>
  <c r="H407" i="12"/>
  <c r="G407" i="12"/>
  <c r="K405" i="12"/>
  <c r="J405" i="12"/>
  <c r="I405" i="12"/>
  <c r="H405" i="12"/>
  <c r="G405" i="12"/>
  <c r="G404" i="12"/>
  <c r="H404" i="12" s="1"/>
  <c r="I404" i="12" s="1"/>
  <c r="J404" i="12" s="1"/>
  <c r="K404" i="12" s="1"/>
  <c r="L404" i="12" s="1"/>
  <c r="M404" i="12" s="1"/>
  <c r="S403" i="12"/>
  <c r="G403" i="12"/>
  <c r="H403" i="12" s="1"/>
  <c r="I403" i="12" s="1"/>
  <c r="J403" i="12" s="1"/>
  <c r="K403" i="12" s="1"/>
  <c r="L403" i="12" s="1"/>
  <c r="M403" i="12" s="1"/>
  <c r="L400" i="12"/>
  <c r="M400" i="12" s="1"/>
  <c r="L399" i="12"/>
  <c r="M399" i="12" s="1"/>
  <c r="L398" i="12"/>
  <c r="L397" i="12"/>
  <c r="M397" i="12" s="1"/>
  <c r="M396" i="12"/>
  <c r="L396" i="12"/>
  <c r="X387" i="12" s="1"/>
  <c r="L395" i="12"/>
  <c r="M395" i="12" s="1"/>
  <c r="L394" i="12"/>
  <c r="L393" i="12"/>
  <c r="L392" i="12"/>
  <c r="K391" i="12"/>
  <c r="J391" i="12"/>
  <c r="I391" i="12"/>
  <c r="H391" i="12"/>
  <c r="G391" i="12"/>
  <c r="K389" i="12"/>
  <c r="J389" i="12"/>
  <c r="I389" i="12"/>
  <c r="H389" i="12"/>
  <c r="G389" i="12"/>
  <c r="G388" i="12"/>
  <c r="H388" i="12" s="1"/>
  <c r="I388" i="12" s="1"/>
  <c r="J388" i="12" s="1"/>
  <c r="K388" i="12" s="1"/>
  <c r="L388" i="12" s="1"/>
  <c r="M388" i="12" s="1"/>
  <c r="S387" i="12"/>
  <c r="G387" i="12"/>
  <c r="H387" i="12" s="1"/>
  <c r="I387" i="12" s="1"/>
  <c r="J387" i="12" s="1"/>
  <c r="K387" i="12" s="1"/>
  <c r="L387" i="12" s="1"/>
  <c r="M387" i="12" s="1"/>
  <c r="L384" i="12"/>
  <c r="M384" i="12" s="1"/>
  <c r="L383" i="12"/>
  <c r="M383" i="12" s="1"/>
  <c r="L382" i="12"/>
  <c r="W371" i="12" s="1"/>
  <c r="L381" i="12"/>
  <c r="M381" i="12" s="1"/>
  <c r="L380" i="12"/>
  <c r="L379" i="12"/>
  <c r="M379" i="12" s="1"/>
  <c r="L378" i="12"/>
  <c r="L377" i="12"/>
  <c r="L376" i="12"/>
  <c r="K375" i="12"/>
  <c r="J375" i="12"/>
  <c r="I375" i="12"/>
  <c r="H375" i="12"/>
  <c r="G375" i="12"/>
  <c r="K373" i="12"/>
  <c r="J373" i="12"/>
  <c r="I373" i="12"/>
  <c r="H373" i="12"/>
  <c r="G373" i="12"/>
  <c r="G372" i="12"/>
  <c r="H372" i="12" s="1"/>
  <c r="I372" i="12" s="1"/>
  <c r="J372" i="12" s="1"/>
  <c r="K372" i="12" s="1"/>
  <c r="L372" i="12" s="1"/>
  <c r="M372" i="12" s="1"/>
  <c r="S371" i="12"/>
  <c r="G371" i="12"/>
  <c r="H371" i="12" s="1"/>
  <c r="I371" i="12" s="1"/>
  <c r="J371" i="12" s="1"/>
  <c r="K371" i="12" s="1"/>
  <c r="L371" i="12" s="1"/>
  <c r="M371" i="12" s="1"/>
  <c r="L368" i="12"/>
  <c r="M368" i="12" s="1"/>
  <c r="L367" i="12"/>
  <c r="M367" i="12" s="1"/>
  <c r="L366" i="12"/>
  <c r="W355" i="12" s="1"/>
  <c r="L365" i="12"/>
  <c r="M365" i="12" s="1"/>
  <c r="L364" i="12"/>
  <c r="L363" i="12"/>
  <c r="M363" i="12" s="1"/>
  <c r="L362" i="12"/>
  <c r="L361" i="12"/>
  <c r="M361" i="12" s="1"/>
  <c r="L360" i="12"/>
  <c r="K359" i="12"/>
  <c r="J359" i="12"/>
  <c r="I359" i="12"/>
  <c r="H359" i="12"/>
  <c r="G359" i="12"/>
  <c r="K357" i="12"/>
  <c r="J357" i="12"/>
  <c r="I357" i="12"/>
  <c r="H357" i="12"/>
  <c r="G357" i="12"/>
  <c r="G356" i="12"/>
  <c r="H356" i="12" s="1"/>
  <c r="I356" i="12" s="1"/>
  <c r="J356" i="12" s="1"/>
  <c r="K356" i="12" s="1"/>
  <c r="L356" i="12" s="1"/>
  <c r="M356" i="12" s="1"/>
  <c r="S355" i="12"/>
  <c r="M355" i="12"/>
  <c r="G355" i="12"/>
  <c r="H355" i="12" s="1"/>
  <c r="I355" i="12" s="1"/>
  <c r="J355" i="12" s="1"/>
  <c r="K355" i="12" s="1"/>
  <c r="L355" i="12" s="1"/>
  <c r="L352" i="12"/>
  <c r="M352" i="12" s="1"/>
  <c r="L351" i="12"/>
  <c r="M351" i="12" s="1"/>
  <c r="L350" i="12"/>
  <c r="L349" i="12"/>
  <c r="M349" i="12" s="1"/>
  <c r="L348" i="12"/>
  <c r="X339" i="12" s="1"/>
  <c r="L347" i="12"/>
  <c r="M347" i="12" s="1"/>
  <c r="L346" i="12"/>
  <c r="L345" i="12"/>
  <c r="L344" i="12"/>
  <c r="K343" i="12"/>
  <c r="J343" i="12"/>
  <c r="I343" i="12"/>
  <c r="H343" i="12"/>
  <c r="G343" i="12"/>
  <c r="K341" i="12"/>
  <c r="J341" i="12"/>
  <c r="I341" i="12"/>
  <c r="H341" i="12"/>
  <c r="G341" i="12"/>
  <c r="G340" i="12"/>
  <c r="H340" i="12" s="1"/>
  <c r="I340" i="12" s="1"/>
  <c r="J340" i="12" s="1"/>
  <c r="K340" i="12" s="1"/>
  <c r="L340" i="12" s="1"/>
  <c r="M340" i="12" s="1"/>
  <c r="S339" i="12"/>
  <c r="G339" i="12"/>
  <c r="H339" i="12" s="1"/>
  <c r="I339" i="12" s="1"/>
  <c r="J339" i="12" s="1"/>
  <c r="K339" i="12" s="1"/>
  <c r="L339" i="12" s="1"/>
  <c r="M339" i="12" s="1"/>
  <c r="L336" i="12"/>
  <c r="M336" i="12" s="1"/>
  <c r="L335" i="12"/>
  <c r="M335" i="12" s="1"/>
  <c r="L334" i="12"/>
  <c r="L333" i="12"/>
  <c r="M333" i="12" s="1"/>
  <c r="L332" i="12"/>
  <c r="M332" i="12" s="1"/>
  <c r="M331" i="12"/>
  <c r="L331" i="12"/>
  <c r="L330" i="12"/>
  <c r="L329" i="12"/>
  <c r="M329" i="12" s="1"/>
  <c r="L328" i="12"/>
  <c r="M328" i="12" s="1"/>
  <c r="K327" i="12"/>
  <c r="J327" i="12"/>
  <c r="I327" i="12"/>
  <c r="H327" i="12"/>
  <c r="G327" i="12"/>
  <c r="K325" i="12"/>
  <c r="J325" i="12"/>
  <c r="I325" i="12"/>
  <c r="H325" i="12"/>
  <c r="G325" i="12"/>
  <c r="G324" i="12"/>
  <c r="H324" i="12" s="1"/>
  <c r="I324" i="12" s="1"/>
  <c r="J324" i="12" s="1"/>
  <c r="K324" i="12" s="1"/>
  <c r="L324" i="12" s="1"/>
  <c r="M324" i="12" s="1"/>
  <c r="X323" i="12"/>
  <c r="S323" i="12"/>
  <c r="G323" i="12"/>
  <c r="H323" i="12" s="1"/>
  <c r="I323" i="12" s="1"/>
  <c r="J323" i="12" s="1"/>
  <c r="K323" i="12" s="1"/>
  <c r="L323" i="12" s="1"/>
  <c r="M323" i="12" s="1"/>
  <c r="L320" i="12"/>
  <c r="M320" i="12" s="1"/>
  <c r="L319" i="12"/>
  <c r="M319" i="12" s="1"/>
  <c r="L318" i="12"/>
  <c r="W307" i="12" s="1"/>
  <c r="L317" i="12"/>
  <c r="M317" i="12" s="1"/>
  <c r="L316" i="12"/>
  <c r="L315" i="12"/>
  <c r="M315" i="12" s="1"/>
  <c r="L314" i="12"/>
  <c r="M314" i="12" s="1"/>
  <c r="L313" i="12"/>
  <c r="M313" i="12" s="1"/>
  <c r="L312" i="12"/>
  <c r="K311" i="12"/>
  <c r="J311" i="12"/>
  <c r="I311" i="12"/>
  <c r="H311" i="12"/>
  <c r="G311" i="12"/>
  <c r="K309" i="12"/>
  <c r="J309" i="12"/>
  <c r="I309" i="12"/>
  <c r="H309" i="12"/>
  <c r="G309" i="12"/>
  <c r="G308" i="12"/>
  <c r="H308" i="12" s="1"/>
  <c r="I308" i="12" s="1"/>
  <c r="J308" i="12" s="1"/>
  <c r="K308" i="12" s="1"/>
  <c r="L308" i="12" s="1"/>
  <c r="M308" i="12" s="1"/>
  <c r="V307" i="12"/>
  <c r="S307" i="12"/>
  <c r="G307" i="12"/>
  <c r="H307" i="12" s="1"/>
  <c r="I307" i="12" s="1"/>
  <c r="J307" i="12" s="1"/>
  <c r="K307" i="12" s="1"/>
  <c r="L307" i="12" s="1"/>
  <c r="M307" i="12" s="1"/>
  <c r="M304" i="12"/>
  <c r="L304" i="12"/>
  <c r="L303" i="12"/>
  <c r="M303" i="12" s="1"/>
  <c r="L302" i="12"/>
  <c r="L301" i="12"/>
  <c r="M301" i="12" s="1"/>
  <c r="M300" i="12"/>
  <c r="L300" i="12"/>
  <c r="X291" i="12" s="1"/>
  <c r="L299" i="12"/>
  <c r="M299" i="12" s="1"/>
  <c r="L298" i="12"/>
  <c r="L297" i="12"/>
  <c r="M297" i="12" s="1"/>
  <c r="L296" i="12"/>
  <c r="M296" i="12" s="1"/>
  <c r="K295" i="12"/>
  <c r="J295" i="12"/>
  <c r="I295" i="12"/>
  <c r="H295" i="12"/>
  <c r="G295" i="12"/>
  <c r="K293" i="12"/>
  <c r="J293" i="12"/>
  <c r="I293" i="12"/>
  <c r="H293" i="12"/>
  <c r="G293" i="12"/>
  <c r="G292" i="12"/>
  <c r="H292" i="12" s="1"/>
  <c r="I292" i="12" s="1"/>
  <c r="J292" i="12" s="1"/>
  <c r="K292" i="12" s="1"/>
  <c r="L292" i="12" s="1"/>
  <c r="M292" i="12" s="1"/>
  <c r="S291" i="12"/>
  <c r="G291" i="12"/>
  <c r="H291" i="12" s="1"/>
  <c r="I291" i="12" s="1"/>
  <c r="J291" i="12" s="1"/>
  <c r="K291" i="12" s="1"/>
  <c r="L291" i="12" s="1"/>
  <c r="M291" i="12" s="1"/>
  <c r="M288" i="12"/>
  <c r="L288" i="12"/>
  <c r="L287" i="12"/>
  <c r="M287" i="12" s="1"/>
  <c r="L286" i="12"/>
  <c r="L285" i="12"/>
  <c r="M285" i="12" s="1"/>
  <c r="M284" i="12"/>
  <c r="L284" i="12"/>
  <c r="X275" i="12" s="1"/>
  <c r="L283" i="12"/>
  <c r="L282" i="12"/>
  <c r="M282" i="12" s="1"/>
  <c r="L281" i="12"/>
  <c r="M281" i="12" s="1"/>
  <c r="M280" i="12"/>
  <c r="L280" i="12"/>
  <c r="K279" i="12"/>
  <c r="J279" i="12"/>
  <c r="I279" i="12"/>
  <c r="H279" i="12"/>
  <c r="G279" i="12"/>
  <c r="K277" i="12"/>
  <c r="J277" i="12"/>
  <c r="I277" i="12"/>
  <c r="H277" i="12"/>
  <c r="G277" i="12"/>
  <c r="K276" i="12"/>
  <c r="L276" i="12" s="1"/>
  <c r="M276" i="12" s="1"/>
  <c r="G276" i="12"/>
  <c r="H276" i="12" s="1"/>
  <c r="I276" i="12" s="1"/>
  <c r="J276" i="12" s="1"/>
  <c r="S275" i="12"/>
  <c r="G275" i="12"/>
  <c r="H275" i="12" s="1"/>
  <c r="I275" i="12" s="1"/>
  <c r="J275" i="12" s="1"/>
  <c r="K275" i="12" s="1"/>
  <c r="L275" i="12" s="1"/>
  <c r="M275" i="12" s="1"/>
  <c r="M272" i="12"/>
  <c r="L272" i="12"/>
  <c r="L271" i="12"/>
  <c r="M271" i="12" s="1"/>
  <c r="L270" i="12"/>
  <c r="L269" i="12"/>
  <c r="M269" i="12" s="1"/>
  <c r="M268" i="12"/>
  <c r="L268" i="12"/>
  <c r="X259" i="12" s="1"/>
  <c r="L267" i="12"/>
  <c r="M267" i="12" s="1"/>
  <c r="L266" i="12"/>
  <c r="L265" i="12"/>
  <c r="M265" i="12" s="1"/>
  <c r="L264" i="12"/>
  <c r="M264" i="12" s="1"/>
  <c r="K263" i="12"/>
  <c r="J263" i="12"/>
  <c r="I263" i="12"/>
  <c r="H263" i="12"/>
  <c r="G263" i="12"/>
  <c r="K261" i="12"/>
  <c r="J261" i="12"/>
  <c r="I261" i="12"/>
  <c r="H261" i="12"/>
  <c r="G261" i="12"/>
  <c r="G260" i="12"/>
  <c r="H260" i="12" s="1"/>
  <c r="I260" i="12" s="1"/>
  <c r="J260" i="12" s="1"/>
  <c r="K260" i="12" s="1"/>
  <c r="L260" i="12" s="1"/>
  <c r="M260" i="12" s="1"/>
  <c r="S259" i="12"/>
  <c r="H259" i="12"/>
  <c r="I259" i="12" s="1"/>
  <c r="J259" i="12" s="1"/>
  <c r="K259" i="12" s="1"/>
  <c r="L259" i="12" s="1"/>
  <c r="M259" i="12" s="1"/>
  <c r="G259" i="12"/>
  <c r="M256" i="12"/>
  <c r="L256" i="12"/>
  <c r="L255" i="12"/>
  <c r="M255" i="12" s="1"/>
  <c r="L254" i="12"/>
  <c r="L253" i="12"/>
  <c r="M253" i="12" s="1"/>
  <c r="M252" i="12"/>
  <c r="L252" i="12"/>
  <c r="X243" i="12" s="1"/>
  <c r="L251" i="12"/>
  <c r="M251" i="12" s="1"/>
  <c r="L250" i="12"/>
  <c r="M250" i="12" s="1"/>
  <c r="L249" i="12"/>
  <c r="M249" i="12" s="1"/>
  <c r="M248" i="12"/>
  <c r="L248" i="12"/>
  <c r="K247" i="12"/>
  <c r="J247" i="12"/>
  <c r="I247" i="12"/>
  <c r="H247" i="12"/>
  <c r="G247" i="12"/>
  <c r="K245" i="12"/>
  <c r="J245" i="12"/>
  <c r="I245" i="12"/>
  <c r="H245" i="12"/>
  <c r="G245" i="12"/>
  <c r="K244" i="12"/>
  <c r="L244" i="12" s="1"/>
  <c r="M244" i="12" s="1"/>
  <c r="G244" i="12"/>
  <c r="H244" i="12" s="1"/>
  <c r="I244" i="12" s="1"/>
  <c r="J244" i="12" s="1"/>
  <c r="U243" i="12"/>
  <c r="S243" i="12"/>
  <c r="G243" i="12"/>
  <c r="H243" i="12" s="1"/>
  <c r="I243" i="12" s="1"/>
  <c r="J243" i="12" s="1"/>
  <c r="K243" i="12" s="1"/>
  <c r="L243" i="12" s="1"/>
  <c r="M243" i="12" s="1"/>
  <c r="M240" i="12"/>
  <c r="L240" i="12"/>
  <c r="L239" i="12"/>
  <c r="M239" i="12" s="1"/>
  <c r="L238" i="12"/>
  <c r="L237" i="12"/>
  <c r="M237" i="12" s="1"/>
  <c r="M236" i="12"/>
  <c r="L236" i="12"/>
  <c r="X227" i="12" s="1"/>
  <c r="L235" i="12"/>
  <c r="M235" i="12" s="1"/>
  <c r="L234" i="12"/>
  <c r="L233" i="12"/>
  <c r="M233" i="12" s="1"/>
  <c r="L232" i="12"/>
  <c r="M232" i="12" s="1"/>
  <c r="K231" i="12"/>
  <c r="J231" i="12"/>
  <c r="I231" i="12"/>
  <c r="H231" i="12"/>
  <c r="G231" i="12"/>
  <c r="K229" i="12"/>
  <c r="J229" i="12"/>
  <c r="I229" i="12"/>
  <c r="H229" i="12"/>
  <c r="G229" i="12"/>
  <c r="G228" i="12"/>
  <c r="H228" i="12" s="1"/>
  <c r="I228" i="12" s="1"/>
  <c r="J228" i="12" s="1"/>
  <c r="K228" i="12" s="1"/>
  <c r="L228" i="12" s="1"/>
  <c r="M228" i="12" s="1"/>
  <c r="U227" i="12"/>
  <c r="S227" i="12"/>
  <c r="G227" i="12"/>
  <c r="H227" i="12" s="1"/>
  <c r="I227" i="12" s="1"/>
  <c r="J227" i="12" s="1"/>
  <c r="K227" i="12" s="1"/>
  <c r="L227" i="12" s="1"/>
  <c r="M227" i="12" s="1"/>
  <c r="M224" i="12"/>
  <c r="L224" i="12"/>
  <c r="L223" i="12"/>
  <c r="M223" i="12" s="1"/>
  <c r="L222" i="12"/>
  <c r="L221" i="12"/>
  <c r="M221" i="12" s="1"/>
  <c r="M220" i="12"/>
  <c r="L220" i="12"/>
  <c r="X211" i="12" s="1"/>
  <c r="L219" i="12"/>
  <c r="M219" i="12" s="1"/>
  <c r="L218" i="12"/>
  <c r="L217" i="12"/>
  <c r="M217" i="12" s="1"/>
  <c r="L216" i="12"/>
  <c r="M216" i="12" s="1"/>
  <c r="K215" i="12"/>
  <c r="J215" i="12"/>
  <c r="I215" i="12"/>
  <c r="H215" i="12"/>
  <c r="G215" i="12"/>
  <c r="K213" i="12"/>
  <c r="J213" i="12"/>
  <c r="I213" i="12"/>
  <c r="H213" i="12"/>
  <c r="G213" i="12"/>
  <c r="G212" i="12"/>
  <c r="H212" i="12" s="1"/>
  <c r="I212" i="12" s="1"/>
  <c r="J212" i="12" s="1"/>
  <c r="K212" i="12" s="1"/>
  <c r="L212" i="12" s="1"/>
  <c r="M212" i="12" s="1"/>
  <c r="S211" i="12"/>
  <c r="H211" i="12"/>
  <c r="I211" i="12" s="1"/>
  <c r="J211" i="12" s="1"/>
  <c r="K211" i="12" s="1"/>
  <c r="L211" i="12" s="1"/>
  <c r="M211" i="12" s="1"/>
  <c r="G211" i="12"/>
  <c r="M208" i="12"/>
  <c r="L208" i="12"/>
  <c r="L207" i="12"/>
  <c r="M207" i="12" s="1"/>
  <c r="L206" i="12"/>
  <c r="W195" i="12" s="1"/>
  <c r="L205" i="12"/>
  <c r="M205" i="12" s="1"/>
  <c r="L204" i="12"/>
  <c r="L203" i="12"/>
  <c r="M203" i="12" s="1"/>
  <c r="L202" i="12"/>
  <c r="L201" i="12"/>
  <c r="M201" i="12" s="1"/>
  <c r="L200" i="12"/>
  <c r="M200" i="12" s="1"/>
  <c r="K199" i="12"/>
  <c r="J199" i="12"/>
  <c r="I199" i="12"/>
  <c r="H199" i="12"/>
  <c r="G199" i="12"/>
  <c r="K197" i="12"/>
  <c r="J197" i="12"/>
  <c r="I197" i="12"/>
  <c r="H197" i="12"/>
  <c r="G197" i="12"/>
  <c r="G196" i="12"/>
  <c r="H196" i="12" s="1"/>
  <c r="I196" i="12" s="1"/>
  <c r="J196" i="12" s="1"/>
  <c r="K196" i="12" s="1"/>
  <c r="L196" i="12" s="1"/>
  <c r="M196" i="12" s="1"/>
  <c r="S195" i="12"/>
  <c r="G195" i="12"/>
  <c r="H195" i="12" s="1"/>
  <c r="I195" i="12" s="1"/>
  <c r="J195" i="12" s="1"/>
  <c r="K195" i="12" s="1"/>
  <c r="L195" i="12" s="1"/>
  <c r="M195" i="12" s="1"/>
  <c r="L192" i="12"/>
  <c r="M192" i="12" s="1"/>
  <c r="L191" i="12"/>
  <c r="M191" i="12" s="1"/>
  <c r="L190" i="12"/>
  <c r="W179" i="12" s="1"/>
  <c r="L189" i="12"/>
  <c r="M189" i="12" s="1"/>
  <c r="L188" i="12"/>
  <c r="X179" i="12" s="1"/>
  <c r="L187" i="12"/>
  <c r="M187" i="12" s="1"/>
  <c r="L186" i="12"/>
  <c r="L185" i="12"/>
  <c r="L184" i="12"/>
  <c r="M184" i="12" s="1"/>
  <c r="K183" i="12"/>
  <c r="J183" i="12"/>
  <c r="I183" i="12"/>
  <c r="H183" i="12"/>
  <c r="G183" i="12"/>
  <c r="K181" i="12"/>
  <c r="J181" i="12"/>
  <c r="I181" i="12"/>
  <c r="H181" i="12"/>
  <c r="G181" i="12"/>
  <c r="G180" i="12"/>
  <c r="H180" i="12" s="1"/>
  <c r="I180" i="12" s="1"/>
  <c r="J180" i="12" s="1"/>
  <c r="K180" i="12" s="1"/>
  <c r="L180" i="12" s="1"/>
  <c r="M180" i="12" s="1"/>
  <c r="S179" i="12"/>
  <c r="H179" i="12"/>
  <c r="I179" i="12" s="1"/>
  <c r="J179" i="12" s="1"/>
  <c r="K179" i="12" s="1"/>
  <c r="L179" i="12" s="1"/>
  <c r="M179" i="12" s="1"/>
  <c r="G179" i="12"/>
  <c r="M176" i="12"/>
  <c r="L176" i="12"/>
  <c r="L175" i="12"/>
  <c r="M175" i="12" s="1"/>
  <c r="L174" i="12"/>
  <c r="W163" i="12" s="1"/>
  <c r="L173" i="12"/>
  <c r="M173" i="12" s="1"/>
  <c r="L172" i="12"/>
  <c r="L171" i="12"/>
  <c r="M171" i="12" s="1"/>
  <c r="L170" i="12"/>
  <c r="L169" i="12"/>
  <c r="M169" i="12" s="1"/>
  <c r="M168" i="12"/>
  <c r="L168" i="12"/>
  <c r="K167" i="12"/>
  <c r="J167" i="12"/>
  <c r="I167" i="12"/>
  <c r="H167" i="12"/>
  <c r="G167" i="12"/>
  <c r="K165" i="12"/>
  <c r="J165" i="12"/>
  <c r="I165" i="12"/>
  <c r="H165" i="12"/>
  <c r="G165" i="12"/>
  <c r="G164" i="12"/>
  <c r="H164" i="12" s="1"/>
  <c r="I164" i="12" s="1"/>
  <c r="J164" i="12" s="1"/>
  <c r="K164" i="12" s="1"/>
  <c r="L164" i="12" s="1"/>
  <c r="M164" i="12" s="1"/>
  <c r="S163" i="12"/>
  <c r="G163" i="12"/>
  <c r="H163" i="12" s="1"/>
  <c r="I163" i="12" s="1"/>
  <c r="J163" i="12" s="1"/>
  <c r="K163" i="12" s="1"/>
  <c r="L163" i="12" s="1"/>
  <c r="M163" i="12" s="1"/>
  <c r="L160" i="12"/>
  <c r="M160" i="12" s="1"/>
  <c r="L159" i="12"/>
  <c r="M159" i="12" s="1"/>
  <c r="L158" i="12"/>
  <c r="W147" i="12" s="1"/>
  <c r="L157" i="12"/>
  <c r="M157" i="12" s="1"/>
  <c r="M156" i="12"/>
  <c r="L156" i="12"/>
  <c r="X147" i="12" s="1"/>
  <c r="L155" i="12"/>
  <c r="M155" i="12" s="1"/>
  <c r="L154" i="12"/>
  <c r="L153" i="12"/>
  <c r="L152" i="12"/>
  <c r="M152" i="12" s="1"/>
  <c r="K151" i="12"/>
  <c r="J151" i="12"/>
  <c r="I151" i="12"/>
  <c r="H151" i="12"/>
  <c r="G151" i="12"/>
  <c r="K149" i="12"/>
  <c r="J149" i="12"/>
  <c r="I149" i="12"/>
  <c r="H149" i="12"/>
  <c r="G149" i="12"/>
  <c r="G148" i="12"/>
  <c r="H148" i="12" s="1"/>
  <c r="I148" i="12" s="1"/>
  <c r="J148" i="12" s="1"/>
  <c r="K148" i="12" s="1"/>
  <c r="L148" i="12" s="1"/>
  <c r="M148" i="12" s="1"/>
  <c r="S147" i="12"/>
  <c r="G147" i="12"/>
  <c r="H147" i="12" s="1"/>
  <c r="I147" i="12" s="1"/>
  <c r="J147" i="12" s="1"/>
  <c r="K147" i="12" s="1"/>
  <c r="L147" i="12" s="1"/>
  <c r="M147" i="12" s="1"/>
  <c r="M144" i="12"/>
  <c r="L144" i="12"/>
  <c r="L143" i="12"/>
  <c r="M143" i="12" s="1"/>
  <c r="L142" i="12"/>
  <c r="W131" i="12" s="1"/>
  <c r="L141" i="12"/>
  <c r="M141" i="12" s="1"/>
  <c r="L140" i="12"/>
  <c r="L139" i="12"/>
  <c r="M139" i="12" s="1"/>
  <c r="L138" i="12"/>
  <c r="L137" i="12"/>
  <c r="M137" i="12" s="1"/>
  <c r="M136" i="12"/>
  <c r="L136" i="12"/>
  <c r="K135" i="12"/>
  <c r="J135" i="12"/>
  <c r="I135" i="12"/>
  <c r="H135" i="12"/>
  <c r="G135" i="12"/>
  <c r="K133" i="12"/>
  <c r="J133" i="12"/>
  <c r="I133" i="12"/>
  <c r="H133" i="12"/>
  <c r="G133" i="12"/>
  <c r="G132" i="12"/>
  <c r="H132" i="12" s="1"/>
  <c r="I132" i="12" s="1"/>
  <c r="J132" i="12" s="1"/>
  <c r="K132" i="12" s="1"/>
  <c r="L132" i="12" s="1"/>
  <c r="M132" i="12" s="1"/>
  <c r="S131" i="12"/>
  <c r="G131" i="12"/>
  <c r="H131" i="12" s="1"/>
  <c r="I131" i="12" s="1"/>
  <c r="J131" i="12" s="1"/>
  <c r="K131" i="12" s="1"/>
  <c r="L131" i="12" s="1"/>
  <c r="M131" i="12" s="1"/>
  <c r="L128" i="12"/>
  <c r="M128" i="12" s="1"/>
  <c r="L127" i="12"/>
  <c r="M127" i="12" s="1"/>
  <c r="L126" i="12"/>
  <c r="M126" i="12" s="1"/>
  <c r="L125" i="12"/>
  <c r="M125" i="12" s="1"/>
  <c r="M124" i="12"/>
  <c r="L124" i="12"/>
  <c r="L123" i="12"/>
  <c r="L122" i="12"/>
  <c r="M122" i="12" s="1"/>
  <c r="L121" i="12"/>
  <c r="M121" i="12" s="1"/>
  <c r="L120" i="12"/>
  <c r="K119" i="12"/>
  <c r="J119" i="12"/>
  <c r="I119" i="12"/>
  <c r="H119" i="12"/>
  <c r="G119" i="12"/>
  <c r="K117" i="12"/>
  <c r="J117" i="12"/>
  <c r="I117" i="12"/>
  <c r="H117" i="12"/>
  <c r="G117" i="12"/>
  <c r="G116" i="12"/>
  <c r="H116" i="12" s="1"/>
  <c r="I116" i="12" s="1"/>
  <c r="J116" i="12" s="1"/>
  <c r="K116" i="12" s="1"/>
  <c r="L116" i="12" s="1"/>
  <c r="M116" i="12" s="1"/>
  <c r="X115" i="12"/>
  <c r="S115" i="12"/>
  <c r="I115" i="12"/>
  <c r="J115" i="12" s="1"/>
  <c r="K115" i="12" s="1"/>
  <c r="L115" i="12" s="1"/>
  <c r="M115" i="12" s="1"/>
  <c r="G115" i="12"/>
  <c r="H115" i="12" s="1"/>
  <c r="M112" i="12"/>
  <c r="L112" i="12"/>
  <c r="M111" i="12"/>
  <c r="L111" i="12"/>
  <c r="M110" i="12"/>
  <c r="L110" i="12"/>
  <c r="M109" i="12"/>
  <c r="L109" i="12"/>
  <c r="M108" i="12"/>
  <c r="L108" i="12"/>
  <c r="L107" i="12"/>
  <c r="M107" i="12" s="1"/>
  <c r="M106" i="12"/>
  <c r="L106" i="12"/>
  <c r="L105" i="12"/>
  <c r="M105" i="12" s="1"/>
  <c r="M104" i="12"/>
  <c r="L104" i="12"/>
  <c r="K103" i="12"/>
  <c r="J103" i="12"/>
  <c r="I103" i="12"/>
  <c r="H103" i="12"/>
  <c r="G103" i="12"/>
  <c r="K101" i="12"/>
  <c r="J101" i="12"/>
  <c r="I101" i="12"/>
  <c r="H101" i="12"/>
  <c r="G101" i="12"/>
  <c r="K100" i="12"/>
  <c r="L100" i="12" s="1"/>
  <c r="M100" i="12" s="1"/>
  <c r="G100" i="12"/>
  <c r="H100" i="12" s="1"/>
  <c r="I100" i="12" s="1"/>
  <c r="J100" i="12" s="1"/>
  <c r="X99" i="12"/>
  <c r="W99" i="12"/>
  <c r="S99" i="12"/>
  <c r="G99" i="12"/>
  <c r="H99" i="12" s="1"/>
  <c r="I99" i="12" s="1"/>
  <c r="J99" i="12" s="1"/>
  <c r="K99" i="12" s="1"/>
  <c r="L99" i="12" s="1"/>
  <c r="M99" i="12" s="1"/>
  <c r="L96" i="12"/>
  <c r="M96" i="12" s="1"/>
  <c r="L95" i="12"/>
  <c r="M95" i="12" s="1"/>
  <c r="L94" i="12"/>
  <c r="L93" i="12"/>
  <c r="M93" i="12" s="1"/>
  <c r="L92" i="12"/>
  <c r="M92" i="12" s="1"/>
  <c r="L91" i="12"/>
  <c r="M91" i="12" s="1"/>
  <c r="L90" i="12"/>
  <c r="L89" i="12"/>
  <c r="M89" i="12" s="1"/>
  <c r="L88" i="12"/>
  <c r="K87" i="12"/>
  <c r="J87" i="12"/>
  <c r="I87" i="12"/>
  <c r="H87" i="12"/>
  <c r="G87" i="12"/>
  <c r="K85" i="12"/>
  <c r="J85" i="12"/>
  <c r="I85" i="12"/>
  <c r="H85" i="12"/>
  <c r="G85" i="12"/>
  <c r="G84" i="12"/>
  <c r="H84" i="12" s="1"/>
  <c r="I84" i="12" s="1"/>
  <c r="J84" i="12" s="1"/>
  <c r="K84" i="12" s="1"/>
  <c r="L84" i="12" s="1"/>
  <c r="M84" i="12" s="1"/>
  <c r="X83" i="12"/>
  <c r="S83" i="12"/>
  <c r="G83" i="12"/>
  <c r="H83" i="12" s="1"/>
  <c r="I83" i="12" s="1"/>
  <c r="J83" i="12" s="1"/>
  <c r="K83" i="12" s="1"/>
  <c r="L83" i="12" s="1"/>
  <c r="M83" i="12" s="1"/>
  <c r="M80" i="12"/>
  <c r="L80" i="12"/>
  <c r="M79" i="12"/>
  <c r="L79" i="12"/>
  <c r="L78" i="12"/>
  <c r="M78" i="12" s="1"/>
  <c r="M77" i="12"/>
  <c r="L77" i="12"/>
  <c r="M76" i="12"/>
  <c r="L76" i="12"/>
  <c r="X67" i="12" s="1"/>
  <c r="L75" i="12"/>
  <c r="M75" i="12" s="1"/>
  <c r="M74" i="12"/>
  <c r="L74" i="12"/>
  <c r="L73" i="12"/>
  <c r="M73" i="12" s="1"/>
  <c r="L72" i="12"/>
  <c r="K71" i="12"/>
  <c r="J71" i="12"/>
  <c r="I71" i="12"/>
  <c r="H71" i="12"/>
  <c r="G71" i="12"/>
  <c r="K69" i="12"/>
  <c r="J69" i="12"/>
  <c r="I69" i="12"/>
  <c r="H69" i="12"/>
  <c r="G69" i="12"/>
  <c r="G68" i="12"/>
  <c r="H68" i="12" s="1"/>
  <c r="I68" i="12" s="1"/>
  <c r="J68" i="12" s="1"/>
  <c r="K68" i="12" s="1"/>
  <c r="L68" i="12" s="1"/>
  <c r="M68" i="12" s="1"/>
  <c r="W67" i="12"/>
  <c r="S67" i="12"/>
  <c r="G67" i="12"/>
  <c r="H67" i="12" s="1"/>
  <c r="I67" i="12" s="1"/>
  <c r="J67" i="12" s="1"/>
  <c r="K67" i="12" s="1"/>
  <c r="L67" i="12" s="1"/>
  <c r="M67" i="12" s="1"/>
  <c r="L64" i="12"/>
  <c r="M64" i="12" s="1"/>
  <c r="L63" i="12"/>
  <c r="M63" i="12" s="1"/>
  <c r="L62" i="12"/>
  <c r="W51" i="12" s="1"/>
  <c r="L61" i="12"/>
  <c r="M61" i="12" s="1"/>
  <c r="L60" i="12"/>
  <c r="L59" i="12"/>
  <c r="M59" i="12" s="1"/>
  <c r="L58" i="12"/>
  <c r="M58" i="12" s="1"/>
  <c r="L57" i="12"/>
  <c r="M57" i="12" s="1"/>
  <c r="L56" i="12"/>
  <c r="K55" i="12"/>
  <c r="J55" i="12"/>
  <c r="I55" i="12"/>
  <c r="H55" i="12"/>
  <c r="G55" i="12"/>
  <c r="K53" i="12"/>
  <c r="J53" i="12"/>
  <c r="I53" i="12"/>
  <c r="H53" i="12"/>
  <c r="G53" i="12"/>
  <c r="G52" i="12"/>
  <c r="H52" i="12" s="1"/>
  <c r="I52" i="12" s="1"/>
  <c r="J52" i="12" s="1"/>
  <c r="K52" i="12" s="1"/>
  <c r="L52" i="12" s="1"/>
  <c r="M52" i="12" s="1"/>
  <c r="S51" i="12"/>
  <c r="G51" i="12"/>
  <c r="H51" i="12" s="1"/>
  <c r="I51" i="12" s="1"/>
  <c r="J51" i="12" s="1"/>
  <c r="K51" i="12" s="1"/>
  <c r="L51" i="12" s="1"/>
  <c r="M51" i="12" s="1"/>
  <c r="M48" i="12"/>
  <c r="L48" i="12"/>
  <c r="L47" i="12"/>
  <c r="M47" i="12" s="1"/>
  <c r="L46" i="12"/>
  <c r="W35" i="12" s="1"/>
  <c r="L45" i="12"/>
  <c r="M45" i="12" s="1"/>
  <c r="M44" i="12"/>
  <c r="L44" i="12"/>
  <c r="L43" i="12"/>
  <c r="L42" i="12"/>
  <c r="M42" i="12" s="1"/>
  <c r="L41" i="12"/>
  <c r="L40" i="12"/>
  <c r="M40" i="12" s="1"/>
  <c r="K39" i="12"/>
  <c r="J39" i="12"/>
  <c r="I39" i="12"/>
  <c r="H39" i="12"/>
  <c r="G39" i="12"/>
  <c r="K37" i="12"/>
  <c r="J37" i="12"/>
  <c r="I37" i="12"/>
  <c r="H37" i="12"/>
  <c r="G37" i="12"/>
  <c r="G36" i="12"/>
  <c r="H36" i="12" s="1"/>
  <c r="I36" i="12" s="1"/>
  <c r="J36" i="12" s="1"/>
  <c r="K36" i="12" s="1"/>
  <c r="L36" i="12" s="1"/>
  <c r="M36" i="12" s="1"/>
  <c r="X35" i="12"/>
  <c r="S35" i="12"/>
  <c r="G35" i="12"/>
  <c r="H35" i="12" s="1"/>
  <c r="I35" i="12" s="1"/>
  <c r="J35" i="12" s="1"/>
  <c r="K35" i="12" s="1"/>
  <c r="L35" i="12" s="1"/>
  <c r="M35" i="12" s="1"/>
  <c r="A35" i="12"/>
  <c r="A51" i="12" s="1"/>
  <c r="A67" i="12" s="1"/>
  <c r="A83" i="12" s="1"/>
  <c r="A99" i="12" s="1"/>
  <c r="A115" i="12" s="1"/>
  <c r="A131" i="12" s="1"/>
  <c r="A147" i="12" s="1"/>
  <c r="A163" i="12" s="1"/>
  <c r="A179" i="12" s="1"/>
  <c r="A195" i="12" s="1"/>
  <c r="A211" i="12" s="1"/>
  <c r="A227" i="12" s="1"/>
  <c r="A243" i="12" s="1"/>
  <c r="A259" i="12" s="1"/>
  <c r="A275" i="12" s="1"/>
  <c r="A291" i="12" s="1"/>
  <c r="A307" i="12" s="1"/>
  <c r="A323" i="12" s="1"/>
  <c r="A339" i="12" s="1"/>
  <c r="A355" i="12" s="1"/>
  <c r="A371" i="12" s="1"/>
  <c r="A387" i="12" s="1"/>
  <c r="A403" i="12" s="1"/>
  <c r="A419" i="12" s="1"/>
  <c r="A435" i="12" s="1"/>
  <c r="A451" i="12" s="1"/>
  <c r="A467" i="12" s="1"/>
  <c r="A483" i="12" s="1"/>
  <c r="A499" i="12" s="1"/>
  <c r="A515" i="12" s="1"/>
  <c r="A531" i="12" s="1"/>
  <c r="A547" i="12" s="1"/>
  <c r="A563" i="12" s="1"/>
  <c r="A579" i="12" s="1"/>
  <c r="A595" i="12" s="1"/>
  <c r="A611" i="12" s="1"/>
  <c r="A627" i="12" s="1"/>
  <c r="A643" i="12" s="1"/>
  <c r="A659" i="12" s="1"/>
  <c r="A675" i="12" s="1"/>
  <c r="A691" i="12" s="1"/>
  <c r="A707" i="12" s="1"/>
  <c r="A723" i="12" s="1"/>
  <c r="A739" i="12" s="1"/>
  <c r="A755" i="12" s="1"/>
  <c r="A771" i="12" s="1"/>
  <c r="A787" i="12" s="1"/>
  <c r="A803" i="12" s="1"/>
  <c r="M32" i="12"/>
  <c r="L32" i="12"/>
  <c r="L31" i="12"/>
  <c r="M31" i="12" s="1"/>
  <c r="L30" i="12"/>
  <c r="M30" i="12" s="1"/>
  <c r="L29" i="12"/>
  <c r="M29" i="12" s="1"/>
  <c r="M28" i="12"/>
  <c r="L28" i="12"/>
  <c r="L27" i="12"/>
  <c r="M27" i="12" s="1"/>
  <c r="L26" i="12"/>
  <c r="M26" i="12" s="1"/>
  <c r="L25" i="12"/>
  <c r="M25" i="12" s="1"/>
  <c r="L24" i="12"/>
  <c r="K23" i="12"/>
  <c r="J23" i="12"/>
  <c r="I23" i="12"/>
  <c r="H23" i="12"/>
  <c r="G23" i="12"/>
  <c r="K21" i="12"/>
  <c r="J21" i="12"/>
  <c r="I21" i="12"/>
  <c r="H21" i="12"/>
  <c r="G20" i="12"/>
  <c r="H20" i="12" s="1"/>
  <c r="I20" i="12" s="1"/>
  <c r="J20" i="12" s="1"/>
  <c r="K20" i="12" s="1"/>
  <c r="L20" i="12" s="1"/>
  <c r="M20" i="12" s="1"/>
  <c r="C20" i="12"/>
  <c r="C36" i="12" s="1"/>
  <c r="C52" i="12" s="1"/>
  <c r="C68" i="12" s="1"/>
  <c r="C84" i="12" s="1"/>
  <c r="C100" i="12" s="1"/>
  <c r="C116" i="12" s="1"/>
  <c r="C132" i="12" s="1"/>
  <c r="C148" i="12" s="1"/>
  <c r="C164" i="12" s="1"/>
  <c r="C180" i="12" s="1"/>
  <c r="C196" i="12" s="1"/>
  <c r="C212" i="12" s="1"/>
  <c r="C228" i="12" s="1"/>
  <c r="C244" i="12" s="1"/>
  <c r="C260" i="12" s="1"/>
  <c r="C276" i="12" s="1"/>
  <c r="C292" i="12" s="1"/>
  <c r="C308" i="12" s="1"/>
  <c r="C324" i="12" s="1"/>
  <c r="C340" i="12" s="1"/>
  <c r="C356" i="12" s="1"/>
  <c r="C372" i="12" s="1"/>
  <c r="C388" i="12" s="1"/>
  <c r="C404" i="12" s="1"/>
  <c r="C420" i="12" s="1"/>
  <c r="C436" i="12" s="1"/>
  <c r="C452" i="12" s="1"/>
  <c r="C468" i="12" s="1"/>
  <c r="C484" i="12" s="1"/>
  <c r="C500" i="12" s="1"/>
  <c r="C516" i="12" s="1"/>
  <c r="C532" i="12" s="1"/>
  <c r="C548" i="12" s="1"/>
  <c r="C564" i="12" s="1"/>
  <c r="C580" i="12" s="1"/>
  <c r="C596" i="12" s="1"/>
  <c r="C612" i="12" s="1"/>
  <c r="C628" i="12" s="1"/>
  <c r="C644" i="12" s="1"/>
  <c r="C660" i="12" s="1"/>
  <c r="C676" i="12" s="1"/>
  <c r="C692" i="12" s="1"/>
  <c r="C708" i="12" s="1"/>
  <c r="C724" i="12" s="1"/>
  <c r="C740" i="12" s="1"/>
  <c r="C756" i="12" s="1"/>
  <c r="C772" i="12" s="1"/>
  <c r="C788" i="12" s="1"/>
  <c r="C804" i="12" s="1"/>
  <c r="X19" i="12"/>
  <c r="W19" i="12"/>
  <c r="S19" i="12"/>
  <c r="G19" i="12"/>
  <c r="H19" i="12" s="1"/>
  <c r="I19" i="12" s="1"/>
  <c r="J19" i="12" s="1"/>
  <c r="K19" i="12" s="1"/>
  <c r="L19" i="12" s="1"/>
  <c r="M19" i="12" s="1"/>
  <c r="K16" i="12"/>
  <c r="J16" i="12"/>
  <c r="I16" i="12"/>
  <c r="H16" i="12"/>
  <c r="G16" i="12"/>
  <c r="K15" i="12"/>
  <c r="J15" i="12"/>
  <c r="I15" i="12"/>
  <c r="H15" i="12"/>
  <c r="G15" i="12"/>
  <c r="K14" i="12"/>
  <c r="J14" i="12"/>
  <c r="I14" i="12"/>
  <c r="H14" i="12"/>
  <c r="G14" i="12"/>
  <c r="K13" i="12"/>
  <c r="J13" i="12"/>
  <c r="I13" i="12"/>
  <c r="H13" i="12"/>
  <c r="G13" i="12"/>
  <c r="K12" i="12"/>
  <c r="J12" i="12"/>
  <c r="I12" i="12"/>
  <c r="H12" i="12"/>
  <c r="G12" i="12"/>
  <c r="K11" i="12"/>
  <c r="J11" i="12"/>
  <c r="I11" i="12"/>
  <c r="H11" i="12"/>
  <c r="G11" i="12"/>
  <c r="K10" i="12"/>
  <c r="K7" i="12" s="1"/>
  <c r="J10" i="12"/>
  <c r="I10" i="12"/>
  <c r="H10" i="12"/>
  <c r="G10" i="12"/>
  <c r="K9" i="12"/>
  <c r="J9" i="12"/>
  <c r="I9" i="12"/>
  <c r="I7" i="12" s="1"/>
  <c r="H9" i="12"/>
  <c r="G9" i="12"/>
  <c r="K8" i="12"/>
  <c r="J8" i="12"/>
  <c r="I8" i="12"/>
  <c r="H8" i="12"/>
  <c r="G8" i="12"/>
  <c r="H4" i="12"/>
  <c r="I4" i="12" s="1"/>
  <c r="J4" i="12" s="1"/>
  <c r="K4" i="12" s="1"/>
  <c r="L4" i="12" s="1"/>
  <c r="M4" i="12" s="1"/>
  <c r="S3" i="12"/>
  <c r="H3" i="12"/>
  <c r="I3" i="12" s="1"/>
  <c r="J3" i="12" s="1"/>
  <c r="K3" i="12" s="1"/>
  <c r="L3" i="12" s="1"/>
  <c r="M3" i="12" s="1"/>
  <c r="X1" i="12"/>
  <c r="T1" i="12"/>
  <c r="M816" i="8"/>
  <c r="L816" i="8"/>
  <c r="L815" i="8"/>
  <c r="M815" i="8" s="1"/>
  <c r="L814" i="8"/>
  <c r="L813" i="8"/>
  <c r="M813" i="8" s="1"/>
  <c r="L812" i="8"/>
  <c r="L811" i="8"/>
  <c r="M811" i="8" s="1"/>
  <c r="M810" i="8"/>
  <c r="L810" i="8"/>
  <c r="L809" i="8"/>
  <c r="M809" i="8" s="1"/>
  <c r="L808" i="8"/>
  <c r="K807" i="8"/>
  <c r="J807" i="8"/>
  <c r="I807" i="8"/>
  <c r="H807" i="8"/>
  <c r="G807" i="8"/>
  <c r="K805" i="8"/>
  <c r="J805" i="8"/>
  <c r="I805" i="8"/>
  <c r="H805" i="8"/>
  <c r="G805" i="8"/>
  <c r="G804" i="8"/>
  <c r="H804" i="8" s="1"/>
  <c r="I804" i="8" s="1"/>
  <c r="J804" i="8" s="1"/>
  <c r="K804" i="8" s="1"/>
  <c r="L804" i="8" s="1"/>
  <c r="M804" i="8" s="1"/>
  <c r="V803" i="8"/>
  <c r="S803" i="8"/>
  <c r="G803" i="8"/>
  <c r="H803" i="8" s="1"/>
  <c r="I803" i="8" s="1"/>
  <c r="J803" i="8" s="1"/>
  <c r="K803" i="8" s="1"/>
  <c r="L803" i="8" s="1"/>
  <c r="M803" i="8" s="1"/>
  <c r="M800" i="8"/>
  <c r="L800" i="8"/>
  <c r="L799" i="8"/>
  <c r="M799" i="8" s="1"/>
  <c r="M798" i="8"/>
  <c r="L798" i="8"/>
  <c r="W787" i="8" s="1"/>
  <c r="L797" i="8"/>
  <c r="M797" i="8" s="1"/>
  <c r="L796" i="8"/>
  <c r="L795" i="8"/>
  <c r="M795" i="8" s="1"/>
  <c r="M794" i="8"/>
  <c r="L794" i="8"/>
  <c r="L793" i="8"/>
  <c r="M793" i="8" s="1"/>
  <c r="M792" i="8"/>
  <c r="L792" i="8"/>
  <c r="K791" i="8"/>
  <c r="J791" i="8"/>
  <c r="I791" i="8"/>
  <c r="H791" i="8"/>
  <c r="G791" i="8"/>
  <c r="K789" i="8"/>
  <c r="J789" i="8"/>
  <c r="I789" i="8"/>
  <c r="H789" i="8"/>
  <c r="G789" i="8"/>
  <c r="G788" i="8"/>
  <c r="H788" i="8" s="1"/>
  <c r="I788" i="8" s="1"/>
  <c r="J788" i="8" s="1"/>
  <c r="K788" i="8" s="1"/>
  <c r="L788" i="8" s="1"/>
  <c r="M788" i="8" s="1"/>
  <c r="S787" i="8"/>
  <c r="I787" i="8"/>
  <c r="J787" i="8" s="1"/>
  <c r="K787" i="8" s="1"/>
  <c r="L787" i="8" s="1"/>
  <c r="M787" i="8" s="1"/>
  <c r="G787" i="8"/>
  <c r="H787" i="8" s="1"/>
  <c r="L784" i="8"/>
  <c r="M784" i="8" s="1"/>
  <c r="L783" i="8"/>
  <c r="M783" i="8" s="1"/>
  <c r="M782" i="8"/>
  <c r="L782" i="8"/>
  <c r="W771" i="8" s="1"/>
  <c r="L781" i="8"/>
  <c r="M781" i="8" s="1"/>
  <c r="L780" i="8"/>
  <c r="L779" i="8"/>
  <c r="M778" i="8"/>
  <c r="L778" i="8"/>
  <c r="L777" i="8"/>
  <c r="M776" i="8"/>
  <c r="L776" i="8"/>
  <c r="K775" i="8"/>
  <c r="J775" i="8"/>
  <c r="I775" i="8"/>
  <c r="H775" i="8"/>
  <c r="G775" i="8"/>
  <c r="K773" i="8"/>
  <c r="J773" i="8"/>
  <c r="I773" i="8"/>
  <c r="H773" i="8"/>
  <c r="G773" i="8"/>
  <c r="K772" i="8"/>
  <c r="L772" i="8" s="1"/>
  <c r="M772" i="8" s="1"/>
  <c r="G772" i="8"/>
  <c r="H772" i="8" s="1"/>
  <c r="I772" i="8" s="1"/>
  <c r="J772" i="8" s="1"/>
  <c r="S771" i="8"/>
  <c r="G771" i="8"/>
  <c r="H771" i="8" s="1"/>
  <c r="I771" i="8" s="1"/>
  <c r="J771" i="8" s="1"/>
  <c r="K771" i="8" s="1"/>
  <c r="L771" i="8" s="1"/>
  <c r="M771" i="8" s="1"/>
  <c r="M768" i="8"/>
  <c r="L768" i="8"/>
  <c r="L767" i="8"/>
  <c r="M767" i="8" s="1"/>
  <c r="L766" i="8"/>
  <c r="L765" i="8"/>
  <c r="M765" i="8" s="1"/>
  <c r="L764" i="8"/>
  <c r="X755" i="8" s="1"/>
  <c r="L763" i="8"/>
  <c r="M763" i="8" s="1"/>
  <c r="L762" i="8"/>
  <c r="L761" i="8"/>
  <c r="M761" i="8" s="1"/>
  <c r="M760" i="8"/>
  <c r="L760" i="8"/>
  <c r="K759" i="8"/>
  <c r="J759" i="8"/>
  <c r="I759" i="8"/>
  <c r="H759" i="8"/>
  <c r="G759" i="8"/>
  <c r="K757" i="8"/>
  <c r="J757" i="8"/>
  <c r="I757" i="8"/>
  <c r="H757" i="8"/>
  <c r="G757" i="8"/>
  <c r="G756" i="8"/>
  <c r="H756" i="8" s="1"/>
  <c r="I756" i="8" s="1"/>
  <c r="J756" i="8" s="1"/>
  <c r="K756" i="8" s="1"/>
  <c r="L756" i="8" s="1"/>
  <c r="M756" i="8" s="1"/>
  <c r="U755" i="8"/>
  <c r="S755" i="8"/>
  <c r="G755" i="8"/>
  <c r="H755" i="8" s="1"/>
  <c r="I755" i="8" s="1"/>
  <c r="J755" i="8" s="1"/>
  <c r="K755" i="8" s="1"/>
  <c r="L755" i="8" s="1"/>
  <c r="M755" i="8" s="1"/>
  <c r="L752" i="8"/>
  <c r="M752" i="8" s="1"/>
  <c r="L751" i="8"/>
  <c r="M751" i="8" s="1"/>
  <c r="L750" i="8"/>
  <c r="L749" i="8"/>
  <c r="M749" i="8" s="1"/>
  <c r="L748" i="8"/>
  <c r="L747" i="8"/>
  <c r="M747" i="8" s="1"/>
  <c r="M746" i="8"/>
  <c r="L746" i="8"/>
  <c r="L745" i="8"/>
  <c r="M745" i="8" s="1"/>
  <c r="L744" i="8"/>
  <c r="K743" i="8"/>
  <c r="J743" i="8"/>
  <c r="I743" i="8"/>
  <c r="H743" i="8"/>
  <c r="G743" i="8"/>
  <c r="K741" i="8"/>
  <c r="J741" i="8"/>
  <c r="I741" i="8"/>
  <c r="H741" i="8"/>
  <c r="G741" i="8"/>
  <c r="G740" i="8"/>
  <c r="H740" i="8" s="1"/>
  <c r="I740" i="8" s="1"/>
  <c r="J740" i="8" s="1"/>
  <c r="K740" i="8" s="1"/>
  <c r="L740" i="8" s="1"/>
  <c r="M740" i="8" s="1"/>
  <c r="V739" i="8"/>
  <c r="S739" i="8"/>
  <c r="H739" i="8"/>
  <c r="I739" i="8" s="1"/>
  <c r="J739" i="8" s="1"/>
  <c r="K739" i="8" s="1"/>
  <c r="L739" i="8" s="1"/>
  <c r="M739" i="8" s="1"/>
  <c r="G739" i="8"/>
  <c r="M736" i="8"/>
  <c r="L736" i="8"/>
  <c r="L735" i="8"/>
  <c r="M735" i="8" s="1"/>
  <c r="L734" i="8"/>
  <c r="L733" i="8"/>
  <c r="M733" i="8" s="1"/>
  <c r="M732" i="8"/>
  <c r="L732" i="8"/>
  <c r="X723" i="8" s="1"/>
  <c r="L731" i="8"/>
  <c r="M730" i="8"/>
  <c r="L730" i="8"/>
  <c r="L729" i="8"/>
  <c r="M729" i="8" s="1"/>
  <c r="L728" i="8"/>
  <c r="K727" i="8"/>
  <c r="J727" i="8"/>
  <c r="I727" i="8"/>
  <c r="H727" i="8"/>
  <c r="G727" i="8"/>
  <c r="K725" i="8"/>
  <c r="J725" i="8"/>
  <c r="I725" i="8"/>
  <c r="H725" i="8"/>
  <c r="G725" i="8"/>
  <c r="G724" i="8"/>
  <c r="H724" i="8" s="1"/>
  <c r="I724" i="8" s="1"/>
  <c r="J724" i="8" s="1"/>
  <c r="K724" i="8" s="1"/>
  <c r="L724" i="8" s="1"/>
  <c r="M724" i="8" s="1"/>
  <c r="S723" i="8"/>
  <c r="H723" i="8"/>
  <c r="I723" i="8" s="1"/>
  <c r="J723" i="8" s="1"/>
  <c r="K723" i="8" s="1"/>
  <c r="L723" i="8" s="1"/>
  <c r="M723" i="8" s="1"/>
  <c r="G723" i="8"/>
  <c r="L720" i="8"/>
  <c r="M720" i="8" s="1"/>
  <c r="L719" i="8"/>
  <c r="M719" i="8" s="1"/>
  <c r="L718" i="8"/>
  <c r="W707" i="8" s="1"/>
  <c r="L717" i="8"/>
  <c r="M717" i="8" s="1"/>
  <c r="L716" i="8"/>
  <c r="X707" i="8" s="1"/>
  <c r="L715" i="8"/>
  <c r="M715" i="8" s="1"/>
  <c r="M714" i="8"/>
  <c r="L714" i="8"/>
  <c r="L713" i="8"/>
  <c r="M713" i="8" s="1"/>
  <c r="L712" i="8"/>
  <c r="K711" i="8"/>
  <c r="J711" i="8"/>
  <c r="I711" i="8"/>
  <c r="H711" i="8"/>
  <c r="G711" i="8"/>
  <c r="K709" i="8"/>
  <c r="J709" i="8"/>
  <c r="I709" i="8"/>
  <c r="H709" i="8"/>
  <c r="G709" i="8"/>
  <c r="G708" i="8"/>
  <c r="H708" i="8" s="1"/>
  <c r="I708" i="8" s="1"/>
  <c r="J708" i="8" s="1"/>
  <c r="K708" i="8" s="1"/>
  <c r="L708" i="8" s="1"/>
  <c r="M708" i="8" s="1"/>
  <c r="V707" i="8"/>
  <c r="S707" i="8"/>
  <c r="H707" i="8"/>
  <c r="I707" i="8" s="1"/>
  <c r="J707" i="8" s="1"/>
  <c r="K707" i="8" s="1"/>
  <c r="L707" i="8" s="1"/>
  <c r="M707" i="8" s="1"/>
  <c r="G707" i="8"/>
  <c r="L704" i="8"/>
  <c r="M704" i="8" s="1"/>
  <c r="L703" i="8"/>
  <c r="M703" i="8" s="1"/>
  <c r="M702" i="8"/>
  <c r="L702" i="8"/>
  <c r="W691" i="8" s="1"/>
  <c r="L701" i="8"/>
  <c r="M701" i="8" s="1"/>
  <c r="L700" i="8"/>
  <c r="X691" i="8" s="1"/>
  <c r="L699" i="8"/>
  <c r="M699" i="8" s="1"/>
  <c r="L698" i="8"/>
  <c r="L697" i="8"/>
  <c r="M697" i="8" s="1"/>
  <c r="L696" i="8"/>
  <c r="K695" i="8"/>
  <c r="J695" i="8"/>
  <c r="I695" i="8"/>
  <c r="H695" i="8"/>
  <c r="G695" i="8"/>
  <c r="K693" i="8"/>
  <c r="J693" i="8"/>
  <c r="I693" i="8"/>
  <c r="H693" i="8"/>
  <c r="G693" i="8"/>
  <c r="G692" i="8"/>
  <c r="H692" i="8" s="1"/>
  <c r="I692" i="8" s="1"/>
  <c r="J692" i="8" s="1"/>
  <c r="K692" i="8" s="1"/>
  <c r="L692" i="8" s="1"/>
  <c r="M692" i="8" s="1"/>
  <c r="U691" i="8"/>
  <c r="S691" i="8"/>
  <c r="G691" i="8"/>
  <c r="H691" i="8" s="1"/>
  <c r="I691" i="8" s="1"/>
  <c r="J691" i="8" s="1"/>
  <c r="K691" i="8" s="1"/>
  <c r="L691" i="8" s="1"/>
  <c r="M691" i="8" s="1"/>
  <c r="L688" i="8"/>
  <c r="M688" i="8" s="1"/>
  <c r="L687" i="8"/>
  <c r="M687" i="8" s="1"/>
  <c r="L686" i="8"/>
  <c r="M686" i="8" s="1"/>
  <c r="L685" i="8"/>
  <c r="M685" i="8" s="1"/>
  <c r="L684" i="8"/>
  <c r="L683" i="8"/>
  <c r="M683" i="8" s="1"/>
  <c r="L682" i="8"/>
  <c r="M682" i="8" s="1"/>
  <c r="L681" i="8"/>
  <c r="M681" i="8" s="1"/>
  <c r="L680" i="8"/>
  <c r="M680" i="8" s="1"/>
  <c r="K679" i="8"/>
  <c r="J679" i="8"/>
  <c r="I679" i="8"/>
  <c r="H679" i="8"/>
  <c r="G679" i="8"/>
  <c r="K677" i="8"/>
  <c r="J677" i="8"/>
  <c r="I677" i="8"/>
  <c r="H677" i="8"/>
  <c r="G677" i="8"/>
  <c r="G676" i="8"/>
  <c r="H676" i="8" s="1"/>
  <c r="I676" i="8" s="1"/>
  <c r="J676" i="8" s="1"/>
  <c r="K676" i="8" s="1"/>
  <c r="L676" i="8" s="1"/>
  <c r="M676" i="8" s="1"/>
  <c r="W675" i="8"/>
  <c r="S675" i="8"/>
  <c r="G675" i="8"/>
  <c r="H675" i="8" s="1"/>
  <c r="I675" i="8" s="1"/>
  <c r="J675" i="8" s="1"/>
  <c r="K675" i="8" s="1"/>
  <c r="L675" i="8" s="1"/>
  <c r="M675" i="8" s="1"/>
  <c r="M672" i="8"/>
  <c r="L672" i="8"/>
  <c r="M671" i="8"/>
  <c r="L671" i="8"/>
  <c r="M670" i="8"/>
  <c r="L670" i="8"/>
  <c r="M669" i="8"/>
  <c r="L669" i="8"/>
  <c r="M668" i="8"/>
  <c r="L668" i="8"/>
  <c r="X659" i="8" s="1"/>
  <c r="M667" i="8"/>
  <c r="L667" i="8"/>
  <c r="M666" i="8"/>
  <c r="L666" i="8"/>
  <c r="M665" i="8"/>
  <c r="L665" i="8"/>
  <c r="M664" i="8"/>
  <c r="L664" i="8"/>
  <c r="L663" i="8" s="1"/>
  <c r="T659" i="8" s="1"/>
  <c r="M663" i="8"/>
  <c r="K663" i="8"/>
  <c r="J663" i="8"/>
  <c r="I663" i="8"/>
  <c r="H663" i="8"/>
  <c r="G663" i="8"/>
  <c r="K661" i="8"/>
  <c r="J661" i="8"/>
  <c r="I661" i="8"/>
  <c r="H661" i="8"/>
  <c r="G661" i="8"/>
  <c r="G660" i="8"/>
  <c r="H660" i="8" s="1"/>
  <c r="I660" i="8" s="1"/>
  <c r="J660" i="8" s="1"/>
  <c r="K660" i="8" s="1"/>
  <c r="L660" i="8" s="1"/>
  <c r="M660" i="8" s="1"/>
  <c r="W659" i="8"/>
  <c r="V659" i="8"/>
  <c r="U659" i="8"/>
  <c r="S659" i="8"/>
  <c r="G659" i="8"/>
  <c r="H659" i="8" s="1"/>
  <c r="I659" i="8" s="1"/>
  <c r="J659" i="8" s="1"/>
  <c r="K659" i="8" s="1"/>
  <c r="L659" i="8" s="1"/>
  <c r="M659" i="8" s="1"/>
  <c r="M656" i="8"/>
  <c r="L656" i="8"/>
  <c r="L655" i="8"/>
  <c r="M655" i="8" s="1"/>
  <c r="M654" i="8"/>
  <c r="L654" i="8"/>
  <c r="L653" i="8"/>
  <c r="M653" i="8" s="1"/>
  <c r="M652" i="8"/>
  <c r="L652" i="8"/>
  <c r="L651" i="8"/>
  <c r="V643" i="8" s="1"/>
  <c r="M650" i="8"/>
  <c r="L650" i="8"/>
  <c r="L649" i="8"/>
  <c r="M649" i="8" s="1"/>
  <c r="M648" i="8"/>
  <c r="L648" i="8"/>
  <c r="L647" i="8"/>
  <c r="M647" i="8" s="1"/>
  <c r="K647" i="8"/>
  <c r="J647" i="8"/>
  <c r="I647" i="8"/>
  <c r="H647" i="8"/>
  <c r="G647" i="8"/>
  <c r="K645" i="8"/>
  <c r="J645" i="8"/>
  <c r="I645" i="8"/>
  <c r="H645" i="8"/>
  <c r="G645" i="8"/>
  <c r="G644" i="8"/>
  <c r="H644" i="8" s="1"/>
  <c r="I644" i="8" s="1"/>
  <c r="J644" i="8" s="1"/>
  <c r="K644" i="8" s="1"/>
  <c r="L644" i="8" s="1"/>
  <c r="M644" i="8" s="1"/>
  <c r="X643" i="8"/>
  <c r="W643" i="8"/>
  <c r="U643" i="8"/>
  <c r="S643" i="8"/>
  <c r="G643" i="8"/>
  <c r="H643" i="8" s="1"/>
  <c r="I643" i="8" s="1"/>
  <c r="J643" i="8" s="1"/>
  <c r="K643" i="8" s="1"/>
  <c r="L643" i="8" s="1"/>
  <c r="M643" i="8" s="1"/>
  <c r="M640" i="8"/>
  <c r="L640" i="8"/>
  <c r="M639" i="8"/>
  <c r="L639" i="8"/>
  <c r="M638" i="8"/>
  <c r="L638" i="8"/>
  <c r="M637" i="8"/>
  <c r="L637" i="8"/>
  <c r="M636" i="8"/>
  <c r="L636" i="8"/>
  <c r="X627" i="8" s="1"/>
  <c r="M635" i="8"/>
  <c r="L635" i="8"/>
  <c r="M634" i="8"/>
  <c r="L634" i="8"/>
  <c r="M633" i="8"/>
  <c r="L633" i="8"/>
  <c r="M632" i="8"/>
  <c r="L632" i="8"/>
  <c r="L631" i="8" s="1"/>
  <c r="T627" i="8" s="1"/>
  <c r="M631" i="8"/>
  <c r="K631" i="8"/>
  <c r="J631" i="8"/>
  <c r="I631" i="8"/>
  <c r="H631" i="8"/>
  <c r="G631" i="8"/>
  <c r="K629" i="8"/>
  <c r="J629" i="8"/>
  <c r="I629" i="8"/>
  <c r="H629" i="8"/>
  <c r="G629" i="8"/>
  <c r="G628" i="8"/>
  <c r="H628" i="8" s="1"/>
  <c r="I628" i="8" s="1"/>
  <c r="J628" i="8" s="1"/>
  <c r="K628" i="8" s="1"/>
  <c r="L628" i="8" s="1"/>
  <c r="M628" i="8" s="1"/>
  <c r="W627" i="8"/>
  <c r="V627" i="8"/>
  <c r="U627" i="8"/>
  <c r="S627" i="8"/>
  <c r="G627" i="8"/>
  <c r="H627" i="8" s="1"/>
  <c r="I627" i="8" s="1"/>
  <c r="J627" i="8" s="1"/>
  <c r="K627" i="8" s="1"/>
  <c r="L627" i="8" s="1"/>
  <c r="M627" i="8" s="1"/>
  <c r="M624" i="8"/>
  <c r="L624" i="8"/>
  <c r="L623" i="8"/>
  <c r="M623" i="8" s="1"/>
  <c r="M622" i="8"/>
  <c r="L622" i="8"/>
  <c r="L621" i="8"/>
  <c r="M621" i="8" s="1"/>
  <c r="M620" i="8"/>
  <c r="L620" i="8"/>
  <c r="L619" i="8"/>
  <c r="V611" i="8" s="1"/>
  <c r="M618" i="8"/>
  <c r="L618" i="8"/>
  <c r="L617" i="8"/>
  <c r="M617" i="8" s="1"/>
  <c r="M616" i="8"/>
  <c r="L616" i="8"/>
  <c r="L615" i="8"/>
  <c r="M615" i="8" s="1"/>
  <c r="K615" i="8"/>
  <c r="J615" i="8"/>
  <c r="I615" i="8"/>
  <c r="H615" i="8"/>
  <c r="G615" i="8"/>
  <c r="K613" i="8"/>
  <c r="J613" i="8"/>
  <c r="I613" i="8"/>
  <c r="H613" i="8"/>
  <c r="G613" i="8"/>
  <c r="G612" i="8"/>
  <c r="H612" i="8" s="1"/>
  <c r="I612" i="8" s="1"/>
  <c r="J612" i="8" s="1"/>
  <c r="K612" i="8" s="1"/>
  <c r="L612" i="8" s="1"/>
  <c r="M612" i="8" s="1"/>
  <c r="X611" i="8"/>
  <c r="W611" i="8"/>
  <c r="U611" i="8"/>
  <c r="S611" i="8"/>
  <c r="G611" i="8"/>
  <c r="H611" i="8" s="1"/>
  <c r="I611" i="8" s="1"/>
  <c r="J611" i="8" s="1"/>
  <c r="K611" i="8" s="1"/>
  <c r="L611" i="8" s="1"/>
  <c r="M611" i="8" s="1"/>
  <c r="M608" i="8"/>
  <c r="L608" i="8"/>
  <c r="M607" i="8"/>
  <c r="L607" i="8"/>
  <c r="M606" i="8"/>
  <c r="L606" i="8"/>
  <c r="M605" i="8"/>
  <c r="L605" i="8"/>
  <c r="M604" i="8"/>
  <c r="L604" i="8"/>
  <c r="M603" i="8"/>
  <c r="L603" i="8"/>
  <c r="M602" i="8"/>
  <c r="L602" i="8"/>
  <c r="V595" i="8" s="1"/>
  <c r="M601" i="8"/>
  <c r="L601" i="8"/>
  <c r="M600" i="8"/>
  <c r="L600" i="8"/>
  <c r="L599" i="8" s="1"/>
  <c r="K599" i="8"/>
  <c r="J599" i="8"/>
  <c r="I599" i="8"/>
  <c r="H599" i="8"/>
  <c r="G599" i="8"/>
  <c r="K597" i="8"/>
  <c r="J597" i="8"/>
  <c r="I597" i="8"/>
  <c r="H597" i="8"/>
  <c r="G597" i="8"/>
  <c r="G596" i="8"/>
  <c r="H596" i="8" s="1"/>
  <c r="I596" i="8" s="1"/>
  <c r="J596" i="8" s="1"/>
  <c r="K596" i="8" s="1"/>
  <c r="L596" i="8" s="1"/>
  <c r="M596" i="8" s="1"/>
  <c r="X595" i="8"/>
  <c r="W595" i="8"/>
  <c r="U595" i="8"/>
  <c r="S595" i="8"/>
  <c r="G595" i="8"/>
  <c r="H595" i="8" s="1"/>
  <c r="I595" i="8" s="1"/>
  <c r="J595" i="8" s="1"/>
  <c r="K595" i="8" s="1"/>
  <c r="L595" i="8" s="1"/>
  <c r="M595" i="8" s="1"/>
  <c r="L592" i="8"/>
  <c r="M592" i="8" s="1"/>
  <c r="M591" i="8"/>
  <c r="L591" i="8"/>
  <c r="L590" i="8"/>
  <c r="L589" i="8"/>
  <c r="M589" i="8" s="1"/>
  <c r="L588" i="8"/>
  <c r="L587" i="8"/>
  <c r="M587" i="8" s="1"/>
  <c r="L586" i="8"/>
  <c r="M585" i="8"/>
  <c r="L585" i="8"/>
  <c r="L584" i="8"/>
  <c r="M584" i="8" s="1"/>
  <c r="L583" i="8"/>
  <c r="T579" i="8" s="1"/>
  <c r="K583" i="8"/>
  <c r="J583" i="8"/>
  <c r="I583" i="8"/>
  <c r="H583" i="8"/>
  <c r="G583" i="8"/>
  <c r="K581" i="8"/>
  <c r="J581" i="8"/>
  <c r="I581" i="8"/>
  <c r="H581" i="8"/>
  <c r="G581" i="8"/>
  <c r="G580" i="8"/>
  <c r="H580" i="8" s="1"/>
  <c r="I580" i="8" s="1"/>
  <c r="J580" i="8" s="1"/>
  <c r="K580" i="8" s="1"/>
  <c r="L580" i="8" s="1"/>
  <c r="M580" i="8" s="1"/>
  <c r="U579" i="8"/>
  <c r="S579" i="8"/>
  <c r="G579" i="8"/>
  <c r="H579" i="8" s="1"/>
  <c r="I579" i="8" s="1"/>
  <c r="J579" i="8" s="1"/>
  <c r="K579" i="8" s="1"/>
  <c r="L579" i="8" s="1"/>
  <c r="M579" i="8" s="1"/>
  <c r="L576" i="8"/>
  <c r="M576" i="8" s="1"/>
  <c r="L575" i="8"/>
  <c r="M575" i="8" s="1"/>
  <c r="L574" i="8"/>
  <c r="M574" i="8" s="1"/>
  <c r="L573" i="8"/>
  <c r="M573" i="8" s="1"/>
  <c r="M572" i="8"/>
  <c r="L572" i="8"/>
  <c r="L571" i="8"/>
  <c r="M571" i="8" s="1"/>
  <c r="L570" i="8"/>
  <c r="L569" i="8"/>
  <c r="M569" i="8" s="1"/>
  <c r="L568" i="8"/>
  <c r="K567" i="8"/>
  <c r="J567" i="8"/>
  <c r="I567" i="8"/>
  <c r="H567" i="8"/>
  <c r="G567" i="8"/>
  <c r="K565" i="8"/>
  <c r="J565" i="8"/>
  <c r="I565" i="8"/>
  <c r="H565" i="8"/>
  <c r="G565" i="8"/>
  <c r="G564" i="8"/>
  <c r="H564" i="8" s="1"/>
  <c r="I564" i="8" s="1"/>
  <c r="J564" i="8" s="1"/>
  <c r="K564" i="8" s="1"/>
  <c r="L564" i="8" s="1"/>
  <c r="M564" i="8" s="1"/>
  <c r="X563" i="8"/>
  <c r="S563" i="8"/>
  <c r="G563" i="8"/>
  <c r="H563" i="8" s="1"/>
  <c r="I563" i="8" s="1"/>
  <c r="J563" i="8" s="1"/>
  <c r="K563" i="8" s="1"/>
  <c r="L563" i="8" s="1"/>
  <c r="M563" i="8" s="1"/>
  <c r="L560" i="8"/>
  <c r="M560" i="8" s="1"/>
  <c r="M559" i="8"/>
  <c r="L559" i="8"/>
  <c r="L558" i="8"/>
  <c r="L557" i="8"/>
  <c r="M557" i="8" s="1"/>
  <c r="L556" i="8"/>
  <c r="L555" i="8"/>
  <c r="M555" i="8" s="1"/>
  <c r="L554" i="8"/>
  <c r="M553" i="8"/>
  <c r="L553" i="8"/>
  <c r="L552" i="8"/>
  <c r="M552" i="8" s="1"/>
  <c r="L551" i="8"/>
  <c r="T547" i="8" s="1"/>
  <c r="K551" i="8"/>
  <c r="J551" i="8"/>
  <c r="I551" i="8"/>
  <c r="H551" i="8"/>
  <c r="G551" i="8"/>
  <c r="K549" i="8"/>
  <c r="J549" i="8"/>
  <c r="I549" i="8"/>
  <c r="H549" i="8"/>
  <c r="G549" i="8"/>
  <c r="G548" i="8"/>
  <c r="H548" i="8" s="1"/>
  <c r="I548" i="8" s="1"/>
  <c r="J548" i="8" s="1"/>
  <c r="K548" i="8" s="1"/>
  <c r="L548" i="8" s="1"/>
  <c r="M548" i="8" s="1"/>
  <c r="U547" i="8"/>
  <c r="S547" i="8"/>
  <c r="G547" i="8"/>
  <c r="H547" i="8" s="1"/>
  <c r="I547" i="8" s="1"/>
  <c r="J547" i="8" s="1"/>
  <c r="K547" i="8" s="1"/>
  <c r="L547" i="8" s="1"/>
  <c r="M547" i="8" s="1"/>
  <c r="L544" i="8"/>
  <c r="M544" i="8" s="1"/>
  <c r="L543" i="8"/>
  <c r="M543" i="8" s="1"/>
  <c r="L542" i="8"/>
  <c r="M542" i="8" s="1"/>
  <c r="L541" i="8"/>
  <c r="M541" i="8" s="1"/>
  <c r="M540" i="8"/>
  <c r="L540" i="8"/>
  <c r="L539" i="8"/>
  <c r="M539" i="8" s="1"/>
  <c r="L538" i="8"/>
  <c r="L537" i="8"/>
  <c r="M537" i="8" s="1"/>
  <c r="L536" i="8"/>
  <c r="K535" i="8"/>
  <c r="J535" i="8"/>
  <c r="I535" i="8"/>
  <c r="H535" i="8"/>
  <c r="G535" i="8"/>
  <c r="K533" i="8"/>
  <c r="J533" i="8"/>
  <c r="I533" i="8"/>
  <c r="H533" i="8"/>
  <c r="G533" i="8"/>
  <c r="G532" i="8"/>
  <c r="H532" i="8" s="1"/>
  <c r="I532" i="8" s="1"/>
  <c r="J532" i="8" s="1"/>
  <c r="K532" i="8" s="1"/>
  <c r="L532" i="8" s="1"/>
  <c r="M532" i="8" s="1"/>
  <c r="X531" i="8"/>
  <c r="S531" i="8"/>
  <c r="G531" i="8"/>
  <c r="H531" i="8" s="1"/>
  <c r="I531" i="8" s="1"/>
  <c r="J531" i="8" s="1"/>
  <c r="K531" i="8" s="1"/>
  <c r="L531" i="8" s="1"/>
  <c r="M531" i="8" s="1"/>
  <c r="L528" i="8"/>
  <c r="M528" i="8" s="1"/>
  <c r="M527" i="8"/>
  <c r="L527" i="8"/>
  <c r="L526" i="8"/>
  <c r="M526" i="8" s="1"/>
  <c r="L525" i="8"/>
  <c r="M525" i="8" s="1"/>
  <c r="L524" i="8"/>
  <c r="L523" i="8"/>
  <c r="M523" i="8" s="1"/>
  <c r="L522" i="8"/>
  <c r="M521" i="8"/>
  <c r="L521" i="8"/>
  <c r="L520" i="8"/>
  <c r="M520" i="8" s="1"/>
  <c r="L519" i="8"/>
  <c r="T515" i="8" s="1"/>
  <c r="K519" i="8"/>
  <c r="J519" i="8"/>
  <c r="I519" i="8"/>
  <c r="H519" i="8"/>
  <c r="G519" i="8"/>
  <c r="K517" i="8"/>
  <c r="J517" i="8"/>
  <c r="I517" i="8"/>
  <c r="H517" i="8"/>
  <c r="G517" i="8"/>
  <c r="G516" i="8"/>
  <c r="H516" i="8" s="1"/>
  <c r="I516" i="8" s="1"/>
  <c r="J516" i="8" s="1"/>
  <c r="K516" i="8" s="1"/>
  <c r="L516" i="8" s="1"/>
  <c r="M516" i="8" s="1"/>
  <c r="W515" i="8"/>
  <c r="U515" i="8"/>
  <c r="S515" i="8"/>
  <c r="G515" i="8"/>
  <c r="H515" i="8" s="1"/>
  <c r="I515" i="8" s="1"/>
  <c r="J515" i="8" s="1"/>
  <c r="K515" i="8" s="1"/>
  <c r="L515" i="8" s="1"/>
  <c r="M515" i="8" s="1"/>
  <c r="M512" i="8"/>
  <c r="L512" i="8"/>
  <c r="M511" i="8"/>
  <c r="L511" i="8"/>
  <c r="M510" i="8"/>
  <c r="L510" i="8"/>
  <c r="M509" i="8"/>
  <c r="L509" i="8"/>
  <c r="M508" i="8"/>
  <c r="L508" i="8"/>
  <c r="M507" i="8"/>
  <c r="L507" i="8"/>
  <c r="M506" i="8"/>
  <c r="L506" i="8"/>
  <c r="M505" i="8"/>
  <c r="L505" i="8"/>
  <c r="M504" i="8"/>
  <c r="L504" i="8"/>
  <c r="K503" i="8"/>
  <c r="J503" i="8"/>
  <c r="I503" i="8"/>
  <c r="H503" i="8"/>
  <c r="G503" i="8"/>
  <c r="K501" i="8"/>
  <c r="J501" i="8"/>
  <c r="I501" i="8"/>
  <c r="H501" i="8"/>
  <c r="G501" i="8"/>
  <c r="G500" i="8"/>
  <c r="H500" i="8" s="1"/>
  <c r="I500" i="8" s="1"/>
  <c r="J500" i="8" s="1"/>
  <c r="K500" i="8" s="1"/>
  <c r="L500" i="8" s="1"/>
  <c r="M500" i="8" s="1"/>
  <c r="X499" i="8"/>
  <c r="W499" i="8"/>
  <c r="V499" i="8"/>
  <c r="U499" i="8"/>
  <c r="S499" i="8"/>
  <c r="K499" i="8"/>
  <c r="L499" i="8" s="1"/>
  <c r="M499" i="8" s="1"/>
  <c r="I499" i="8"/>
  <c r="J499" i="8" s="1"/>
  <c r="G499" i="8"/>
  <c r="H499" i="8" s="1"/>
  <c r="M496" i="8"/>
  <c r="L496" i="8"/>
  <c r="M495" i="8"/>
  <c r="L495" i="8"/>
  <c r="M494" i="8"/>
  <c r="L494" i="8"/>
  <c r="W483" i="8" s="1"/>
  <c r="M493" i="8"/>
  <c r="L493" i="8"/>
  <c r="M492" i="8"/>
  <c r="L492" i="8"/>
  <c r="X483" i="8" s="1"/>
  <c r="M491" i="8"/>
  <c r="L491" i="8"/>
  <c r="M490" i="8"/>
  <c r="L490" i="8"/>
  <c r="V483" i="8" s="1"/>
  <c r="M489" i="8"/>
  <c r="L489" i="8"/>
  <c r="M488" i="8"/>
  <c r="L488" i="8"/>
  <c r="L487" i="8" s="1"/>
  <c r="K487" i="8"/>
  <c r="J487" i="8"/>
  <c r="I487" i="8"/>
  <c r="H487" i="8"/>
  <c r="G487" i="8"/>
  <c r="K485" i="8"/>
  <c r="J485" i="8"/>
  <c r="I485" i="8"/>
  <c r="H485" i="8"/>
  <c r="G485" i="8"/>
  <c r="G484" i="8"/>
  <c r="H484" i="8" s="1"/>
  <c r="I484" i="8" s="1"/>
  <c r="J484" i="8" s="1"/>
  <c r="K484" i="8" s="1"/>
  <c r="L484" i="8" s="1"/>
  <c r="M484" i="8" s="1"/>
  <c r="U483" i="8"/>
  <c r="S483" i="8"/>
  <c r="I483" i="8"/>
  <c r="J483" i="8" s="1"/>
  <c r="K483" i="8" s="1"/>
  <c r="L483" i="8" s="1"/>
  <c r="M483" i="8" s="1"/>
  <c r="G483" i="8"/>
  <c r="H483" i="8" s="1"/>
  <c r="M480" i="8"/>
  <c r="L480" i="8"/>
  <c r="M479" i="8"/>
  <c r="L479" i="8"/>
  <c r="M478" i="8"/>
  <c r="L478" i="8"/>
  <c r="M477" i="8"/>
  <c r="L477" i="8"/>
  <c r="M476" i="8"/>
  <c r="L476" i="8"/>
  <c r="X467" i="8" s="1"/>
  <c r="M475" i="8"/>
  <c r="L475" i="8"/>
  <c r="M474" i="8"/>
  <c r="L474" i="8"/>
  <c r="M473" i="8"/>
  <c r="L473" i="8"/>
  <c r="M472" i="8"/>
  <c r="L472" i="8"/>
  <c r="L471" i="8" s="1"/>
  <c r="T467" i="8" s="1"/>
  <c r="M471" i="8"/>
  <c r="K471" i="8"/>
  <c r="J471" i="8"/>
  <c r="I471" i="8"/>
  <c r="H471" i="8"/>
  <c r="G471" i="8"/>
  <c r="K469" i="8"/>
  <c r="J469" i="8"/>
  <c r="I469" i="8"/>
  <c r="H469" i="8"/>
  <c r="G469" i="8"/>
  <c r="G468" i="8"/>
  <c r="H468" i="8" s="1"/>
  <c r="I468" i="8" s="1"/>
  <c r="J468" i="8" s="1"/>
  <c r="K468" i="8" s="1"/>
  <c r="L468" i="8" s="1"/>
  <c r="M468" i="8" s="1"/>
  <c r="W467" i="8"/>
  <c r="V467" i="8"/>
  <c r="U467" i="8"/>
  <c r="S467" i="8"/>
  <c r="I467" i="8"/>
  <c r="J467" i="8" s="1"/>
  <c r="K467" i="8" s="1"/>
  <c r="L467" i="8" s="1"/>
  <c r="M467" i="8" s="1"/>
  <c r="G467" i="8"/>
  <c r="H467" i="8" s="1"/>
  <c r="L464" i="8"/>
  <c r="M464" i="8" s="1"/>
  <c r="M463" i="8"/>
  <c r="L463" i="8"/>
  <c r="L462" i="8"/>
  <c r="M462" i="8" s="1"/>
  <c r="M461" i="8"/>
  <c r="L461" i="8"/>
  <c r="L460" i="8"/>
  <c r="X451" i="8" s="1"/>
  <c r="M459" i="8"/>
  <c r="L459" i="8"/>
  <c r="L458" i="8"/>
  <c r="M458" i="8" s="1"/>
  <c r="M457" i="8"/>
  <c r="L457" i="8"/>
  <c r="L456" i="8"/>
  <c r="L455" i="8" s="1"/>
  <c r="T451" i="8" s="1"/>
  <c r="M455" i="8"/>
  <c r="K455" i="8"/>
  <c r="J455" i="8"/>
  <c r="I455" i="8"/>
  <c r="H455" i="8"/>
  <c r="G455" i="8"/>
  <c r="K453" i="8"/>
  <c r="J453" i="8"/>
  <c r="I453" i="8"/>
  <c r="H453" i="8"/>
  <c r="G453" i="8"/>
  <c r="G452" i="8"/>
  <c r="H452" i="8" s="1"/>
  <c r="I452" i="8" s="1"/>
  <c r="J452" i="8" s="1"/>
  <c r="K452" i="8" s="1"/>
  <c r="L452" i="8" s="1"/>
  <c r="M452" i="8" s="1"/>
  <c r="W451" i="8"/>
  <c r="V451" i="8"/>
  <c r="S451" i="8"/>
  <c r="I451" i="8"/>
  <c r="J451" i="8" s="1"/>
  <c r="K451" i="8" s="1"/>
  <c r="L451" i="8" s="1"/>
  <c r="M451" i="8" s="1"/>
  <c r="G451" i="8"/>
  <c r="H451" i="8" s="1"/>
  <c r="L448" i="8"/>
  <c r="M448" i="8" s="1"/>
  <c r="M447" i="8"/>
  <c r="L447" i="8"/>
  <c r="L446" i="8"/>
  <c r="M445" i="8"/>
  <c r="L445" i="8"/>
  <c r="L444" i="8"/>
  <c r="M444" i="8" s="1"/>
  <c r="M443" i="8"/>
  <c r="L443" i="8"/>
  <c r="L442" i="8"/>
  <c r="M441" i="8"/>
  <c r="L441" i="8"/>
  <c r="L440" i="8"/>
  <c r="K439" i="8"/>
  <c r="J439" i="8"/>
  <c r="I439" i="8"/>
  <c r="H439" i="8"/>
  <c r="G439" i="8"/>
  <c r="K437" i="8"/>
  <c r="J437" i="8"/>
  <c r="I437" i="8"/>
  <c r="H437" i="8"/>
  <c r="G437" i="8"/>
  <c r="G436" i="8"/>
  <c r="H436" i="8" s="1"/>
  <c r="I436" i="8" s="1"/>
  <c r="J436" i="8" s="1"/>
  <c r="K436" i="8" s="1"/>
  <c r="L436" i="8" s="1"/>
  <c r="M436" i="8" s="1"/>
  <c r="S435" i="8"/>
  <c r="I435" i="8"/>
  <c r="J435" i="8" s="1"/>
  <c r="K435" i="8" s="1"/>
  <c r="L435" i="8" s="1"/>
  <c r="M435" i="8" s="1"/>
  <c r="G435" i="8"/>
  <c r="H435" i="8" s="1"/>
  <c r="L432" i="8"/>
  <c r="M432" i="8" s="1"/>
  <c r="M431" i="8"/>
  <c r="L431" i="8"/>
  <c r="L430" i="8"/>
  <c r="M430" i="8" s="1"/>
  <c r="M429" i="8"/>
  <c r="L429" i="8"/>
  <c r="L428" i="8"/>
  <c r="X419" i="8" s="1"/>
  <c r="M427" i="8"/>
  <c r="L427" i="8"/>
  <c r="L426" i="8"/>
  <c r="M426" i="8" s="1"/>
  <c r="M425" i="8"/>
  <c r="L425" i="8"/>
  <c r="L424" i="8"/>
  <c r="L423" i="8" s="1"/>
  <c r="T419" i="8" s="1"/>
  <c r="M423" i="8"/>
  <c r="K423" i="8"/>
  <c r="J423" i="8"/>
  <c r="I423" i="8"/>
  <c r="H423" i="8"/>
  <c r="G423" i="8"/>
  <c r="K421" i="8"/>
  <c r="J421" i="8"/>
  <c r="I421" i="8"/>
  <c r="H421" i="8"/>
  <c r="G421" i="8"/>
  <c r="G420" i="8"/>
  <c r="H420" i="8" s="1"/>
  <c r="I420" i="8" s="1"/>
  <c r="J420" i="8" s="1"/>
  <c r="K420" i="8" s="1"/>
  <c r="L420" i="8" s="1"/>
  <c r="M420" i="8" s="1"/>
  <c r="W419" i="8"/>
  <c r="V419" i="8"/>
  <c r="S419" i="8"/>
  <c r="G419" i="8"/>
  <c r="H419" i="8" s="1"/>
  <c r="I419" i="8" s="1"/>
  <c r="J419" i="8" s="1"/>
  <c r="K419" i="8" s="1"/>
  <c r="L419" i="8" s="1"/>
  <c r="M419" i="8" s="1"/>
  <c r="L416" i="8"/>
  <c r="M416" i="8" s="1"/>
  <c r="L415" i="8"/>
  <c r="M415" i="8" s="1"/>
  <c r="L414" i="8"/>
  <c r="L413" i="8"/>
  <c r="M413" i="8" s="1"/>
  <c r="L412" i="8"/>
  <c r="M411" i="8"/>
  <c r="L411" i="8"/>
  <c r="L410" i="8"/>
  <c r="M410" i="8" s="1"/>
  <c r="M409" i="8"/>
  <c r="L409" i="8"/>
  <c r="U403" i="8" s="1"/>
  <c r="L408" i="8"/>
  <c r="M408" i="8" s="1"/>
  <c r="L407" i="8"/>
  <c r="K407" i="8"/>
  <c r="J407" i="8"/>
  <c r="I407" i="8"/>
  <c r="H407" i="8"/>
  <c r="G407" i="8"/>
  <c r="K405" i="8"/>
  <c r="J405" i="8"/>
  <c r="I405" i="8"/>
  <c r="H405" i="8"/>
  <c r="G405" i="8"/>
  <c r="G404" i="8"/>
  <c r="H404" i="8" s="1"/>
  <c r="I404" i="8" s="1"/>
  <c r="J404" i="8" s="1"/>
  <c r="K404" i="8" s="1"/>
  <c r="L404" i="8" s="1"/>
  <c r="M404" i="8" s="1"/>
  <c r="V403" i="8"/>
  <c r="S403" i="8"/>
  <c r="G403" i="8"/>
  <c r="H403" i="8" s="1"/>
  <c r="I403" i="8" s="1"/>
  <c r="J403" i="8" s="1"/>
  <c r="K403" i="8" s="1"/>
  <c r="L403" i="8" s="1"/>
  <c r="M403" i="8" s="1"/>
  <c r="L400" i="8"/>
  <c r="M400" i="8" s="1"/>
  <c r="M399" i="8"/>
  <c r="L399" i="8"/>
  <c r="L398" i="8"/>
  <c r="L397" i="8"/>
  <c r="M397" i="8" s="1"/>
  <c r="L396" i="8"/>
  <c r="M395" i="8"/>
  <c r="L395" i="8"/>
  <c r="L394" i="8"/>
  <c r="M393" i="8"/>
  <c r="L393" i="8"/>
  <c r="U387" i="8" s="1"/>
  <c r="L392" i="8"/>
  <c r="K391" i="8"/>
  <c r="J391" i="8"/>
  <c r="I391" i="8"/>
  <c r="H391" i="8"/>
  <c r="G391" i="8"/>
  <c r="K389" i="8"/>
  <c r="J389" i="8"/>
  <c r="I389" i="8"/>
  <c r="H389" i="8"/>
  <c r="G389" i="8"/>
  <c r="G388" i="8"/>
  <c r="H388" i="8" s="1"/>
  <c r="I388" i="8" s="1"/>
  <c r="J388" i="8" s="1"/>
  <c r="K388" i="8" s="1"/>
  <c r="L388" i="8" s="1"/>
  <c r="M388" i="8" s="1"/>
  <c r="S387" i="8"/>
  <c r="H387" i="8"/>
  <c r="I387" i="8" s="1"/>
  <c r="J387" i="8" s="1"/>
  <c r="K387" i="8" s="1"/>
  <c r="L387" i="8" s="1"/>
  <c r="M387" i="8" s="1"/>
  <c r="G387" i="8"/>
  <c r="L384" i="8"/>
  <c r="M384" i="8" s="1"/>
  <c r="L383" i="8"/>
  <c r="M383" i="8" s="1"/>
  <c r="L382" i="8"/>
  <c r="L381" i="8"/>
  <c r="M381" i="8" s="1"/>
  <c r="L380" i="8"/>
  <c r="M379" i="8"/>
  <c r="L379" i="8"/>
  <c r="L378" i="8"/>
  <c r="L377" i="8"/>
  <c r="L376" i="8"/>
  <c r="K375" i="8"/>
  <c r="J375" i="8"/>
  <c r="I375" i="8"/>
  <c r="H375" i="8"/>
  <c r="G375" i="8"/>
  <c r="K373" i="8"/>
  <c r="J373" i="8"/>
  <c r="I373" i="8"/>
  <c r="H373" i="8"/>
  <c r="G373" i="8"/>
  <c r="J372" i="8"/>
  <c r="K372" i="8" s="1"/>
  <c r="L372" i="8" s="1"/>
  <c r="M372" i="8" s="1"/>
  <c r="G372" i="8"/>
  <c r="H372" i="8" s="1"/>
  <c r="I372" i="8" s="1"/>
  <c r="S371" i="8"/>
  <c r="H371" i="8"/>
  <c r="I371" i="8" s="1"/>
  <c r="J371" i="8" s="1"/>
  <c r="K371" i="8" s="1"/>
  <c r="L371" i="8" s="1"/>
  <c r="M371" i="8" s="1"/>
  <c r="G371" i="8"/>
  <c r="L368" i="8"/>
  <c r="M368" i="8" s="1"/>
  <c r="L367" i="8"/>
  <c r="M367" i="8" s="1"/>
  <c r="L366" i="8"/>
  <c r="L365" i="8"/>
  <c r="M365" i="8" s="1"/>
  <c r="L364" i="8"/>
  <c r="L363" i="8"/>
  <c r="M363" i="8" s="1"/>
  <c r="L362" i="8"/>
  <c r="M361" i="8"/>
  <c r="L361" i="8"/>
  <c r="L360" i="8"/>
  <c r="K359" i="8"/>
  <c r="J359" i="8"/>
  <c r="I359" i="8"/>
  <c r="H359" i="8"/>
  <c r="G359" i="8"/>
  <c r="K357" i="8"/>
  <c r="J357" i="8"/>
  <c r="I357" i="8"/>
  <c r="H357" i="8"/>
  <c r="G357" i="8"/>
  <c r="G356" i="8"/>
  <c r="H356" i="8" s="1"/>
  <c r="I356" i="8" s="1"/>
  <c r="J356" i="8" s="1"/>
  <c r="K356" i="8" s="1"/>
  <c r="L356" i="8" s="1"/>
  <c r="M356" i="8" s="1"/>
  <c r="S355" i="8"/>
  <c r="G355" i="8"/>
  <c r="H355" i="8" s="1"/>
  <c r="I355" i="8" s="1"/>
  <c r="J355" i="8" s="1"/>
  <c r="K355" i="8" s="1"/>
  <c r="L355" i="8" s="1"/>
  <c r="M355" i="8" s="1"/>
  <c r="L352" i="8"/>
  <c r="M352" i="8" s="1"/>
  <c r="M351" i="8"/>
  <c r="L351" i="8"/>
  <c r="L350" i="8"/>
  <c r="L349" i="8"/>
  <c r="M349" i="8" s="1"/>
  <c r="L348" i="8"/>
  <c r="L347" i="8"/>
  <c r="M347" i="8" s="1"/>
  <c r="L346" i="8"/>
  <c r="L345" i="8"/>
  <c r="M345" i="8" s="1"/>
  <c r="L344" i="8"/>
  <c r="U339" i="8" s="1"/>
  <c r="K343" i="8"/>
  <c r="J343" i="8"/>
  <c r="I343" i="8"/>
  <c r="H343" i="8"/>
  <c r="G343" i="8"/>
  <c r="K341" i="8"/>
  <c r="J341" i="8"/>
  <c r="I341" i="8"/>
  <c r="H341" i="8"/>
  <c r="G341" i="8"/>
  <c r="G340" i="8"/>
  <c r="H340" i="8" s="1"/>
  <c r="I340" i="8" s="1"/>
  <c r="J340" i="8" s="1"/>
  <c r="K340" i="8" s="1"/>
  <c r="L340" i="8" s="1"/>
  <c r="M340" i="8" s="1"/>
  <c r="S339" i="8"/>
  <c r="L339" i="8"/>
  <c r="M339" i="8" s="1"/>
  <c r="G339" i="8"/>
  <c r="H339" i="8" s="1"/>
  <c r="I339" i="8" s="1"/>
  <c r="J339" i="8" s="1"/>
  <c r="K339" i="8" s="1"/>
  <c r="L336" i="8"/>
  <c r="M336" i="8" s="1"/>
  <c r="M335" i="8"/>
  <c r="L335" i="8"/>
  <c r="L334" i="8"/>
  <c r="L333" i="8"/>
  <c r="M333" i="8" s="1"/>
  <c r="L332" i="8"/>
  <c r="M331" i="8"/>
  <c r="L331" i="8"/>
  <c r="L330" i="8"/>
  <c r="M330" i="8" s="1"/>
  <c r="L329" i="8"/>
  <c r="M329" i="8" s="1"/>
  <c r="L328" i="8"/>
  <c r="K327" i="8"/>
  <c r="J327" i="8"/>
  <c r="I327" i="8"/>
  <c r="H327" i="8"/>
  <c r="G327" i="8"/>
  <c r="K325" i="8"/>
  <c r="J325" i="8"/>
  <c r="I325" i="8"/>
  <c r="H325" i="8"/>
  <c r="G325" i="8"/>
  <c r="G324" i="8"/>
  <c r="H324" i="8" s="1"/>
  <c r="I324" i="8" s="1"/>
  <c r="J324" i="8" s="1"/>
  <c r="K324" i="8" s="1"/>
  <c r="L324" i="8" s="1"/>
  <c r="M324" i="8" s="1"/>
  <c r="S323" i="8"/>
  <c r="H323" i="8"/>
  <c r="I323" i="8" s="1"/>
  <c r="J323" i="8" s="1"/>
  <c r="K323" i="8" s="1"/>
  <c r="L323" i="8" s="1"/>
  <c r="M323" i="8" s="1"/>
  <c r="G323" i="8"/>
  <c r="M320" i="8"/>
  <c r="L320" i="8"/>
  <c r="M319" i="8"/>
  <c r="L319" i="8"/>
  <c r="M318" i="8"/>
  <c r="L318" i="8"/>
  <c r="W307" i="8" s="1"/>
  <c r="M317" i="8"/>
  <c r="L317" i="8"/>
  <c r="M316" i="8"/>
  <c r="L316" i="8"/>
  <c r="X307" i="8" s="1"/>
  <c r="M315" i="8"/>
  <c r="L315" i="8"/>
  <c r="M314" i="8"/>
  <c r="L314" i="8"/>
  <c r="M313" i="8"/>
  <c r="L313" i="8"/>
  <c r="M312" i="8"/>
  <c r="L312" i="8"/>
  <c r="K311" i="8"/>
  <c r="J311" i="8"/>
  <c r="I311" i="8"/>
  <c r="H311" i="8"/>
  <c r="G311" i="8"/>
  <c r="K309" i="8"/>
  <c r="J309" i="8"/>
  <c r="I309" i="8"/>
  <c r="H309" i="8"/>
  <c r="G309" i="8"/>
  <c r="G308" i="8"/>
  <c r="H308" i="8" s="1"/>
  <c r="I308" i="8" s="1"/>
  <c r="J308" i="8" s="1"/>
  <c r="K308" i="8" s="1"/>
  <c r="L308" i="8" s="1"/>
  <c r="M308" i="8" s="1"/>
  <c r="V307" i="8"/>
  <c r="S307" i="8"/>
  <c r="G307" i="8"/>
  <c r="H307" i="8" s="1"/>
  <c r="I307" i="8" s="1"/>
  <c r="J307" i="8" s="1"/>
  <c r="K307" i="8" s="1"/>
  <c r="L307" i="8" s="1"/>
  <c r="M307" i="8" s="1"/>
  <c r="M304" i="8"/>
  <c r="L304" i="8"/>
  <c r="L303" i="8"/>
  <c r="M303" i="8" s="1"/>
  <c r="M302" i="8"/>
  <c r="L302" i="8"/>
  <c r="W291" i="8" s="1"/>
  <c r="L301" i="8"/>
  <c r="M301" i="8" s="1"/>
  <c r="M300" i="8"/>
  <c r="L300" i="8"/>
  <c r="X291" i="8" s="1"/>
  <c r="L299" i="8"/>
  <c r="M298" i="8"/>
  <c r="L298" i="8"/>
  <c r="L297" i="8"/>
  <c r="M296" i="8"/>
  <c r="L296" i="8"/>
  <c r="K295" i="8"/>
  <c r="J295" i="8"/>
  <c r="I295" i="8"/>
  <c r="H295" i="8"/>
  <c r="G295" i="8"/>
  <c r="K293" i="8"/>
  <c r="J293" i="8"/>
  <c r="I293" i="8"/>
  <c r="H293" i="8"/>
  <c r="G293" i="8"/>
  <c r="G292" i="8"/>
  <c r="H292" i="8" s="1"/>
  <c r="I292" i="8" s="1"/>
  <c r="J292" i="8" s="1"/>
  <c r="K292" i="8" s="1"/>
  <c r="L292" i="8" s="1"/>
  <c r="M292" i="8" s="1"/>
  <c r="S291" i="8"/>
  <c r="H291" i="8"/>
  <c r="I291" i="8" s="1"/>
  <c r="J291" i="8" s="1"/>
  <c r="K291" i="8" s="1"/>
  <c r="L291" i="8" s="1"/>
  <c r="M291" i="8" s="1"/>
  <c r="G291" i="8"/>
  <c r="M288" i="8"/>
  <c r="L288" i="8"/>
  <c r="M287" i="8"/>
  <c r="L287" i="8"/>
  <c r="M286" i="8"/>
  <c r="L286" i="8"/>
  <c r="W275" i="8" s="1"/>
  <c r="M285" i="8"/>
  <c r="L285" i="8"/>
  <c r="M284" i="8"/>
  <c r="L284" i="8"/>
  <c r="X275" i="8" s="1"/>
  <c r="M283" i="8"/>
  <c r="L283" i="8"/>
  <c r="M282" i="8"/>
  <c r="L282" i="8"/>
  <c r="M281" i="8"/>
  <c r="L281" i="8"/>
  <c r="M280" i="8"/>
  <c r="L280" i="8"/>
  <c r="L279" i="8" s="1"/>
  <c r="K279" i="8"/>
  <c r="J279" i="8"/>
  <c r="I279" i="8"/>
  <c r="H279" i="8"/>
  <c r="G279" i="8"/>
  <c r="K277" i="8"/>
  <c r="J277" i="8"/>
  <c r="I277" i="8"/>
  <c r="H277" i="8"/>
  <c r="G277" i="8"/>
  <c r="G276" i="8"/>
  <c r="H276" i="8" s="1"/>
  <c r="I276" i="8" s="1"/>
  <c r="J276" i="8" s="1"/>
  <c r="K276" i="8" s="1"/>
  <c r="L276" i="8" s="1"/>
  <c r="M276" i="8" s="1"/>
  <c r="V275" i="8"/>
  <c r="U275" i="8"/>
  <c r="S275" i="8"/>
  <c r="I275" i="8"/>
  <c r="J275" i="8" s="1"/>
  <c r="K275" i="8" s="1"/>
  <c r="L275" i="8" s="1"/>
  <c r="M275" i="8" s="1"/>
  <c r="H275" i="8"/>
  <c r="G275" i="8"/>
  <c r="L272" i="8"/>
  <c r="M272" i="8" s="1"/>
  <c r="M271" i="8"/>
  <c r="L271" i="8"/>
  <c r="L270" i="8"/>
  <c r="W259" i="8" s="1"/>
  <c r="L269" i="8"/>
  <c r="M269" i="8" s="1"/>
  <c r="L268" i="8"/>
  <c r="M268" i="8" s="1"/>
  <c r="L267" i="8"/>
  <c r="M267" i="8" s="1"/>
  <c r="L266" i="8"/>
  <c r="M266" i="8" s="1"/>
  <c r="M265" i="8"/>
  <c r="L265" i="8"/>
  <c r="L264" i="8"/>
  <c r="L263" i="8" s="1"/>
  <c r="M263" i="8" s="1"/>
  <c r="K263" i="8"/>
  <c r="J263" i="8"/>
  <c r="I263" i="8"/>
  <c r="H263" i="8"/>
  <c r="G263" i="8"/>
  <c r="K261" i="8"/>
  <c r="J261" i="8"/>
  <c r="I261" i="8"/>
  <c r="H261" i="8"/>
  <c r="G261" i="8"/>
  <c r="G260" i="8"/>
  <c r="H260" i="8" s="1"/>
  <c r="I260" i="8" s="1"/>
  <c r="J260" i="8" s="1"/>
  <c r="K260" i="8" s="1"/>
  <c r="L260" i="8" s="1"/>
  <c r="M260" i="8" s="1"/>
  <c r="U259" i="8"/>
  <c r="S259" i="8"/>
  <c r="G259" i="8"/>
  <c r="H259" i="8" s="1"/>
  <c r="I259" i="8" s="1"/>
  <c r="J259" i="8" s="1"/>
  <c r="K259" i="8" s="1"/>
  <c r="L259" i="8" s="1"/>
  <c r="M259" i="8" s="1"/>
  <c r="L256" i="8"/>
  <c r="M256" i="8" s="1"/>
  <c r="M255" i="8"/>
  <c r="L255" i="8"/>
  <c r="L254" i="8"/>
  <c r="M253" i="8"/>
  <c r="L253" i="8"/>
  <c r="L252" i="8"/>
  <c r="M252" i="8" s="1"/>
  <c r="M251" i="8"/>
  <c r="L251" i="8"/>
  <c r="L250" i="8"/>
  <c r="M250" i="8" s="1"/>
  <c r="L249" i="8"/>
  <c r="M249" i="8" s="1"/>
  <c r="L248" i="8"/>
  <c r="K247" i="8"/>
  <c r="J247" i="8"/>
  <c r="I247" i="8"/>
  <c r="H247" i="8"/>
  <c r="G247" i="8"/>
  <c r="K245" i="8"/>
  <c r="J245" i="8"/>
  <c r="I245" i="8"/>
  <c r="H245" i="8"/>
  <c r="G245" i="8"/>
  <c r="J244" i="8"/>
  <c r="K244" i="8" s="1"/>
  <c r="L244" i="8" s="1"/>
  <c r="M244" i="8" s="1"/>
  <c r="I244" i="8"/>
  <c r="G244" i="8"/>
  <c r="H244" i="8" s="1"/>
  <c r="X243" i="8"/>
  <c r="V243" i="8"/>
  <c r="S243" i="8"/>
  <c r="H243" i="8"/>
  <c r="I243" i="8" s="1"/>
  <c r="J243" i="8" s="1"/>
  <c r="K243" i="8" s="1"/>
  <c r="L243" i="8" s="1"/>
  <c r="M243" i="8" s="1"/>
  <c r="G243" i="8"/>
  <c r="L240" i="8"/>
  <c r="M240" i="8" s="1"/>
  <c r="L239" i="8"/>
  <c r="M239" i="8" s="1"/>
  <c r="L238" i="8"/>
  <c r="W227" i="8" s="1"/>
  <c r="L237" i="8"/>
  <c r="M237" i="8" s="1"/>
  <c r="L236" i="8"/>
  <c r="M236" i="8" s="1"/>
  <c r="L235" i="8"/>
  <c r="M235" i="8" s="1"/>
  <c r="L234" i="8"/>
  <c r="M234" i="8" s="1"/>
  <c r="M233" i="8"/>
  <c r="L233" i="8"/>
  <c r="L232" i="8"/>
  <c r="L231" i="8" s="1"/>
  <c r="M231" i="8" s="1"/>
  <c r="K231" i="8"/>
  <c r="J231" i="8"/>
  <c r="I231" i="8"/>
  <c r="H231" i="8"/>
  <c r="G231" i="8"/>
  <c r="K229" i="8"/>
  <c r="J229" i="8"/>
  <c r="I229" i="8"/>
  <c r="H229" i="8"/>
  <c r="G229" i="8"/>
  <c r="G228" i="8"/>
  <c r="H228" i="8" s="1"/>
  <c r="I228" i="8" s="1"/>
  <c r="J228" i="8" s="1"/>
  <c r="K228" i="8" s="1"/>
  <c r="L228" i="8" s="1"/>
  <c r="M228" i="8" s="1"/>
  <c r="U227" i="8"/>
  <c r="S227" i="8"/>
  <c r="G227" i="8"/>
  <c r="H227" i="8" s="1"/>
  <c r="I227" i="8" s="1"/>
  <c r="J227" i="8" s="1"/>
  <c r="K227" i="8" s="1"/>
  <c r="L227" i="8" s="1"/>
  <c r="M227" i="8" s="1"/>
  <c r="L224" i="8"/>
  <c r="M224" i="8" s="1"/>
  <c r="M223" i="8"/>
  <c r="L223" i="8"/>
  <c r="L222" i="8"/>
  <c r="M222" i="8" s="1"/>
  <c r="M221" i="8"/>
  <c r="L221" i="8"/>
  <c r="L220" i="8"/>
  <c r="L219" i="8"/>
  <c r="M219" i="8" s="1"/>
  <c r="L218" i="8"/>
  <c r="M218" i="8" s="1"/>
  <c r="L217" i="8"/>
  <c r="M217" i="8" s="1"/>
  <c r="L216" i="8"/>
  <c r="K215" i="8"/>
  <c r="J215" i="8"/>
  <c r="I215" i="8"/>
  <c r="H215" i="8"/>
  <c r="G215" i="8"/>
  <c r="K213" i="8"/>
  <c r="J213" i="8"/>
  <c r="I213" i="8"/>
  <c r="H213" i="8"/>
  <c r="G213" i="8"/>
  <c r="J212" i="8"/>
  <c r="K212" i="8" s="1"/>
  <c r="L212" i="8" s="1"/>
  <c r="M212" i="8" s="1"/>
  <c r="I212" i="8"/>
  <c r="G212" i="8"/>
  <c r="H212" i="8" s="1"/>
  <c r="W211" i="8"/>
  <c r="V211" i="8"/>
  <c r="S211" i="8"/>
  <c r="G211" i="8"/>
  <c r="H211" i="8" s="1"/>
  <c r="I211" i="8" s="1"/>
  <c r="J211" i="8" s="1"/>
  <c r="K211" i="8" s="1"/>
  <c r="L211" i="8" s="1"/>
  <c r="M211" i="8" s="1"/>
  <c r="L208" i="8"/>
  <c r="M208" i="8" s="1"/>
  <c r="L207" i="8"/>
  <c r="M207" i="8" s="1"/>
  <c r="L206" i="8"/>
  <c r="M205" i="8"/>
  <c r="L205" i="8"/>
  <c r="L204" i="8"/>
  <c r="M204" i="8" s="1"/>
  <c r="L203" i="8"/>
  <c r="M203" i="8" s="1"/>
  <c r="L202" i="8"/>
  <c r="M202" i="8" s="1"/>
  <c r="M201" i="8"/>
  <c r="L201" i="8"/>
  <c r="L200" i="8"/>
  <c r="M200" i="8" s="1"/>
  <c r="L199" i="8"/>
  <c r="K199" i="8"/>
  <c r="J199" i="8"/>
  <c r="I199" i="8"/>
  <c r="H199" i="8"/>
  <c r="G199" i="8"/>
  <c r="K197" i="8"/>
  <c r="J197" i="8"/>
  <c r="I197" i="8"/>
  <c r="H197" i="8"/>
  <c r="G197" i="8"/>
  <c r="G196" i="8"/>
  <c r="H196" i="8" s="1"/>
  <c r="I196" i="8" s="1"/>
  <c r="J196" i="8" s="1"/>
  <c r="K196" i="8" s="1"/>
  <c r="L196" i="8" s="1"/>
  <c r="M196" i="8" s="1"/>
  <c r="X195" i="8"/>
  <c r="S195" i="8"/>
  <c r="G195" i="8"/>
  <c r="H195" i="8" s="1"/>
  <c r="I195" i="8" s="1"/>
  <c r="J195" i="8" s="1"/>
  <c r="K195" i="8" s="1"/>
  <c r="L195" i="8" s="1"/>
  <c r="M195" i="8" s="1"/>
  <c r="L192" i="8"/>
  <c r="M192" i="8" s="1"/>
  <c r="L191" i="8"/>
  <c r="M191" i="8" s="1"/>
  <c r="L190" i="8"/>
  <c r="L189" i="8"/>
  <c r="M189" i="8" s="1"/>
  <c r="L188" i="8"/>
  <c r="M187" i="8"/>
  <c r="L187" i="8"/>
  <c r="L186" i="8"/>
  <c r="M186" i="8" s="1"/>
  <c r="L185" i="8"/>
  <c r="U179" i="8" s="1"/>
  <c r="L184" i="8"/>
  <c r="M184" i="8" s="1"/>
  <c r="K183" i="8"/>
  <c r="J183" i="8"/>
  <c r="I183" i="8"/>
  <c r="H183" i="8"/>
  <c r="G183" i="8"/>
  <c r="K181" i="8"/>
  <c r="J181" i="8"/>
  <c r="I181" i="8"/>
  <c r="H181" i="8"/>
  <c r="G181" i="8"/>
  <c r="G180" i="8"/>
  <c r="H180" i="8" s="1"/>
  <c r="I180" i="8" s="1"/>
  <c r="J180" i="8" s="1"/>
  <c r="K180" i="8" s="1"/>
  <c r="L180" i="8" s="1"/>
  <c r="M180" i="8" s="1"/>
  <c r="S179" i="8"/>
  <c r="G179" i="8"/>
  <c r="H179" i="8" s="1"/>
  <c r="I179" i="8" s="1"/>
  <c r="J179" i="8" s="1"/>
  <c r="K179" i="8" s="1"/>
  <c r="L179" i="8" s="1"/>
  <c r="M179" i="8" s="1"/>
  <c r="L176" i="8"/>
  <c r="M176" i="8" s="1"/>
  <c r="M175" i="8"/>
  <c r="L175" i="8"/>
  <c r="L174" i="8"/>
  <c r="M174" i="8" s="1"/>
  <c r="M173" i="8"/>
  <c r="L173" i="8"/>
  <c r="L172" i="8"/>
  <c r="M172" i="8" s="1"/>
  <c r="L171" i="8"/>
  <c r="M171" i="8" s="1"/>
  <c r="L170" i="8"/>
  <c r="M170" i="8" s="1"/>
  <c r="M169" i="8"/>
  <c r="L169" i="8"/>
  <c r="L168" i="8"/>
  <c r="M168" i="8" s="1"/>
  <c r="K167" i="8"/>
  <c r="J167" i="8"/>
  <c r="I167" i="8"/>
  <c r="H167" i="8"/>
  <c r="G167" i="8"/>
  <c r="K165" i="8"/>
  <c r="J165" i="8"/>
  <c r="I165" i="8"/>
  <c r="H165" i="8"/>
  <c r="G165" i="8"/>
  <c r="I164" i="8"/>
  <c r="J164" i="8" s="1"/>
  <c r="K164" i="8" s="1"/>
  <c r="L164" i="8" s="1"/>
  <c r="M164" i="8" s="1"/>
  <c r="H164" i="8"/>
  <c r="G164" i="8"/>
  <c r="X163" i="8"/>
  <c r="W163" i="8"/>
  <c r="S163" i="8"/>
  <c r="G163" i="8"/>
  <c r="H163" i="8" s="1"/>
  <c r="I163" i="8" s="1"/>
  <c r="J163" i="8" s="1"/>
  <c r="K163" i="8" s="1"/>
  <c r="L163" i="8" s="1"/>
  <c r="M163" i="8" s="1"/>
  <c r="L160" i="8"/>
  <c r="M160" i="8" s="1"/>
  <c r="M159" i="8"/>
  <c r="L159" i="8"/>
  <c r="L158" i="8"/>
  <c r="M158" i="8" s="1"/>
  <c r="M157" i="8"/>
  <c r="L157" i="8"/>
  <c r="L156" i="8"/>
  <c r="M156" i="8" s="1"/>
  <c r="L155" i="8"/>
  <c r="M155" i="8" s="1"/>
  <c r="L154" i="8"/>
  <c r="M154" i="8" s="1"/>
  <c r="L153" i="8"/>
  <c r="L152" i="8"/>
  <c r="K151" i="8"/>
  <c r="J151" i="8"/>
  <c r="I151" i="8"/>
  <c r="H151" i="8"/>
  <c r="G151" i="8"/>
  <c r="K149" i="8"/>
  <c r="J149" i="8"/>
  <c r="I149" i="8"/>
  <c r="H149" i="8"/>
  <c r="G149" i="8"/>
  <c r="G148" i="8"/>
  <c r="H148" i="8" s="1"/>
  <c r="I148" i="8" s="1"/>
  <c r="J148" i="8" s="1"/>
  <c r="K148" i="8" s="1"/>
  <c r="L148" i="8" s="1"/>
  <c r="M148" i="8" s="1"/>
  <c r="X147" i="8"/>
  <c r="S147" i="8"/>
  <c r="G147" i="8"/>
  <c r="H147" i="8" s="1"/>
  <c r="I147" i="8" s="1"/>
  <c r="J147" i="8" s="1"/>
  <c r="K147" i="8" s="1"/>
  <c r="L147" i="8" s="1"/>
  <c r="M147" i="8" s="1"/>
  <c r="L144" i="8"/>
  <c r="M144" i="8" s="1"/>
  <c r="L143" i="8"/>
  <c r="M143" i="8" s="1"/>
  <c r="L142" i="8"/>
  <c r="M142" i="8" s="1"/>
  <c r="M141" i="8"/>
  <c r="L141" i="8"/>
  <c r="L140" i="8"/>
  <c r="L139" i="8"/>
  <c r="M139" i="8" s="1"/>
  <c r="L138" i="8"/>
  <c r="M138" i="8" s="1"/>
  <c r="L137" i="8"/>
  <c r="L136" i="8"/>
  <c r="K135" i="8"/>
  <c r="J135" i="8"/>
  <c r="I135" i="8"/>
  <c r="H135" i="8"/>
  <c r="G135" i="8"/>
  <c r="K133" i="8"/>
  <c r="J133" i="8"/>
  <c r="I133" i="8"/>
  <c r="H133" i="8"/>
  <c r="G133" i="8"/>
  <c r="I132" i="8"/>
  <c r="J132" i="8" s="1"/>
  <c r="K132" i="8" s="1"/>
  <c r="L132" i="8" s="1"/>
  <c r="M132" i="8" s="1"/>
  <c r="H132" i="8"/>
  <c r="G132" i="8"/>
  <c r="W131" i="8"/>
  <c r="S131" i="8"/>
  <c r="G131" i="8"/>
  <c r="H131" i="8" s="1"/>
  <c r="I131" i="8" s="1"/>
  <c r="J131" i="8" s="1"/>
  <c r="K131" i="8" s="1"/>
  <c r="L131" i="8" s="1"/>
  <c r="M131" i="8" s="1"/>
  <c r="L128" i="8"/>
  <c r="M128" i="8" s="1"/>
  <c r="M127" i="8"/>
  <c r="L127" i="8"/>
  <c r="L126" i="8"/>
  <c r="L125" i="8"/>
  <c r="M125" i="8" s="1"/>
  <c r="L124" i="8"/>
  <c r="M124" i="8" s="1"/>
  <c r="L123" i="8"/>
  <c r="M123" i="8" s="1"/>
  <c r="L122" i="8"/>
  <c r="M122" i="8" s="1"/>
  <c r="L121" i="8"/>
  <c r="L120" i="8"/>
  <c r="K119" i="8"/>
  <c r="J119" i="8"/>
  <c r="I119" i="8"/>
  <c r="H119" i="8"/>
  <c r="G119" i="8"/>
  <c r="K117" i="8"/>
  <c r="J117" i="8"/>
  <c r="I117" i="8"/>
  <c r="H117" i="8"/>
  <c r="G117" i="8"/>
  <c r="G116" i="8"/>
  <c r="H116" i="8" s="1"/>
  <c r="I116" i="8" s="1"/>
  <c r="J116" i="8" s="1"/>
  <c r="K116" i="8" s="1"/>
  <c r="L116" i="8" s="1"/>
  <c r="M116" i="8" s="1"/>
  <c r="X115" i="8"/>
  <c r="S115" i="8"/>
  <c r="K115" i="8"/>
  <c r="L115" i="8" s="1"/>
  <c r="M115" i="8" s="1"/>
  <c r="G115" i="8"/>
  <c r="H115" i="8" s="1"/>
  <c r="I115" i="8" s="1"/>
  <c r="J115" i="8" s="1"/>
  <c r="L112" i="8"/>
  <c r="M112" i="8" s="1"/>
  <c r="L111" i="8"/>
  <c r="M111" i="8" s="1"/>
  <c r="L110" i="8"/>
  <c r="M110" i="8" s="1"/>
  <c r="L109" i="8"/>
  <c r="M109" i="8" s="1"/>
  <c r="L108" i="8"/>
  <c r="L107" i="8"/>
  <c r="M107" i="8" s="1"/>
  <c r="L106" i="8"/>
  <c r="M106" i="8" s="1"/>
  <c r="M105" i="8"/>
  <c r="L105" i="8"/>
  <c r="L104" i="8"/>
  <c r="M104" i="8" s="1"/>
  <c r="L103" i="8"/>
  <c r="M103" i="8" s="1"/>
  <c r="K103" i="8"/>
  <c r="J103" i="8"/>
  <c r="I103" i="8"/>
  <c r="H103" i="8"/>
  <c r="G103" i="8"/>
  <c r="K101" i="8"/>
  <c r="J101" i="8"/>
  <c r="I101" i="8"/>
  <c r="H101" i="8"/>
  <c r="G101" i="8"/>
  <c r="H100" i="8"/>
  <c r="I100" i="8" s="1"/>
  <c r="J100" i="8" s="1"/>
  <c r="K100" i="8" s="1"/>
  <c r="L100" i="8" s="1"/>
  <c r="M100" i="8" s="1"/>
  <c r="G100" i="8"/>
  <c r="W99" i="8"/>
  <c r="T99" i="8"/>
  <c r="S99" i="8"/>
  <c r="G99" i="8"/>
  <c r="H99" i="8" s="1"/>
  <c r="I99" i="8" s="1"/>
  <c r="J99" i="8" s="1"/>
  <c r="K99" i="8" s="1"/>
  <c r="L99" i="8" s="1"/>
  <c r="M99" i="8" s="1"/>
  <c r="L96" i="8"/>
  <c r="M96" i="8" s="1"/>
  <c r="M95" i="8"/>
  <c r="L95" i="8"/>
  <c r="L94" i="8"/>
  <c r="M94" i="8" s="1"/>
  <c r="L93" i="8"/>
  <c r="M93" i="8" s="1"/>
  <c r="L92" i="8"/>
  <c r="M92" i="8" s="1"/>
  <c r="M91" i="8"/>
  <c r="L91" i="8"/>
  <c r="L90" i="8"/>
  <c r="M90" i="8" s="1"/>
  <c r="L89" i="8"/>
  <c r="L88" i="8"/>
  <c r="K87" i="8"/>
  <c r="J87" i="8"/>
  <c r="I87" i="8"/>
  <c r="H87" i="8"/>
  <c r="G87" i="8"/>
  <c r="K85" i="8"/>
  <c r="J85" i="8"/>
  <c r="I85" i="8"/>
  <c r="H85" i="8"/>
  <c r="G85" i="8"/>
  <c r="I84" i="8"/>
  <c r="J84" i="8" s="1"/>
  <c r="K84" i="8" s="1"/>
  <c r="L84" i="8" s="1"/>
  <c r="M84" i="8" s="1"/>
  <c r="G84" i="8"/>
  <c r="H84" i="8" s="1"/>
  <c r="X83" i="8"/>
  <c r="W83" i="8"/>
  <c r="S83" i="8"/>
  <c r="G83" i="8"/>
  <c r="H83" i="8" s="1"/>
  <c r="I83" i="8" s="1"/>
  <c r="J83" i="8" s="1"/>
  <c r="K83" i="8" s="1"/>
  <c r="L83" i="8" s="1"/>
  <c r="M83" i="8" s="1"/>
  <c r="L80" i="8"/>
  <c r="M80" i="8" s="1"/>
  <c r="L79" i="8"/>
  <c r="M79" i="8" s="1"/>
  <c r="L78" i="8"/>
  <c r="M78" i="8" s="1"/>
  <c r="M77" i="8"/>
  <c r="L77" i="8"/>
  <c r="L76" i="8"/>
  <c r="M75" i="8"/>
  <c r="L75" i="8"/>
  <c r="L74" i="8"/>
  <c r="M74" i="8" s="1"/>
  <c r="M73" i="8"/>
  <c r="L73" i="8"/>
  <c r="U67" i="8" s="1"/>
  <c r="L72" i="8"/>
  <c r="M72" i="8" s="1"/>
  <c r="L71" i="8"/>
  <c r="M71" i="8" s="1"/>
  <c r="K71" i="8"/>
  <c r="J71" i="8"/>
  <c r="I71" i="8"/>
  <c r="H71" i="8"/>
  <c r="G71" i="8"/>
  <c r="K69" i="8"/>
  <c r="J69" i="8"/>
  <c r="I69" i="8"/>
  <c r="H69" i="8"/>
  <c r="G69" i="8"/>
  <c r="G68" i="8"/>
  <c r="H68" i="8" s="1"/>
  <c r="I68" i="8" s="1"/>
  <c r="J68" i="8" s="1"/>
  <c r="K68" i="8" s="1"/>
  <c r="L68" i="8" s="1"/>
  <c r="M68" i="8" s="1"/>
  <c r="W67" i="8"/>
  <c r="S67" i="8"/>
  <c r="G67" i="8"/>
  <c r="H67" i="8" s="1"/>
  <c r="I67" i="8" s="1"/>
  <c r="J67" i="8" s="1"/>
  <c r="K67" i="8" s="1"/>
  <c r="L67" i="8" s="1"/>
  <c r="M67" i="8" s="1"/>
  <c r="L64" i="8"/>
  <c r="M64" i="8" s="1"/>
  <c r="L63" i="8"/>
  <c r="M63" i="8" s="1"/>
  <c r="L62" i="8"/>
  <c r="M62" i="8" s="1"/>
  <c r="M61" i="8"/>
  <c r="L61" i="8"/>
  <c r="L60" i="8"/>
  <c r="M60" i="8" s="1"/>
  <c r="L59" i="8"/>
  <c r="M59" i="8" s="1"/>
  <c r="L58" i="8"/>
  <c r="M58" i="8" s="1"/>
  <c r="L57" i="8"/>
  <c r="L56" i="8"/>
  <c r="M56" i="8" s="1"/>
  <c r="K55" i="8"/>
  <c r="J55" i="8"/>
  <c r="I55" i="8"/>
  <c r="H55" i="8"/>
  <c r="G55" i="8"/>
  <c r="K53" i="8"/>
  <c r="J53" i="8"/>
  <c r="I53" i="8"/>
  <c r="H53" i="8"/>
  <c r="G53" i="8"/>
  <c r="G52" i="8"/>
  <c r="H52" i="8" s="1"/>
  <c r="I52" i="8" s="1"/>
  <c r="J52" i="8" s="1"/>
  <c r="K52" i="8" s="1"/>
  <c r="L52" i="8" s="1"/>
  <c r="M52" i="8" s="1"/>
  <c r="X51" i="8"/>
  <c r="W51" i="8"/>
  <c r="S51" i="8"/>
  <c r="H51" i="8"/>
  <c r="I51" i="8" s="1"/>
  <c r="J51" i="8" s="1"/>
  <c r="K51" i="8" s="1"/>
  <c r="L51" i="8" s="1"/>
  <c r="M51" i="8" s="1"/>
  <c r="G51" i="8"/>
  <c r="L48" i="8"/>
  <c r="M48" i="8" s="1"/>
  <c r="L47" i="8"/>
  <c r="M47" i="8" s="1"/>
  <c r="L46" i="8"/>
  <c r="M46" i="8" s="1"/>
  <c r="L45" i="8"/>
  <c r="M45" i="8" s="1"/>
  <c r="L44" i="8"/>
  <c r="L43" i="8"/>
  <c r="M43" i="8" s="1"/>
  <c r="L42" i="8"/>
  <c r="L41" i="8"/>
  <c r="M41" i="8" s="1"/>
  <c r="L40" i="8"/>
  <c r="K39" i="8"/>
  <c r="J39" i="8"/>
  <c r="I39" i="8"/>
  <c r="H39" i="8"/>
  <c r="G39" i="8"/>
  <c r="K37" i="8"/>
  <c r="J37" i="8"/>
  <c r="I37" i="8"/>
  <c r="H37" i="8"/>
  <c r="G37" i="8"/>
  <c r="H36" i="8"/>
  <c r="I36" i="8" s="1"/>
  <c r="J36" i="8" s="1"/>
  <c r="K36" i="8" s="1"/>
  <c r="L36" i="8" s="1"/>
  <c r="M36" i="8" s="1"/>
  <c r="G36" i="8"/>
  <c r="W35" i="8"/>
  <c r="S35" i="8"/>
  <c r="G35" i="8"/>
  <c r="H35" i="8" s="1"/>
  <c r="I35" i="8" s="1"/>
  <c r="J35" i="8" s="1"/>
  <c r="K35" i="8" s="1"/>
  <c r="L35" i="8" s="1"/>
  <c r="M35" i="8" s="1"/>
  <c r="A35" i="8"/>
  <c r="A51" i="8" s="1"/>
  <c r="A67" i="8" s="1"/>
  <c r="A83" i="8" s="1"/>
  <c r="A99" i="8" s="1"/>
  <c r="A115" i="8" s="1"/>
  <c r="A131" i="8" s="1"/>
  <c r="A147" i="8" s="1"/>
  <c r="A163" i="8" s="1"/>
  <c r="A179" i="8" s="1"/>
  <c r="A195" i="8" s="1"/>
  <c r="A211" i="8" s="1"/>
  <c r="A227" i="8" s="1"/>
  <c r="A243" i="8" s="1"/>
  <c r="A259" i="8" s="1"/>
  <c r="A275" i="8" s="1"/>
  <c r="A291" i="8" s="1"/>
  <c r="A307" i="8" s="1"/>
  <c r="A323" i="8" s="1"/>
  <c r="A339" i="8" s="1"/>
  <c r="A355" i="8" s="1"/>
  <c r="A371" i="8" s="1"/>
  <c r="A387" i="8" s="1"/>
  <c r="A403" i="8" s="1"/>
  <c r="A419" i="8" s="1"/>
  <c r="A435" i="8" s="1"/>
  <c r="A451" i="8" s="1"/>
  <c r="A467" i="8" s="1"/>
  <c r="A483" i="8" s="1"/>
  <c r="A499" i="8" s="1"/>
  <c r="A515" i="8" s="1"/>
  <c r="A531" i="8" s="1"/>
  <c r="A547" i="8" s="1"/>
  <c r="A563" i="8" s="1"/>
  <c r="A579" i="8" s="1"/>
  <c r="A595" i="8" s="1"/>
  <c r="A611" i="8" s="1"/>
  <c r="A627" i="8" s="1"/>
  <c r="A643" i="8" s="1"/>
  <c r="A659" i="8" s="1"/>
  <c r="A675" i="8" s="1"/>
  <c r="A691" i="8" s="1"/>
  <c r="A707" i="8" s="1"/>
  <c r="A723" i="8" s="1"/>
  <c r="A739" i="8" s="1"/>
  <c r="A755" i="8" s="1"/>
  <c r="A771" i="8" s="1"/>
  <c r="A787" i="8" s="1"/>
  <c r="A803" i="8" s="1"/>
  <c r="L32" i="8"/>
  <c r="M32" i="8" s="1"/>
  <c r="L31" i="8"/>
  <c r="M31" i="8" s="1"/>
  <c r="L30" i="8"/>
  <c r="L29" i="8"/>
  <c r="M29" i="8" s="1"/>
  <c r="L28" i="8"/>
  <c r="M28" i="8" s="1"/>
  <c r="L27" i="8"/>
  <c r="M27" i="8" s="1"/>
  <c r="L26" i="8"/>
  <c r="L25" i="8"/>
  <c r="M25" i="8" s="1"/>
  <c r="L24" i="8"/>
  <c r="M24" i="8" s="1"/>
  <c r="K23" i="8"/>
  <c r="J23" i="8"/>
  <c r="I23" i="8"/>
  <c r="H23" i="8"/>
  <c r="G23" i="8"/>
  <c r="K21" i="8"/>
  <c r="J21" i="8"/>
  <c r="I21" i="8"/>
  <c r="H21" i="8"/>
  <c r="G21" i="8"/>
  <c r="H20" i="8"/>
  <c r="I20" i="8" s="1"/>
  <c r="J20" i="8" s="1"/>
  <c r="K20" i="8" s="1"/>
  <c r="L20" i="8" s="1"/>
  <c r="M20" i="8" s="1"/>
  <c r="G20" i="8"/>
  <c r="C20" i="8"/>
  <c r="C36" i="8" s="1"/>
  <c r="C52" i="8" s="1"/>
  <c r="C68" i="8" s="1"/>
  <c r="C84" i="8" s="1"/>
  <c r="C100" i="8" s="1"/>
  <c r="C116" i="8" s="1"/>
  <c r="C132" i="8" s="1"/>
  <c r="C148" i="8" s="1"/>
  <c r="C164" i="8" s="1"/>
  <c r="C180" i="8" s="1"/>
  <c r="C196" i="8" s="1"/>
  <c r="C212" i="8" s="1"/>
  <c r="C228" i="8" s="1"/>
  <c r="C244" i="8" s="1"/>
  <c r="C260" i="8" s="1"/>
  <c r="C276" i="8" s="1"/>
  <c r="C292" i="8" s="1"/>
  <c r="C308" i="8" s="1"/>
  <c r="C324" i="8" s="1"/>
  <c r="C340" i="8" s="1"/>
  <c r="C356" i="8" s="1"/>
  <c r="C372" i="8" s="1"/>
  <c r="C388" i="8" s="1"/>
  <c r="C404" i="8" s="1"/>
  <c r="C420" i="8" s="1"/>
  <c r="C436" i="8" s="1"/>
  <c r="C452" i="8" s="1"/>
  <c r="C468" i="8" s="1"/>
  <c r="C484" i="8" s="1"/>
  <c r="C500" i="8" s="1"/>
  <c r="C516" i="8" s="1"/>
  <c r="C532" i="8" s="1"/>
  <c r="C548" i="8" s="1"/>
  <c r="C564" i="8" s="1"/>
  <c r="C580" i="8" s="1"/>
  <c r="C596" i="8" s="1"/>
  <c r="C612" i="8" s="1"/>
  <c r="C628" i="8" s="1"/>
  <c r="C644" i="8" s="1"/>
  <c r="C660" i="8" s="1"/>
  <c r="C676" i="8" s="1"/>
  <c r="C692" i="8" s="1"/>
  <c r="C708" i="8" s="1"/>
  <c r="C724" i="8" s="1"/>
  <c r="C740" i="8" s="1"/>
  <c r="C756" i="8" s="1"/>
  <c r="C772" i="8" s="1"/>
  <c r="C788" i="8" s="1"/>
  <c r="C804" i="8" s="1"/>
  <c r="S19" i="8"/>
  <c r="L19" i="8"/>
  <c r="M19" i="8" s="1"/>
  <c r="G19" i="8"/>
  <c r="H19" i="8" s="1"/>
  <c r="I19" i="8" s="1"/>
  <c r="J19" i="8" s="1"/>
  <c r="K19" i="8" s="1"/>
  <c r="K16" i="8"/>
  <c r="J16" i="8"/>
  <c r="I16" i="8"/>
  <c r="H16" i="8"/>
  <c r="G16" i="8"/>
  <c r="K15" i="8"/>
  <c r="J15" i="8"/>
  <c r="I15" i="8"/>
  <c r="H15" i="8"/>
  <c r="G15" i="8"/>
  <c r="K14" i="8"/>
  <c r="J14" i="8"/>
  <c r="I14" i="8"/>
  <c r="H14" i="8"/>
  <c r="G14" i="8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L11" i="8" s="1"/>
  <c r="M11" i="8" s="1"/>
  <c r="K10" i="8"/>
  <c r="J10" i="8"/>
  <c r="I10" i="8"/>
  <c r="H10" i="8"/>
  <c r="H7" i="8" s="1"/>
  <c r="G10" i="8"/>
  <c r="K9" i="8"/>
  <c r="J9" i="8"/>
  <c r="I9" i="8"/>
  <c r="H9" i="8"/>
  <c r="G9" i="8"/>
  <c r="K8" i="8"/>
  <c r="J8" i="8"/>
  <c r="I8" i="8"/>
  <c r="H8" i="8"/>
  <c r="G8" i="8"/>
  <c r="K7" i="8"/>
  <c r="H4" i="8"/>
  <c r="I4" i="8" s="1"/>
  <c r="J4" i="8" s="1"/>
  <c r="K4" i="8" s="1"/>
  <c r="L4" i="8" s="1"/>
  <c r="M4" i="8" s="1"/>
  <c r="S3" i="8"/>
  <c r="H3" i="8"/>
  <c r="I3" i="8" s="1"/>
  <c r="J3" i="8" s="1"/>
  <c r="K3" i="8" s="1"/>
  <c r="L3" i="8" s="1"/>
  <c r="M3" i="8" s="1"/>
  <c r="X1" i="8"/>
  <c r="T1" i="8"/>
  <c r="L816" i="7"/>
  <c r="M816" i="7" s="1"/>
  <c r="L815" i="7"/>
  <c r="M815" i="7" s="1"/>
  <c r="L814" i="7"/>
  <c r="L813" i="7"/>
  <c r="M813" i="7" s="1"/>
  <c r="L812" i="7"/>
  <c r="M812" i="7" s="1"/>
  <c r="L811" i="7"/>
  <c r="M811" i="7" s="1"/>
  <c r="L810" i="7"/>
  <c r="M810" i="7" s="1"/>
  <c r="L809" i="7"/>
  <c r="L808" i="7"/>
  <c r="K807" i="7"/>
  <c r="J807" i="7"/>
  <c r="I807" i="7"/>
  <c r="H807" i="7"/>
  <c r="G807" i="7"/>
  <c r="K805" i="7"/>
  <c r="J805" i="7"/>
  <c r="I805" i="7"/>
  <c r="H805" i="7"/>
  <c r="G805" i="7"/>
  <c r="H804" i="7"/>
  <c r="I804" i="7" s="1"/>
  <c r="J804" i="7" s="1"/>
  <c r="K804" i="7" s="1"/>
  <c r="L804" i="7" s="1"/>
  <c r="M804" i="7" s="1"/>
  <c r="G804" i="7"/>
  <c r="X803" i="7"/>
  <c r="S803" i="7"/>
  <c r="G803" i="7"/>
  <c r="H803" i="7" s="1"/>
  <c r="I803" i="7" s="1"/>
  <c r="J803" i="7" s="1"/>
  <c r="K803" i="7" s="1"/>
  <c r="L803" i="7" s="1"/>
  <c r="M803" i="7" s="1"/>
  <c r="L800" i="7"/>
  <c r="M800" i="7" s="1"/>
  <c r="M799" i="7"/>
  <c r="L799" i="7"/>
  <c r="L798" i="7"/>
  <c r="M798" i="7" s="1"/>
  <c r="M797" i="7"/>
  <c r="L797" i="7"/>
  <c r="L796" i="7"/>
  <c r="M796" i="7" s="1"/>
  <c r="L795" i="7"/>
  <c r="M795" i="7" s="1"/>
  <c r="L794" i="7"/>
  <c r="M794" i="7" s="1"/>
  <c r="L793" i="7"/>
  <c r="L792" i="7"/>
  <c r="M792" i="7" s="1"/>
  <c r="K791" i="7"/>
  <c r="J791" i="7"/>
  <c r="I791" i="7"/>
  <c r="H791" i="7"/>
  <c r="G791" i="7"/>
  <c r="K789" i="7"/>
  <c r="J789" i="7"/>
  <c r="I789" i="7"/>
  <c r="H789" i="7"/>
  <c r="G789" i="7"/>
  <c r="G788" i="7"/>
  <c r="H788" i="7" s="1"/>
  <c r="I788" i="7" s="1"/>
  <c r="J788" i="7" s="1"/>
  <c r="K788" i="7" s="1"/>
  <c r="L788" i="7" s="1"/>
  <c r="M788" i="7" s="1"/>
  <c r="X787" i="7"/>
  <c r="S787" i="7"/>
  <c r="J787" i="7"/>
  <c r="K787" i="7" s="1"/>
  <c r="L787" i="7" s="1"/>
  <c r="M787" i="7" s="1"/>
  <c r="G787" i="7"/>
  <c r="H787" i="7" s="1"/>
  <c r="I787" i="7" s="1"/>
  <c r="L784" i="7"/>
  <c r="M784" i="7" s="1"/>
  <c r="L783" i="7"/>
  <c r="M783" i="7" s="1"/>
  <c r="L782" i="7"/>
  <c r="M782" i="7" s="1"/>
  <c r="L781" i="7"/>
  <c r="M781" i="7" s="1"/>
  <c r="L780" i="7"/>
  <c r="M780" i="7" s="1"/>
  <c r="M779" i="7"/>
  <c r="L779" i="7"/>
  <c r="L778" i="7"/>
  <c r="M778" i="7" s="1"/>
  <c r="L777" i="7"/>
  <c r="L776" i="7"/>
  <c r="M776" i="7" s="1"/>
  <c r="K775" i="7"/>
  <c r="J775" i="7"/>
  <c r="I775" i="7"/>
  <c r="H775" i="7"/>
  <c r="G775" i="7"/>
  <c r="K773" i="7"/>
  <c r="J773" i="7"/>
  <c r="I773" i="7"/>
  <c r="H773" i="7"/>
  <c r="G773" i="7"/>
  <c r="I772" i="7"/>
  <c r="J772" i="7" s="1"/>
  <c r="K772" i="7" s="1"/>
  <c r="L772" i="7" s="1"/>
  <c r="M772" i="7" s="1"/>
  <c r="H772" i="7"/>
  <c r="G772" i="7"/>
  <c r="X771" i="7"/>
  <c r="W771" i="7"/>
  <c r="S771" i="7"/>
  <c r="G771" i="7"/>
  <c r="H771" i="7" s="1"/>
  <c r="I771" i="7" s="1"/>
  <c r="J771" i="7" s="1"/>
  <c r="K771" i="7" s="1"/>
  <c r="L771" i="7" s="1"/>
  <c r="M771" i="7" s="1"/>
  <c r="L768" i="7"/>
  <c r="M768" i="7" s="1"/>
  <c r="L767" i="7"/>
  <c r="M767" i="7" s="1"/>
  <c r="L766" i="7"/>
  <c r="M765" i="7"/>
  <c r="L765" i="7"/>
  <c r="L764" i="7"/>
  <c r="M764" i="7" s="1"/>
  <c r="M763" i="7"/>
  <c r="L763" i="7"/>
  <c r="L762" i="7"/>
  <c r="M762" i="7" s="1"/>
  <c r="L761" i="7"/>
  <c r="L760" i="7"/>
  <c r="M760" i="7" s="1"/>
  <c r="K759" i="7"/>
  <c r="J759" i="7"/>
  <c r="I759" i="7"/>
  <c r="H759" i="7"/>
  <c r="G759" i="7"/>
  <c r="K757" i="7"/>
  <c r="J757" i="7"/>
  <c r="I757" i="7"/>
  <c r="H757" i="7"/>
  <c r="G757" i="7"/>
  <c r="H756" i="7"/>
  <c r="I756" i="7" s="1"/>
  <c r="J756" i="7" s="1"/>
  <c r="K756" i="7" s="1"/>
  <c r="L756" i="7" s="1"/>
  <c r="M756" i="7" s="1"/>
  <c r="G756" i="7"/>
  <c r="S755" i="7"/>
  <c r="J755" i="7"/>
  <c r="K755" i="7" s="1"/>
  <c r="L755" i="7" s="1"/>
  <c r="M755" i="7" s="1"/>
  <c r="G755" i="7"/>
  <c r="H755" i="7" s="1"/>
  <c r="I755" i="7" s="1"/>
  <c r="L752" i="7"/>
  <c r="M752" i="7" s="1"/>
  <c r="M751" i="7"/>
  <c r="L751" i="7"/>
  <c r="L750" i="7"/>
  <c r="M750" i="7" s="1"/>
  <c r="L749" i="7"/>
  <c r="M749" i="7" s="1"/>
  <c r="L748" i="7"/>
  <c r="M748" i="7" s="1"/>
  <c r="M747" i="7"/>
  <c r="L747" i="7"/>
  <c r="L746" i="7"/>
  <c r="M746" i="7" s="1"/>
  <c r="M745" i="7"/>
  <c r="L745" i="7"/>
  <c r="U739" i="7" s="1"/>
  <c r="L744" i="7"/>
  <c r="M744" i="7" s="1"/>
  <c r="L743" i="7"/>
  <c r="K743" i="7"/>
  <c r="J743" i="7"/>
  <c r="I743" i="7"/>
  <c r="H743" i="7"/>
  <c r="G743" i="7"/>
  <c r="K741" i="7"/>
  <c r="J741" i="7"/>
  <c r="I741" i="7"/>
  <c r="H741" i="7"/>
  <c r="G741" i="7"/>
  <c r="L740" i="7"/>
  <c r="M740" i="7" s="1"/>
  <c r="G740" i="7"/>
  <c r="H740" i="7" s="1"/>
  <c r="I740" i="7" s="1"/>
  <c r="J740" i="7" s="1"/>
  <c r="K740" i="7" s="1"/>
  <c r="X739" i="7"/>
  <c r="W739" i="7"/>
  <c r="S739" i="7"/>
  <c r="J739" i="7"/>
  <c r="K739" i="7" s="1"/>
  <c r="L739" i="7" s="1"/>
  <c r="M739" i="7" s="1"/>
  <c r="G739" i="7"/>
  <c r="H739" i="7" s="1"/>
  <c r="I739" i="7" s="1"/>
  <c r="L736" i="7"/>
  <c r="M736" i="7" s="1"/>
  <c r="L735" i="7"/>
  <c r="M735" i="7" s="1"/>
  <c r="L734" i="7"/>
  <c r="M734" i="7" s="1"/>
  <c r="L733" i="7"/>
  <c r="M733" i="7" s="1"/>
  <c r="L732" i="7"/>
  <c r="M731" i="7"/>
  <c r="L731" i="7"/>
  <c r="L730" i="7"/>
  <c r="M730" i="7" s="1"/>
  <c r="L729" i="7"/>
  <c r="L728" i="7"/>
  <c r="M728" i="7" s="1"/>
  <c r="K727" i="7"/>
  <c r="J727" i="7"/>
  <c r="I727" i="7"/>
  <c r="H727" i="7"/>
  <c r="G727" i="7"/>
  <c r="K725" i="7"/>
  <c r="J725" i="7"/>
  <c r="I725" i="7"/>
  <c r="H725" i="7"/>
  <c r="G725" i="7"/>
  <c r="I724" i="7"/>
  <c r="J724" i="7" s="1"/>
  <c r="K724" i="7" s="1"/>
  <c r="L724" i="7" s="1"/>
  <c r="M724" i="7" s="1"/>
  <c r="H724" i="7"/>
  <c r="G724" i="7"/>
  <c r="W723" i="7"/>
  <c r="S723" i="7"/>
  <c r="G723" i="7"/>
  <c r="H723" i="7" s="1"/>
  <c r="I723" i="7" s="1"/>
  <c r="J723" i="7" s="1"/>
  <c r="K723" i="7" s="1"/>
  <c r="L723" i="7" s="1"/>
  <c r="M723" i="7" s="1"/>
  <c r="L720" i="7"/>
  <c r="M720" i="7" s="1"/>
  <c r="M719" i="7"/>
  <c r="L719" i="7"/>
  <c r="L718" i="7"/>
  <c r="M718" i="7" s="1"/>
  <c r="L717" i="7"/>
  <c r="M717" i="7" s="1"/>
  <c r="L716" i="7"/>
  <c r="M716" i="7" s="1"/>
  <c r="L715" i="7"/>
  <c r="M715" i="7" s="1"/>
  <c r="L714" i="7"/>
  <c r="M714" i="7" s="1"/>
  <c r="M713" i="7"/>
  <c r="L713" i="7"/>
  <c r="L712" i="7"/>
  <c r="M712" i="7" s="1"/>
  <c r="K711" i="7"/>
  <c r="J711" i="7"/>
  <c r="I711" i="7"/>
  <c r="H711" i="7"/>
  <c r="G711" i="7"/>
  <c r="K709" i="7"/>
  <c r="J709" i="7"/>
  <c r="I709" i="7"/>
  <c r="H709" i="7"/>
  <c r="G709" i="7"/>
  <c r="M708" i="7"/>
  <c r="G708" i="7"/>
  <c r="H708" i="7" s="1"/>
  <c r="I708" i="7" s="1"/>
  <c r="J708" i="7" s="1"/>
  <c r="K708" i="7" s="1"/>
  <c r="L708" i="7" s="1"/>
  <c r="X707" i="7"/>
  <c r="S707" i="7"/>
  <c r="K707" i="7"/>
  <c r="L707" i="7" s="1"/>
  <c r="M707" i="7" s="1"/>
  <c r="J707" i="7"/>
  <c r="G707" i="7"/>
  <c r="H707" i="7" s="1"/>
  <c r="I707" i="7" s="1"/>
  <c r="L704" i="7"/>
  <c r="M704" i="7" s="1"/>
  <c r="M703" i="7"/>
  <c r="L703" i="7"/>
  <c r="L702" i="7"/>
  <c r="M702" i="7" s="1"/>
  <c r="L701" i="7"/>
  <c r="M701" i="7" s="1"/>
  <c r="L700" i="7"/>
  <c r="M700" i="7" s="1"/>
  <c r="L699" i="7"/>
  <c r="M699" i="7" s="1"/>
  <c r="L698" i="7"/>
  <c r="M698" i="7" s="1"/>
  <c r="L697" i="7"/>
  <c r="L696" i="7"/>
  <c r="M696" i="7" s="1"/>
  <c r="K695" i="7"/>
  <c r="J695" i="7"/>
  <c r="I695" i="7"/>
  <c r="H695" i="7"/>
  <c r="G695" i="7"/>
  <c r="K693" i="7"/>
  <c r="J693" i="7"/>
  <c r="I693" i="7"/>
  <c r="H693" i="7"/>
  <c r="G693" i="7"/>
  <c r="G692" i="7"/>
  <c r="H692" i="7" s="1"/>
  <c r="I692" i="7" s="1"/>
  <c r="J692" i="7" s="1"/>
  <c r="K692" i="7" s="1"/>
  <c r="L692" i="7" s="1"/>
  <c r="M692" i="7" s="1"/>
  <c r="X691" i="7"/>
  <c r="W691" i="7"/>
  <c r="S691" i="7"/>
  <c r="G691" i="7"/>
  <c r="H691" i="7" s="1"/>
  <c r="I691" i="7" s="1"/>
  <c r="J691" i="7" s="1"/>
  <c r="K691" i="7" s="1"/>
  <c r="L691" i="7" s="1"/>
  <c r="M691" i="7" s="1"/>
  <c r="L688" i="7"/>
  <c r="M688" i="7" s="1"/>
  <c r="L687" i="7"/>
  <c r="M687" i="7" s="1"/>
  <c r="L686" i="7"/>
  <c r="L685" i="7"/>
  <c r="M685" i="7" s="1"/>
  <c r="L684" i="7"/>
  <c r="M684" i="7" s="1"/>
  <c r="L683" i="7"/>
  <c r="M683" i="7" s="1"/>
  <c r="L682" i="7"/>
  <c r="M682" i="7" s="1"/>
  <c r="L681" i="7"/>
  <c r="L680" i="7"/>
  <c r="K679" i="7"/>
  <c r="J679" i="7"/>
  <c r="I679" i="7"/>
  <c r="H679" i="7"/>
  <c r="G679" i="7"/>
  <c r="K677" i="7"/>
  <c r="J677" i="7"/>
  <c r="I677" i="7"/>
  <c r="H677" i="7"/>
  <c r="G677" i="7"/>
  <c r="H676" i="7"/>
  <c r="I676" i="7" s="1"/>
  <c r="J676" i="7" s="1"/>
  <c r="K676" i="7" s="1"/>
  <c r="L676" i="7" s="1"/>
  <c r="M676" i="7" s="1"/>
  <c r="G676" i="7"/>
  <c r="X675" i="7"/>
  <c r="S675" i="7"/>
  <c r="G675" i="7"/>
  <c r="H675" i="7" s="1"/>
  <c r="I675" i="7" s="1"/>
  <c r="J675" i="7" s="1"/>
  <c r="K675" i="7" s="1"/>
  <c r="L675" i="7" s="1"/>
  <c r="M675" i="7" s="1"/>
  <c r="L672" i="7"/>
  <c r="M672" i="7" s="1"/>
  <c r="M671" i="7"/>
  <c r="L671" i="7"/>
  <c r="L670" i="7"/>
  <c r="M670" i="7" s="1"/>
  <c r="M669" i="7"/>
  <c r="L669" i="7"/>
  <c r="L668" i="7"/>
  <c r="M668" i="7" s="1"/>
  <c r="L667" i="7"/>
  <c r="M667" i="7" s="1"/>
  <c r="L666" i="7"/>
  <c r="M666" i="7" s="1"/>
  <c r="L665" i="7"/>
  <c r="L664" i="7"/>
  <c r="M664" i="7" s="1"/>
  <c r="K663" i="7"/>
  <c r="J663" i="7"/>
  <c r="I663" i="7"/>
  <c r="H663" i="7"/>
  <c r="G663" i="7"/>
  <c r="K661" i="7"/>
  <c r="J661" i="7"/>
  <c r="I661" i="7"/>
  <c r="H661" i="7"/>
  <c r="G661" i="7"/>
  <c r="G660" i="7"/>
  <c r="H660" i="7" s="1"/>
  <c r="I660" i="7" s="1"/>
  <c r="J660" i="7" s="1"/>
  <c r="K660" i="7" s="1"/>
  <c r="L660" i="7" s="1"/>
  <c r="M660" i="7" s="1"/>
  <c r="X659" i="7"/>
  <c r="S659" i="7"/>
  <c r="G659" i="7"/>
  <c r="H659" i="7" s="1"/>
  <c r="I659" i="7" s="1"/>
  <c r="J659" i="7" s="1"/>
  <c r="K659" i="7" s="1"/>
  <c r="L659" i="7" s="1"/>
  <c r="M659" i="7" s="1"/>
  <c r="L656" i="7"/>
  <c r="M656" i="7" s="1"/>
  <c r="L655" i="7"/>
  <c r="M655" i="7" s="1"/>
  <c r="L654" i="7"/>
  <c r="M654" i="7" s="1"/>
  <c r="L653" i="7"/>
  <c r="M653" i="7" s="1"/>
  <c r="L652" i="7"/>
  <c r="M651" i="7"/>
  <c r="L651" i="7"/>
  <c r="L650" i="7"/>
  <c r="M650" i="7" s="1"/>
  <c r="M649" i="7"/>
  <c r="L649" i="7"/>
  <c r="U643" i="7" s="1"/>
  <c r="L648" i="7"/>
  <c r="M648" i="7" s="1"/>
  <c r="L647" i="7"/>
  <c r="T643" i="7" s="1"/>
  <c r="K647" i="7"/>
  <c r="J647" i="7"/>
  <c r="I647" i="7"/>
  <c r="H647" i="7"/>
  <c r="G647" i="7"/>
  <c r="K645" i="7"/>
  <c r="J645" i="7"/>
  <c r="I645" i="7"/>
  <c r="H645" i="7"/>
  <c r="G645" i="7"/>
  <c r="H644" i="7"/>
  <c r="I644" i="7" s="1"/>
  <c r="J644" i="7" s="1"/>
  <c r="K644" i="7" s="1"/>
  <c r="L644" i="7" s="1"/>
  <c r="M644" i="7" s="1"/>
  <c r="G644" i="7"/>
  <c r="W643" i="7"/>
  <c r="S643" i="7"/>
  <c r="G643" i="7"/>
  <c r="H643" i="7" s="1"/>
  <c r="I643" i="7" s="1"/>
  <c r="J643" i="7" s="1"/>
  <c r="K643" i="7" s="1"/>
  <c r="L643" i="7" s="1"/>
  <c r="M643" i="7" s="1"/>
  <c r="L640" i="7"/>
  <c r="M640" i="7" s="1"/>
  <c r="M639" i="7"/>
  <c r="L639" i="7"/>
  <c r="L638" i="7"/>
  <c r="M638" i="7" s="1"/>
  <c r="L637" i="7"/>
  <c r="M637" i="7" s="1"/>
  <c r="L636" i="7"/>
  <c r="M636" i="7" s="1"/>
  <c r="L635" i="7"/>
  <c r="M635" i="7" s="1"/>
  <c r="L634" i="7"/>
  <c r="M634" i="7" s="1"/>
  <c r="L633" i="7"/>
  <c r="L632" i="7"/>
  <c r="M632" i="7" s="1"/>
  <c r="K631" i="7"/>
  <c r="J631" i="7"/>
  <c r="I631" i="7"/>
  <c r="H631" i="7"/>
  <c r="G631" i="7"/>
  <c r="K629" i="7"/>
  <c r="J629" i="7"/>
  <c r="I629" i="7"/>
  <c r="H629" i="7"/>
  <c r="G629" i="7"/>
  <c r="G628" i="7"/>
  <c r="H628" i="7" s="1"/>
  <c r="I628" i="7" s="1"/>
  <c r="J628" i="7" s="1"/>
  <c r="K628" i="7" s="1"/>
  <c r="L628" i="7" s="1"/>
  <c r="M628" i="7" s="1"/>
  <c r="X627" i="7"/>
  <c r="S627" i="7"/>
  <c r="G627" i="7"/>
  <c r="H627" i="7" s="1"/>
  <c r="I627" i="7" s="1"/>
  <c r="J627" i="7" s="1"/>
  <c r="K627" i="7" s="1"/>
  <c r="L627" i="7" s="1"/>
  <c r="M627" i="7" s="1"/>
  <c r="L624" i="7"/>
  <c r="M624" i="7" s="1"/>
  <c r="L623" i="7"/>
  <c r="M623" i="7" s="1"/>
  <c r="L622" i="7"/>
  <c r="M622" i="7" s="1"/>
  <c r="L621" i="7"/>
  <c r="M621" i="7" s="1"/>
  <c r="L620" i="7"/>
  <c r="M620" i="7" s="1"/>
  <c r="L619" i="7"/>
  <c r="M619" i="7" s="1"/>
  <c r="L618" i="7"/>
  <c r="M618" i="7" s="1"/>
  <c r="M617" i="7"/>
  <c r="L617" i="7"/>
  <c r="U611" i="7" s="1"/>
  <c r="L616" i="7"/>
  <c r="M616" i="7" s="1"/>
  <c r="L615" i="7"/>
  <c r="K615" i="7"/>
  <c r="J615" i="7"/>
  <c r="I615" i="7"/>
  <c r="H615" i="7"/>
  <c r="G615" i="7"/>
  <c r="K613" i="7"/>
  <c r="J613" i="7"/>
  <c r="I613" i="7"/>
  <c r="H613" i="7"/>
  <c r="G613" i="7"/>
  <c r="G612" i="7"/>
  <c r="H612" i="7" s="1"/>
  <c r="I612" i="7" s="1"/>
  <c r="J612" i="7" s="1"/>
  <c r="K612" i="7" s="1"/>
  <c r="L612" i="7" s="1"/>
  <c r="M612" i="7" s="1"/>
  <c r="W611" i="7"/>
  <c r="S611" i="7"/>
  <c r="J611" i="7"/>
  <c r="K611" i="7" s="1"/>
  <c r="L611" i="7" s="1"/>
  <c r="M611" i="7" s="1"/>
  <c r="G611" i="7"/>
  <c r="H611" i="7" s="1"/>
  <c r="I611" i="7" s="1"/>
  <c r="L608" i="7"/>
  <c r="M608" i="7" s="1"/>
  <c r="L607" i="7"/>
  <c r="M607" i="7" s="1"/>
  <c r="L606" i="7"/>
  <c r="M606" i="7" s="1"/>
  <c r="L605" i="7"/>
  <c r="M605" i="7" s="1"/>
  <c r="L604" i="7"/>
  <c r="L603" i="7"/>
  <c r="M603" i="7" s="1"/>
  <c r="L602" i="7"/>
  <c r="M602" i="7" s="1"/>
  <c r="L601" i="7"/>
  <c r="L600" i="7"/>
  <c r="M600" i="7" s="1"/>
  <c r="K599" i="7"/>
  <c r="J599" i="7"/>
  <c r="I599" i="7"/>
  <c r="H599" i="7"/>
  <c r="G599" i="7"/>
  <c r="K597" i="7"/>
  <c r="J597" i="7"/>
  <c r="I597" i="7"/>
  <c r="H597" i="7"/>
  <c r="G597" i="7"/>
  <c r="G596" i="7"/>
  <c r="H596" i="7" s="1"/>
  <c r="I596" i="7" s="1"/>
  <c r="J596" i="7" s="1"/>
  <c r="K596" i="7" s="1"/>
  <c r="L596" i="7" s="1"/>
  <c r="M596" i="7" s="1"/>
  <c r="S595" i="7"/>
  <c r="G595" i="7"/>
  <c r="H595" i="7" s="1"/>
  <c r="I595" i="7" s="1"/>
  <c r="J595" i="7" s="1"/>
  <c r="K595" i="7" s="1"/>
  <c r="L595" i="7" s="1"/>
  <c r="M595" i="7" s="1"/>
  <c r="L592" i="7"/>
  <c r="M592" i="7" s="1"/>
  <c r="L591" i="7"/>
  <c r="M591" i="7" s="1"/>
  <c r="L590" i="7"/>
  <c r="L589" i="7"/>
  <c r="M589" i="7" s="1"/>
  <c r="L588" i="7"/>
  <c r="M588" i="7" s="1"/>
  <c r="L587" i="7"/>
  <c r="L586" i="7"/>
  <c r="M586" i="7" s="1"/>
  <c r="L585" i="7"/>
  <c r="L584" i="7"/>
  <c r="K583" i="7"/>
  <c r="J583" i="7"/>
  <c r="I583" i="7"/>
  <c r="H583" i="7"/>
  <c r="G583" i="7"/>
  <c r="K581" i="7"/>
  <c r="J581" i="7"/>
  <c r="I581" i="7"/>
  <c r="H581" i="7"/>
  <c r="G581" i="7"/>
  <c r="G580" i="7"/>
  <c r="H580" i="7" s="1"/>
  <c r="I580" i="7" s="1"/>
  <c r="J580" i="7" s="1"/>
  <c r="K580" i="7" s="1"/>
  <c r="L580" i="7" s="1"/>
  <c r="M580" i="7" s="1"/>
  <c r="X579" i="7"/>
  <c r="S579" i="7"/>
  <c r="J579" i="7"/>
  <c r="K579" i="7" s="1"/>
  <c r="L579" i="7" s="1"/>
  <c r="M579" i="7" s="1"/>
  <c r="G579" i="7"/>
  <c r="H579" i="7" s="1"/>
  <c r="I579" i="7" s="1"/>
  <c r="L576" i="7"/>
  <c r="M576" i="7" s="1"/>
  <c r="L575" i="7"/>
  <c r="M575" i="7" s="1"/>
  <c r="L574" i="7"/>
  <c r="M574" i="7" s="1"/>
  <c r="L573" i="7"/>
  <c r="M573" i="7" s="1"/>
  <c r="L572" i="7"/>
  <c r="L571" i="7"/>
  <c r="V563" i="7" s="1"/>
  <c r="L570" i="7"/>
  <c r="M570" i="7" s="1"/>
  <c r="L569" i="7"/>
  <c r="L568" i="7"/>
  <c r="M568" i="7" s="1"/>
  <c r="K567" i="7"/>
  <c r="J567" i="7"/>
  <c r="I567" i="7"/>
  <c r="H567" i="7"/>
  <c r="G567" i="7"/>
  <c r="K565" i="7"/>
  <c r="J565" i="7"/>
  <c r="I565" i="7"/>
  <c r="H565" i="7"/>
  <c r="G565" i="7"/>
  <c r="G564" i="7"/>
  <c r="H564" i="7" s="1"/>
  <c r="I564" i="7" s="1"/>
  <c r="J564" i="7" s="1"/>
  <c r="K564" i="7" s="1"/>
  <c r="L564" i="7" s="1"/>
  <c r="M564" i="7" s="1"/>
  <c r="S563" i="7"/>
  <c r="J563" i="7"/>
  <c r="K563" i="7" s="1"/>
  <c r="L563" i="7" s="1"/>
  <c r="M563" i="7" s="1"/>
  <c r="G563" i="7"/>
  <c r="H563" i="7" s="1"/>
  <c r="I563" i="7" s="1"/>
  <c r="L560" i="7"/>
  <c r="M560" i="7" s="1"/>
  <c r="L559" i="7"/>
  <c r="M559" i="7" s="1"/>
  <c r="L558" i="7"/>
  <c r="L557" i="7"/>
  <c r="M557" i="7" s="1"/>
  <c r="L556" i="7"/>
  <c r="M555" i="7"/>
  <c r="L555" i="7"/>
  <c r="L554" i="7"/>
  <c r="L553" i="7"/>
  <c r="M553" i="7" s="1"/>
  <c r="L552" i="7"/>
  <c r="K551" i="7"/>
  <c r="J551" i="7"/>
  <c r="I551" i="7"/>
  <c r="H551" i="7"/>
  <c r="G551" i="7"/>
  <c r="K549" i="7"/>
  <c r="J549" i="7"/>
  <c r="I549" i="7"/>
  <c r="H549" i="7"/>
  <c r="G549" i="7"/>
  <c r="G548" i="7"/>
  <c r="H548" i="7" s="1"/>
  <c r="I548" i="7" s="1"/>
  <c r="J548" i="7" s="1"/>
  <c r="K548" i="7" s="1"/>
  <c r="L548" i="7" s="1"/>
  <c r="M548" i="7" s="1"/>
  <c r="S547" i="7"/>
  <c r="G547" i="7"/>
  <c r="H547" i="7" s="1"/>
  <c r="I547" i="7" s="1"/>
  <c r="J547" i="7" s="1"/>
  <c r="K547" i="7" s="1"/>
  <c r="L547" i="7" s="1"/>
  <c r="M547" i="7" s="1"/>
  <c r="L544" i="7"/>
  <c r="M544" i="7" s="1"/>
  <c r="L543" i="7"/>
  <c r="M543" i="7" s="1"/>
  <c r="L542" i="7"/>
  <c r="L541" i="7"/>
  <c r="M541" i="7" s="1"/>
  <c r="L540" i="7"/>
  <c r="M540" i="7" s="1"/>
  <c r="L539" i="7"/>
  <c r="M539" i="7" s="1"/>
  <c r="L538" i="7"/>
  <c r="L537" i="7"/>
  <c r="M537" i="7" s="1"/>
  <c r="L536" i="7"/>
  <c r="K535" i="7"/>
  <c r="J535" i="7"/>
  <c r="I535" i="7"/>
  <c r="H535" i="7"/>
  <c r="G535" i="7"/>
  <c r="K533" i="7"/>
  <c r="J533" i="7"/>
  <c r="I533" i="7"/>
  <c r="H533" i="7"/>
  <c r="G533" i="7"/>
  <c r="H532" i="7"/>
  <c r="I532" i="7" s="1"/>
  <c r="J532" i="7" s="1"/>
  <c r="K532" i="7" s="1"/>
  <c r="L532" i="7" s="1"/>
  <c r="M532" i="7" s="1"/>
  <c r="G532" i="7"/>
  <c r="S531" i="7"/>
  <c r="H531" i="7"/>
  <c r="I531" i="7" s="1"/>
  <c r="J531" i="7" s="1"/>
  <c r="K531" i="7" s="1"/>
  <c r="L531" i="7" s="1"/>
  <c r="M531" i="7" s="1"/>
  <c r="G531" i="7"/>
  <c r="L528" i="7"/>
  <c r="M528" i="7" s="1"/>
  <c r="L527" i="7"/>
  <c r="M527" i="7" s="1"/>
  <c r="L526" i="7"/>
  <c r="L525" i="7"/>
  <c r="M525" i="7" s="1"/>
  <c r="L524" i="7"/>
  <c r="M524" i="7" s="1"/>
  <c r="M523" i="7"/>
  <c r="L523" i="7"/>
  <c r="L522" i="7"/>
  <c r="M521" i="7"/>
  <c r="L521" i="7"/>
  <c r="L520" i="7"/>
  <c r="K519" i="7"/>
  <c r="J519" i="7"/>
  <c r="I519" i="7"/>
  <c r="H519" i="7"/>
  <c r="G519" i="7"/>
  <c r="K517" i="7"/>
  <c r="J517" i="7"/>
  <c r="I517" i="7"/>
  <c r="H517" i="7"/>
  <c r="G517" i="7"/>
  <c r="G516" i="7"/>
  <c r="H516" i="7" s="1"/>
  <c r="I516" i="7" s="1"/>
  <c r="J516" i="7" s="1"/>
  <c r="K516" i="7" s="1"/>
  <c r="L516" i="7" s="1"/>
  <c r="M516" i="7" s="1"/>
  <c r="S515" i="7"/>
  <c r="G515" i="7"/>
  <c r="H515" i="7" s="1"/>
  <c r="I515" i="7" s="1"/>
  <c r="J515" i="7" s="1"/>
  <c r="K515" i="7" s="1"/>
  <c r="L515" i="7" s="1"/>
  <c r="M515" i="7" s="1"/>
  <c r="L512" i="7"/>
  <c r="M512" i="7" s="1"/>
  <c r="L511" i="7"/>
  <c r="M511" i="7" s="1"/>
  <c r="L510" i="7"/>
  <c r="M509" i="7"/>
  <c r="L509" i="7"/>
  <c r="L508" i="7"/>
  <c r="M508" i="7" s="1"/>
  <c r="L507" i="7"/>
  <c r="M507" i="7" s="1"/>
  <c r="L506" i="7"/>
  <c r="L505" i="7"/>
  <c r="M505" i="7" s="1"/>
  <c r="L504" i="7"/>
  <c r="K503" i="7"/>
  <c r="J503" i="7"/>
  <c r="I503" i="7"/>
  <c r="H503" i="7"/>
  <c r="G503" i="7"/>
  <c r="K501" i="7"/>
  <c r="J501" i="7"/>
  <c r="I501" i="7"/>
  <c r="H501" i="7"/>
  <c r="G501" i="7"/>
  <c r="I500" i="7"/>
  <c r="J500" i="7" s="1"/>
  <c r="K500" i="7" s="1"/>
  <c r="L500" i="7" s="1"/>
  <c r="M500" i="7" s="1"/>
  <c r="H500" i="7"/>
  <c r="G500" i="7"/>
  <c r="X499" i="7"/>
  <c r="S499" i="7"/>
  <c r="H499" i="7"/>
  <c r="I499" i="7" s="1"/>
  <c r="J499" i="7" s="1"/>
  <c r="K499" i="7" s="1"/>
  <c r="L499" i="7" s="1"/>
  <c r="M499" i="7" s="1"/>
  <c r="G499" i="7"/>
  <c r="L496" i="7"/>
  <c r="M496" i="7" s="1"/>
  <c r="L495" i="7"/>
  <c r="M495" i="7" s="1"/>
  <c r="L494" i="7"/>
  <c r="L493" i="7"/>
  <c r="M493" i="7" s="1"/>
  <c r="L492" i="7"/>
  <c r="M492" i="7" s="1"/>
  <c r="L491" i="7"/>
  <c r="M491" i="7" s="1"/>
  <c r="L490" i="7"/>
  <c r="M489" i="7"/>
  <c r="L489" i="7"/>
  <c r="L488" i="7"/>
  <c r="K487" i="7"/>
  <c r="J487" i="7"/>
  <c r="I487" i="7"/>
  <c r="H487" i="7"/>
  <c r="G487" i="7"/>
  <c r="K485" i="7"/>
  <c r="J485" i="7"/>
  <c r="I485" i="7"/>
  <c r="H485" i="7"/>
  <c r="G485" i="7"/>
  <c r="G484" i="7"/>
  <c r="H484" i="7" s="1"/>
  <c r="I484" i="7" s="1"/>
  <c r="J484" i="7" s="1"/>
  <c r="K484" i="7" s="1"/>
  <c r="L484" i="7" s="1"/>
  <c r="M484" i="7" s="1"/>
  <c r="X483" i="7"/>
  <c r="S483" i="7"/>
  <c r="G483" i="7"/>
  <c r="H483" i="7" s="1"/>
  <c r="I483" i="7" s="1"/>
  <c r="J483" i="7" s="1"/>
  <c r="K483" i="7" s="1"/>
  <c r="L483" i="7" s="1"/>
  <c r="M483" i="7" s="1"/>
  <c r="L480" i="7"/>
  <c r="M480" i="7" s="1"/>
  <c r="L479" i="7"/>
  <c r="M479" i="7" s="1"/>
  <c r="L478" i="7"/>
  <c r="M477" i="7"/>
  <c r="L477" i="7"/>
  <c r="L476" i="7"/>
  <c r="M476" i="7" s="1"/>
  <c r="L475" i="7"/>
  <c r="M475" i="7" s="1"/>
  <c r="L474" i="7"/>
  <c r="L473" i="7"/>
  <c r="M473" i="7" s="1"/>
  <c r="L472" i="7"/>
  <c r="K471" i="7"/>
  <c r="J471" i="7"/>
  <c r="I471" i="7"/>
  <c r="H471" i="7"/>
  <c r="G471" i="7"/>
  <c r="K469" i="7"/>
  <c r="J469" i="7"/>
  <c r="I469" i="7"/>
  <c r="H469" i="7"/>
  <c r="G469" i="7"/>
  <c r="M468" i="7"/>
  <c r="I468" i="7"/>
  <c r="J468" i="7" s="1"/>
  <c r="K468" i="7" s="1"/>
  <c r="L468" i="7" s="1"/>
  <c r="H468" i="7"/>
  <c r="G468" i="7"/>
  <c r="X467" i="7"/>
  <c r="S467" i="7"/>
  <c r="H467" i="7"/>
  <c r="I467" i="7" s="1"/>
  <c r="J467" i="7" s="1"/>
  <c r="K467" i="7" s="1"/>
  <c r="L467" i="7" s="1"/>
  <c r="M467" i="7" s="1"/>
  <c r="G467" i="7"/>
  <c r="L464" i="7"/>
  <c r="M464" i="7" s="1"/>
  <c r="M463" i="7"/>
  <c r="L463" i="7"/>
  <c r="L462" i="7"/>
  <c r="M461" i="7"/>
  <c r="L461" i="7"/>
  <c r="L460" i="7"/>
  <c r="L459" i="7"/>
  <c r="M459" i="7" s="1"/>
  <c r="L458" i="7"/>
  <c r="M457" i="7"/>
  <c r="L457" i="7"/>
  <c r="U451" i="7" s="1"/>
  <c r="L456" i="7"/>
  <c r="K455" i="7"/>
  <c r="J455" i="7"/>
  <c r="I455" i="7"/>
  <c r="H455" i="7"/>
  <c r="G455" i="7"/>
  <c r="K453" i="7"/>
  <c r="J453" i="7"/>
  <c r="I453" i="7"/>
  <c r="H453" i="7"/>
  <c r="G453" i="7"/>
  <c r="G452" i="7"/>
  <c r="H452" i="7" s="1"/>
  <c r="I452" i="7" s="1"/>
  <c r="J452" i="7" s="1"/>
  <c r="K452" i="7" s="1"/>
  <c r="L452" i="7" s="1"/>
  <c r="M452" i="7" s="1"/>
  <c r="S451" i="7"/>
  <c r="G451" i="7"/>
  <c r="H451" i="7" s="1"/>
  <c r="I451" i="7" s="1"/>
  <c r="J451" i="7" s="1"/>
  <c r="K451" i="7" s="1"/>
  <c r="L451" i="7" s="1"/>
  <c r="M451" i="7" s="1"/>
  <c r="L448" i="7"/>
  <c r="M448" i="7" s="1"/>
  <c r="L447" i="7"/>
  <c r="M447" i="7" s="1"/>
  <c r="L446" i="7"/>
  <c r="L445" i="7"/>
  <c r="M445" i="7" s="1"/>
  <c r="L444" i="7"/>
  <c r="M444" i="7" s="1"/>
  <c r="M443" i="7"/>
  <c r="L443" i="7"/>
  <c r="L442" i="7"/>
  <c r="L441" i="7"/>
  <c r="M441" i="7" s="1"/>
  <c r="L440" i="7"/>
  <c r="K439" i="7"/>
  <c r="J439" i="7"/>
  <c r="I439" i="7"/>
  <c r="H439" i="7"/>
  <c r="G439" i="7"/>
  <c r="K437" i="7"/>
  <c r="J437" i="7"/>
  <c r="I437" i="7"/>
  <c r="H437" i="7"/>
  <c r="G437" i="7"/>
  <c r="J436" i="7"/>
  <c r="K436" i="7" s="1"/>
  <c r="L436" i="7" s="1"/>
  <c r="M436" i="7" s="1"/>
  <c r="I436" i="7"/>
  <c r="H436" i="7"/>
  <c r="G436" i="7"/>
  <c r="X435" i="7"/>
  <c r="S435" i="7"/>
  <c r="G435" i="7"/>
  <c r="H435" i="7" s="1"/>
  <c r="I435" i="7" s="1"/>
  <c r="J435" i="7" s="1"/>
  <c r="K435" i="7" s="1"/>
  <c r="L435" i="7" s="1"/>
  <c r="M435" i="7" s="1"/>
  <c r="L432" i="7"/>
  <c r="M432" i="7" s="1"/>
  <c r="L431" i="7"/>
  <c r="M431" i="7" s="1"/>
  <c r="L430" i="7"/>
  <c r="L429" i="7"/>
  <c r="M429" i="7" s="1"/>
  <c r="L428" i="7"/>
  <c r="M428" i="7" s="1"/>
  <c r="L427" i="7"/>
  <c r="M427" i="7" s="1"/>
  <c r="L426" i="7"/>
  <c r="M425" i="7"/>
  <c r="L425" i="7"/>
  <c r="U419" i="7" s="1"/>
  <c r="L424" i="7"/>
  <c r="K423" i="7"/>
  <c r="J423" i="7"/>
  <c r="I423" i="7"/>
  <c r="H423" i="7"/>
  <c r="G423" i="7"/>
  <c r="K421" i="7"/>
  <c r="J421" i="7"/>
  <c r="I421" i="7"/>
  <c r="H421" i="7"/>
  <c r="G421" i="7"/>
  <c r="G420" i="7"/>
  <c r="H420" i="7" s="1"/>
  <c r="I420" i="7" s="1"/>
  <c r="J420" i="7" s="1"/>
  <c r="K420" i="7" s="1"/>
  <c r="L420" i="7" s="1"/>
  <c r="M420" i="7" s="1"/>
  <c r="S419" i="7"/>
  <c r="H419" i="7"/>
  <c r="I419" i="7" s="1"/>
  <c r="J419" i="7" s="1"/>
  <c r="K419" i="7" s="1"/>
  <c r="L419" i="7" s="1"/>
  <c r="M419" i="7" s="1"/>
  <c r="G419" i="7"/>
  <c r="L416" i="7"/>
  <c r="M416" i="7" s="1"/>
  <c r="L415" i="7"/>
  <c r="M415" i="7" s="1"/>
  <c r="L414" i="7"/>
  <c r="L413" i="7"/>
  <c r="M413" i="7" s="1"/>
  <c r="L412" i="7"/>
  <c r="L411" i="7"/>
  <c r="M411" i="7" s="1"/>
  <c r="L410" i="7"/>
  <c r="L409" i="7"/>
  <c r="M409" i="7" s="1"/>
  <c r="L408" i="7"/>
  <c r="U403" i="7" s="1"/>
  <c r="K407" i="7"/>
  <c r="J407" i="7"/>
  <c r="I407" i="7"/>
  <c r="H407" i="7"/>
  <c r="G407" i="7"/>
  <c r="K405" i="7"/>
  <c r="J405" i="7"/>
  <c r="I405" i="7"/>
  <c r="H405" i="7"/>
  <c r="G405" i="7"/>
  <c r="I404" i="7"/>
  <c r="J404" i="7" s="1"/>
  <c r="K404" i="7" s="1"/>
  <c r="L404" i="7" s="1"/>
  <c r="M404" i="7" s="1"/>
  <c r="G404" i="7"/>
  <c r="H404" i="7" s="1"/>
  <c r="S403" i="7"/>
  <c r="G403" i="7"/>
  <c r="H403" i="7" s="1"/>
  <c r="I403" i="7" s="1"/>
  <c r="J403" i="7" s="1"/>
  <c r="K403" i="7" s="1"/>
  <c r="L403" i="7" s="1"/>
  <c r="M403" i="7" s="1"/>
  <c r="L400" i="7"/>
  <c r="M400" i="7" s="1"/>
  <c r="M399" i="7"/>
  <c r="L399" i="7"/>
  <c r="L398" i="7"/>
  <c r="L397" i="7"/>
  <c r="M397" i="7" s="1"/>
  <c r="L396" i="7"/>
  <c r="M396" i="7" s="1"/>
  <c r="M395" i="7"/>
  <c r="L395" i="7"/>
  <c r="L394" i="7"/>
  <c r="M393" i="7"/>
  <c r="L393" i="7"/>
  <c r="L392" i="7"/>
  <c r="K391" i="7"/>
  <c r="J391" i="7"/>
  <c r="I391" i="7"/>
  <c r="H391" i="7"/>
  <c r="G391" i="7"/>
  <c r="K389" i="7"/>
  <c r="J389" i="7"/>
  <c r="I389" i="7"/>
  <c r="H389" i="7"/>
  <c r="G389" i="7"/>
  <c r="J388" i="7"/>
  <c r="K388" i="7" s="1"/>
  <c r="L388" i="7" s="1"/>
  <c r="M388" i="7" s="1"/>
  <c r="G388" i="7"/>
  <c r="H388" i="7" s="1"/>
  <c r="I388" i="7" s="1"/>
  <c r="S387" i="7"/>
  <c r="L387" i="7"/>
  <c r="M387" i="7" s="1"/>
  <c r="G387" i="7"/>
  <c r="H387" i="7" s="1"/>
  <c r="I387" i="7" s="1"/>
  <c r="J387" i="7" s="1"/>
  <c r="K387" i="7" s="1"/>
  <c r="L384" i="7"/>
  <c r="M384" i="7" s="1"/>
  <c r="L383" i="7"/>
  <c r="M383" i="7" s="1"/>
  <c r="L382" i="7"/>
  <c r="M381" i="7"/>
  <c r="L381" i="7"/>
  <c r="L380" i="7"/>
  <c r="M380" i="7" s="1"/>
  <c r="L379" i="7"/>
  <c r="M379" i="7" s="1"/>
  <c r="L378" i="7"/>
  <c r="L377" i="7"/>
  <c r="M377" i="7" s="1"/>
  <c r="L376" i="7"/>
  <c r="K375" i="7"/>
  <c r="J375" i="7"/>
  <c r="I375" i="7"/>
  <c r="H375" i="7"/>
  <c r="G375" i="7"/>
  <c r="K373" i="7"/>
  <c r="J373" i="7"/>
  <c r="I373" i="7"/>
  <c r="H373" i="7"/>
  <c r="G373" i="7"/>
  <c r="G372" i="7"/>
  <c r="H372" i="7" s="1"/>
  <c r="I372" i="7" s="1"/>
  <c r="J372" i="7" s="1"/>
  <c r="K372" i="7" s="1"/>
  <c r="L372" i="7" s="1"/>
  <c r="M372" i="7" s="1"/>
  <c r="S371" i="7"/>
  <c r="G371" i="7"/>
  <c r="H371" i="7" s="1"/>
  <c r="I371" i="7" s="1"/>
  <c r="J371" i="7" s="1"/>
  <c r="K371" i="7" s="1"/>
  <c r="L371" i="7" s="1"/>
  <c r="M371" i="7" s="1"/>
  <c r="L368" i="7"/>
  <c r="M368" i="7" s="1"/>
  <c r="L367" i="7"/>
  <c r="M367" i="7" s="1"/>
  <c r="L366" i="7"/>
  <c r="L365" i="7"/>
  <c r="M365" i="7" s="1"/>
  <c r="L364" i="7"/>
  <c r="M364" i="7" s="1"/>
  <c r="M363" i="7"/>
  <c r="L363" i="7"/>
  <c r="L362" i="7"/>
  <c r="L361" i="7"/>
  <c r="L360" i="7"/>
  <c r="K359" i="7"/>
  <c r="J359" i="7"/>
  <c r="I359" i="7"/>
  <c r="H359" i="7"/>
  <c r="G359" i="7"/>
  <c r="K357" i="7"/>
  <c r="J357" i="7"/>
  <c r="I357" i="7"/>
  <c r="H357" i="7"/>
  <c r="G357" i="7"/>
  <c r="G356" i="7"/>
  <c r="H356" i="7" s="1"/>
  <c r="I356" i="7" s="1"/>
  <c r="J356" i="7" s="1"/>
  <c r="K356" i="7" s="1"/>
  <c r="L356" i="7" s="1"/>
  <c r="M356" i="7" s="1"/>
  <c r="S355" i="7"/>
  <c r="K355" i="7"/>
  <c r="L355" i="7" s="1"/>
  <c r="M355" i="7" s="1"/>
  <c r="G355" i="7"/>
  <c r="H355" i="7" s="1"/>
  <c r="I355" i="7" s="1"/>
  <c r="J355" i="7" s="1"/>
  <c r="L352" i="7"/>
  <c r="M352" i="7" s="1"/>
  <c r="L351" i="7"/>
  <c r="M351" i="7" s="1"/>
  <c r="L350" i="7"/>
  <c r="W339" i="7" s="1"/>
  <c r="L349" i="7"/>
  <c r="M349" i="7" s="1"/>
  <c r="L348" i="7"/>
  <c r="M348" i="7" s="1"/>
  <c r="L347" i="7"/>
  <c r="M347" i="7" s="1"/>
  <c r="L346" i="7"/>
  <c r="M346" i="7" s="1"/>
  <c r="M345" i="7"/>
  <c r="L345" i="7"/>
  <c r="L344" i="7"/>
  <c r="K343" i="7"/>
  <c r="J343" i="7"/>
  <c r="I343" i="7"/>
  <c r="H343" i="7"/>
  <c r="G343" i="7"/>
  <c r="K341" i="7"/>
  <c r="J341" i="7"/>
  <c r="I341" i="7"/>
  <c r="H341" i="7"/>
  <c r="G341" i="7"/>
  <c r="M340" i="7"/>
  <c r="G340" i="7"/>
  <c r="H340" i="7" s="1"/>
  <c r="I340" i="7" s="1"/>
  <c r="J340" i="7" s="1"/>
  <c r="K340" i="7" s="1"/>
  <c r="L340" i="7" s="1"/>
  <c r="X339" i="7"/>
  <c r="U339" i="7"/>
  <c r="S339" i="7"/>
  <c r="H339" i="7"/>
  <c r="I339" i="7" s="1"/>
  <c r="J339" i="7" s="1"/>
  <c r="K339" i="7" s="1"/>
  <c r="L339" i="7" s="1"/>
  <c r="M339" i="7" s="1"/>
  <c r="G339" i="7"/>
  <c r="L336" i="7"/>
  <c r="M336" i="7" s="1"/>
  <c r="L335" i="7"/>
  <c r="M335" i="7" s="1"/>
  <c r="L334" i="7"/>
  <c r="L333" i="7"/>
  <c r="M333" i="7" s="1"/>
  <c r="L332" i="7"/>
  <c r="M332" i="7" s="1"/>
  <c r="L331" i="7"/>
  <c r="M331" i="7" s="1"/>
  <c r="L330" i="7"/>
  <c r="L329" i="7"/>
  <c r="L328" i="7"/>
  <c r="K327" i="7"/>
  <c r="J327" i="7"/>
  <c r="I327" i="7"/>
  <c r="H327" i="7"/>
  <c r="G327" i="7"/>
  <c r="K325" i="7"/>
  <c r="J325" i="7"/>
  <c r="I325" i="7"/>
  <c r="H325" i="7"/>
  <c r="G325" i="7"/>
  <c r="J324" i="7"/>
  <c r="K324" i="7" s="1"/>
  <c r="L324" i="7" s="1"/>
  <c r="M324" i="7" s="1"/>
  <c r="G324" i="7"/>
  <c r="H324" i="7" s="1"/>
  <c r="I324" i="7" s="1"/>
  <c r="X323" i="7"/>
  <c r="S323" i="7"/>
  <c r="L323" i="7"/>
  <c r="M323" i="7" s="1"/>
  <c r="K323" i="7"/>
  <c r="H323" i="7"/>
  <c r="I323" i="7" s="1"/>
  <c r="J323" i="7" s="1"/>
  <c r="G323" i="7"/>
  <c r="L320" i="7"/>
  <c r="M320" i="7" s="1"/>
  <c r="L319" i="7"/>
  <c r="M319" i="7" s="1"/>
  <c r="L318" i="7"/>
  <c r="M317" i="7"/>
  <c r="L317" i="7"/>
  <c r="L316" i="7"/>
  <c r="L315" i="7"/>
  <c r="M315" i="7" s="1"/>
  <c r="L314" i="7"/>
  <c r="L313" i="7"/>
  <c r="M313" i="7" s="1"/>
  <c r="L312" i="7"/>
  <c r="K311" i="7"/>
  <c r="J311" i="7"/>
  <c r="I311" i="7"/>
  <c r="H311" i="7"/>
  <c r="G311" i="7"/>
  <c r="K309" i="7"/>
  <c r="J309" i="7"/>
  <c r="I309" i="7"/>
  <c r="H309" i="7"/>
  <c r="G309" i="7"/>
  <c r="I308" i="7"/>
  <c r="J308" i="7" s="1"/>
  <c r="K308" i="7" s="1"/>
  <c r="L308" i="7" s="1"/>
  <c r="M308" i="7" s="1"/>
  <c r="G308" i="7"/>
  <c r="H308" i="7" s="1"/>
  <c r="S307" i="7"/>
  <c r="G307" i="7"/>
  <c r="H307" i="7" s="1"/>
  <c r="I307" i="7" s="1"/>
  <c r="J307" i="7" s="1"/>
  <c r="K307" i="7" s="1"/>
  <c r="L307" i="7" s="1"/>
  <c r="M307" i="7" s="1"/>
  <c r="L304" i="7"/>
  <c r="M304" i="7" s="1"/>
  <c r="L303" i="7"/>
  <c r="M303" i="7" s="1"/>
  <c r="L302" i="7"/>
  <c r="L301" i="7"/>
  <c r="M301" i="7" s="1"/>
  <c r="L300" i="7"/>
  <c r="M300" i="7" s="1"/>
  <c r="L299" i="7"/>
  <c r="M299" i="7" s="1"/>
  <c r="L298" i="7"/>
  <c r="M297" i="7"/>
  <c r="L297" i="7"/>
  <c r="L296" i="7"/>
  <c r="K295" i="7"/>
  <c r="J295" i="7"/>
  <c r="I295" i="7"/>
  <c r="H295" i="7"/>
  <c r="G295" i="7"/>
  <c r="K293" i="7"/>
  <c r="J293" i="7"/>
  <c r="I293" i="7"/>
  <c r="H293" i="7"/>
  <c r="G293" i="7"/>
  <c r="G292" i="7"/>
  <c r="H292" i="7" s="1"/>
  <c r="I292" i="7" s="1"/>
  <c r="J292" i="7" s="1"/>
  <c r="K292" i="7" s="1"/>
  <c r="L292" i="7" s="1"/>
  <c r="M292" i="7" s="1"/>
  <c r="S291" i="7"/>
  <c r="H291" i="7"/>
  <c r="I291" i="7" s="1"/>
  <c r="J291" i="7" s="1"/>
  <c r="K291" i="7" s="1"/>
  <c r="L291" i="7" s="1"/>
  <c r="M291" i="7" s="1"/>
  <c r="G291" i="7"/>
  <c r="L288" i="7"/>
  <c r="M288" i="7" s="1"/>
  <c r="L287" i="7"/>
  <c r="M287" i="7" s="1"/>
  <c r="L286" i="7"/>
  <c r="L285" i="7"/>
  <c r="M285" i="7" s="1"/>
  <c r="L284" i="7"/>
  <c r="L283" i="7"/>
  <c r="M283" i="7" s="1"/>
  <c r="L282" i="7"/>
  <c r="M281" i="7"/>
  <c r="L281" i="7"/>
  <c r="L280" i="7"/>
  <c r="K279" i="7"/>
  <c r="J279" i="7"/>
  <c r="I279" i="7"/>
  <c r="H279" i="7"/>
  <c r="G279" i="7"/>
  <c r="K277" i="7"/>
  <c r="J277" i="7"/>
  <c r="I277" i="7"/>
  <c r="H277" i="7"/>
  <c r="G277" i="7"/>
  <c r="I276" i="7"/>
  <c r="J276" i="7" s="1"/>
  <c r="K276" i="7" s="1"/>
  <c r="L276" i="7" s="1"/>
  <c r="M276" i="7" s="1"/>
  <c r="G276" i="7"/>
  <c r="H276" i="7" s="1"/>
  <c r="S275" i="7"/>
  <c r="K275" i="7"/>
  <c r="L275" i="7" s="1"/>
  <c r="M275" i="7" s="1"/>
  <c r="H275" i="7"/>
  <c r="I275" i="7" s="1"/>
  <c r="J275" i="7" s="1"/>
  <c r="G275" i="7"/>
  <c r="L272" i="7"/>
  <c r="M272" i="7" s="1"/>
  <c r="M271" i="7"/>
  <c r="L271" i="7"/>
  <c r="L270" i="7"/>
  <c r="L269" i="7"/>
  <c r="M269" i="7" s="1"/>
  <c r="L268" i="7"/>
  <c r="M268" i="7" s="1"/>
  <c r="L267" i="7"/>
  <c r="M267" i="7" s="1"/>
  <c r="L266" i="7"/>
  <c r="L265" i="7"/>
  <c r="M265" i="7" s="1"/>
  <c r="L264" i="7"/>
  <c r="K263" i="7"/>
  <c r="J263" i="7"/>
  <c r="I263" i="7"/>
  <c r="H263" i="7"/>
  <c r="G263" i="7"/>
  <c r="K261" i="7"/>
  <c r="J261" i="7"/>
  <c r="I261" i="7"/>
  <c r="H261" i="7"/>
  <c r="G261" i="7"/>
  <c r="I260" i="7"/>
  <c r="J260" i="7" s="1"/>
  <c r="K260" i="7" s="1"/>
  <c r="L260" i="7" s="1"/>
  <c r="M260" i="7" s="1"/>
  <c r="G260" i="7"/>
  <c r="H260" i="7" s="1"/>
  <c r="S259" i="7"/>
  <c r="L259" i="7"/>
  <c r="M259" i="7" s="1"/>
  <c r="K259" i="7"/>
  <c r="G259" i="7"/>
  <c r="H259" i="7" s="1"/>
  <c r="I259" i="7" s="1"/>
  <c r="J259" i="7" s="1"/>
  <c r="L256" i="7"/>
  <c r="M256" i="7" s="1"/>
  <c r="L255" i="7"/>
  <c r="M255" i="7" s="1"/>
  <c r="L254" i="7"/>
  <c r="M253" i="7"/>
  <c r="L253" i="7"/>
  <c r="L252" i="7"/>
  <c r="M252" i="7" s="1"/>
  <c r="L251" i="7"/>
  <c r="M251" i="7" s="1"/>
  <c r="L250" i="7"/>
  <c r="L249" i="7"/>
  <c r="M249" i="7" s="1"/>
  <c r="L248" i="7"/>
  <c r="K247" i="7"/>
  <c r="J247" i="7"/>
  <c r="I247" i="7"/>
  <c r="H247" i="7"/>
  <c r="G247" i="7"/>
  <c r="K245" i="7"/>
  <c r="J245" i="7"/>
  <c r="I245" i="7"/>
  <c r="H245" i="7"/>
  <c r="G245" i="7"/>
  <c r="I244" i="7"/>
  <c r="J244" i="7" s="1"/>
  <c r="K244" i="7" s="1"/>
  <c r="L244" i="7" s="1"/>
  <c r="M244" i="7" s="1"/>
  <c r="G244" i="7"/>
  <c r="H244" i="7" s="1"/>
  <c r="X243" i="7"/>
  <c r="S243" i="7"/>
  <c r="G243" i="7"/>
  <c r="H243" i="7" s="1"/>
  <c r="I243" i="7" s="1"/>
  <c r="J243" i="7" s="1"/>
  <c r="K243" i="7" s="1"/>
  <c r="L243" i="7" s="1"/>
  <c r="M243" i="7" s="1"/>
  <c r="L240" i="7"/>
  <c r="M240" i="7" s="1"/>
  <c r="L239" i="7"/>
  <c r="M239" i="7" s="1"/>
  <c r="L238" i="7"/>
  <c r="L237" i="7"/>
  <c r="M237" i="7" s="1"/>
  <c r="L236" i="7"/>
  <c r="L235" i="7"/>
  <c r="M235" i="7" s="1"/>
  <c r="L234" i="7"/>
  <c r="L233" i="7"/>
  <c r="M233" i="7" s="1"/>
  <c r="L232" i="7"/>
  <c r="K231" i="7"/>
  <c r="J231" i="7"/>
  <c r="I231" i="7"/>
  <c r="H231" i="7"/>
  <c r="G231" i="7"/>
  <c r="K229" i="7"/>
  <c r="J229" i="7"/>
  <c r="I229" i="7"/>
  <c r="H229" i="7"/>
  <c r="G229" i="7"/>
  <c r="G228" i="7"/>
  <c r="H228" i="7" s="1"/>
  <c r="I228" i="7" s="1"/>
  <c r="J228" i="7" s="1"/>
  <c r="K228" i="7" s="1"/>
  <c r="L228" i="7" s="1"/>
  <c r="M228" i="7" s="1"/>
  <c r="S227" i="7"/>
  <c r="H227" i="7"/>
  <c r="I227" i="7" s="1"/>
  <c r="J227" i="7" s="1"/>
  <c r="K227" i="7" s="1"/>
  <c r="L227" i="7" s="1"/>
  <c r="M227" i="7" s="1"/>
  <c r="G227" i="7"/>
  <c r="L224" i="7"/>
  <c r="M224" i="7" s="1"/>
  <c r="L223" i="7"/>
  <c r="M223" i="7" s="1"/>
  <c r="L222" i="7"/>
  <c r="L221" i="7"/>
  <c r="M221" i="7" s="1"/>
  <c r="L220" i="7"/>
  <c r="M220" i="7" s="1"/>
  <c r="M219" i="7"/>
  <c r="L219" i="7"/>
  <c r="L218" i="7"/>
  <c r="L217" i="7"/>
  <c r="L216" i="7"/>
  <c r="K215" i="7"/>
  <c r="J215" i="7"/>
  <c r="I215" i="7"/>
  <c r="H215" i="7"/>
  <c r="G215" i="7"/>
  <c r="K213" i="7"/>
  <c r="J213" i="7"/>
  <c r="I213" i="7"/>
  <c r="H213" i="7"/>
  <c r="G213" i="7"/>
  <c r="J212" i="7"/>
  <c r="K212" i="7" s="1"/>
  <c r="L212" i="7" s="1"/>
  <c r="M212" i="7" s="1"/>
  <c r="G212" i="7"/>
  <c r="H212" i="7" s="1"/>
  <c r="I212" i="7" s="1"/>
  <c r="S211" i="7"/>
  <c r="L211" i="7"/>
  <c r="M211" i="7" s="1"/>
  <c r="K211" i="7"/>
  <c r="H211" i="7"/>
  <c r="I211" i="7" s="1"/>
  <c r="J211" i="7" s="1"/>
  <c r="G211" i="7"/>
  <c r="L208" i="7"/>
  <c r="M208" i="7" s="1"/>
  <c r="M207" i="7"/>
  <c r="L207" i="7"/>
  <c r="L206" i="7"/>
  <c r="L205" i="7"/>
  <c r="M205" i="7" s="1"/>
  <c r="L204" i="7"/>
  <c r="L203" i="7"/>
  <c r="M203" i="7" s="1"/>
  <c r="L202" i="7"/>
  <c r="M201" i="7"/>
  <c r="L201" i="7"/>
  <c r="L200" i="7"/>
  <c r="K199" i="7"/>
  <c r="J199" i="7"/>
  <c r="I199" i="7"/>
  <c r="H199" i="7"/>
  <c r="G199" i="7"/>
  <c r="K197" i="7"/>
  <c r="J197" i="7"/>
  <c r="I197" i="7"/>
  <c r="H197" i="7"/>
  <c r="G197" i="7"/>
  <c r="I196" i="7"/>
  <c r="J196" i="7" s="1"/>
  <c r="K196" i="7" s="1"/>
  <c r="L196" i="7" s="1"/>
  <c r="M196" i="7" s="1"/>
  <c r="G196" i="7"/>
  <c r="H196" i="7" s="1"/>
  <c r="S195" i="7"/>
  <c r="G195" i="7"/>
  <c r="H195" i="7" s="1"/>
  <c r="I195" i="7" s="1"/>
  <c r="J195" i="7" s="1"/>
  <c r="K195" i="7" s="1"/>
  <c r="L195" i="7" s="1"/>
  <c r="M195" i="7" s="1"/>
  <c r="L192" i="7"/>
  <c r="M192" i="7" s="1"/>
  <c r="L191" i="7"/>
  <c r="M191" i="7" s="1"/>
  <c r="L190" i="7"/>
  <c r="L189" i="7"/>
  <c r="M189" i="7" s="1"/>
  <c r="L188" i="7"/>
  <c r="M188" i="7" s="1"/>
  <c r="L187" i="7"/>
  <c r="M187" i="7" s="1"/>
  <c r="L186" i="7"/>
  <c r="M185" i="7"/>
  <c r="L185" i="7"/>
  <c r="L184" i="7"/>
  <c r="K183" i="7"/>
  <c r="J183" i="7"/>
  <c r="I183" i="7"/>
  <c r="H183" i="7"/>
  <c r="G183" i="7"/>
  <c r="K181" i="7"/>
  <c r="J181" i="7"/>
  <c r="I181" i="7"/>
  <c r="H181" i="7"/>
  <c r="G181" i="7"/>
  <c r="G180" i="7"/>
  <c r="H180" i="7" s="1"/>
  <c r="I180" i="7" s="1"/>
  <c r="J180" i="7" s="1"/>
  <c r="K180" i="7" s="1"/>
  <c r="L180" i="7" s="1"/>
  <c r="M180" i="7" s="1"/>
  <c r="S179" i="7"/>
  <c r="H179" i="7"/>
  <c r="I179" i="7" s="1"/>
  <c r="J179" i="7" s="1"/>
  <c r="K179" i="7" s="1"/>
  <c r="L179" i="7" s="1"/>
  <c r="M179" i="7" s="1"/>
  <c r="G179" i="7"/>
  <c r="L176" i="7"/>
  <c r="M176" i="7" s="1"/>
  <c r="L175" i="7"/>
  <c r="M175" i="7" s="1"/>
  <c r="L174" i="7"/>
  <c r="L173" i="7"/>
  <c r="M173" i="7" s="1"/>
  <c r="L172" i="7"/>
  <c r="L171" i="7"/>
  <c r="M171" i="7" s="1"/>
  <c r="L170" i="7"/>
  <c r="M169" i="7"/>
  <c r="L169" i="7"/>
  <c r="L168" i="7"/>
  <c r="K167" i="7"/>
  <c r="J167" i="7"/>
  <c r="I167" i="7"/>
  <c r="H167" i="7"/>
  <c r="G167" i="7"/>
  <c r="K165" i="7"/>
  <c r="J165" i="7"/>
  <c r="I165" i="7"/>
  <c r="H165" i="7"/>
  <c r="G165" i="7"/>
  <c r="I164" i="7"/>
  <c r="J164" i="7" s="1"/>
  <c r="K164" i="7" s="1"/>
  <c r="L164" i="7" s="1"/>
  <c r="M164" i="7" s="1"/>
  <c r="G164" i="7"/>
  <c r="H164" i="7" s="1"/>
  <c r="S163" i="7"/>
  <c r="K163" i="7"/>
  <c r="L163" i="7" s="1"/>
  <c r="M163" i="7" s="1"/>
  <c r="H163" i="7"/>
  <c r="I163" i="7" s="1"/>
  <c r="J163" i="7" s="1"/>
  <c r="G163" i="7"/>
  <c r="L160" i="7"/>
  <c r="M160" i="7" s="1"/>
  <c r="L159" i="7"/>
  <c r="M159" i="7" s="1"/>
  <c r="L158" i="7"/>
  <c r="L157" i="7"/>
  <c r="M157" i="7" s="1"/>
  <c r="L156" i="7"/>
  <c r="M156" i="7" s="1"/>
  <c r="L155" i="7"/>
  <c r="M155" i="7" s="1"/>
  <c r="L154" i="7"/>
  <c r="M153" i="7"/>
  <c r="L153" i="7"/>
  <c r="L152" i="7"/>
  <c r="U147" i="7" s="1"/>
  <c r="K151" i="7"/>
  <c r="J151" i="7"/>
  <c r="I151" i="7"/>
  <c r="H151" i="7"/>
  <c r="G151" i="7"/>
  <c r="K149" i="7"/>
  <c r="J149" i="7"/>
  <c r="I149" i="7"/>
  <c r="H149" i="7"/>
  <c r="G149" i="7"/>
  <c r="I148" i="7"/>
  <c r="J148" i="7" s="1"/>
  <c r="K148" i="7" s="1"/>
  <c r="L148" i="7" s="1"/>
  <c r="M148" i="7" s="1"/>
  <c r="G148" i="7"/>
  <c r="H148" i="7" s="1"/>
  <c r="S147" i="7"/>
  <c r="L147" i="7"/>
  <c r="M147" i="7" s="1"/>
  <c r="K147" i="7"/>
  <c r="G147" i="7"/>
  <c r="H147" i="7" s="1"/>
  <c r="I147" i="7" s="1"/>
  <c r="J147" i="7" s="1"/>
  <c r="L144" i="7"/>
  <c r="M144" i="7" s="1"/>
  <c r="L143" i="7"/>
  <c r="M143" i="7" s="1"/>
  <c r="L142" i="7"/>
  <c r="M141" i="7"/>
  <c r="L141" i="7"/>
  <c r="L140" i="7"/>
  <c r="M140" i="7" s="1"/>
  <c r="L139" i="7"/>
  <c r="M139" i="7" s="1"/>
  <c r="L138" i="7"/>
  <c r="L137" i="7"/>
  <c r="M137" i="7" s="1"/>
  <c r="L136" i="7"/>
  <c r="K135" i="7"/>
  <c r="J135" i="7"/>
  <c r="I135" i="7"/>
  <c r="H135" i="7"/>
  <c r="G135" i="7"/>
  <c r="K133" i="7"/>
  <c r="J133" i="7"/>
  <c r="I133" i="7"/>
  <c r="H133" i="7"/>
  <c r="G133" i="7"/>
  <c r="I132" i="7"/>
  <c r="J132" i="7" s="1"/>
  <c r="K132" i="7" s="1"/>
  <c r="L132" i="7" s="1"/>
  <c r="M132" i="7" s="1"/>
  <c r="G132" i="7"/>
  <c r="H132" i="7" s="1"/>
  <c r="X131" i="7"/>
  <c r="S131" i="7"/>
  <c r="G131" i="7"/>
  <c r="H131" i="7" s="1"/>
  <c r="I131" i="7" s="1"/>
  <c r="J131" i="7" s="1"/>
  <c r="K131" i="7" s="1"/>
  <c r="L131" i="7" s="1"/>
  <c r="M131" i="7" s="1"/>
  <c r="L128" i="7"/>
  <c r="M128" i="7" s="1"/>
  <c r="L127" i="7"/>
  <c r="M127" i="7" s="1"/>
  <c r="L126" i="7"/>
  <c r="L125" i="7"/>
  <c r="M125" i="7" s="1"/>
  <c r="L124" i="7"/>
  <c r="L123" i="7"/>
  <c r="M123" i="7" s="1"/>
  <c r="L122" i="7"/>
  <c r="L121" i="7"/>
  <c r="M121" i="7" s="1"/>
  <c r="L120" i="7"/>
  <c r="U115" i="7" s="1"/>
  <c r="K119" i="7"/>
  <c r="J119" i="7"/>
  <c r="I119" i="7"/>
  <c r="H119" i="7"/>
  <c r="G119" i="7"/>
  <c r="K117" i="7"/>
  <c r="J117" i="7"/>
  <c r="I117" i="7"/>
  <c r="H117" i="7"/>
  <c r="G117" i="7"/>
  <c r="H116" i="7"/>
  <c r="I116" i="7" s="1"/>
  <c r="J116" i="7" s="1"/>
  <c r="K116" i="7" s="1"/>
  <c r="L116" i="7" s="1"/>
  <c r="M116" i="7" s="1"/>
  <c r="G116" i="7"/>
  <c r="S115" i="7"/>
  <c r="H115" i="7"/>
  <c r="I115" i="7" s="1"/>
  <c r="J115" i="7" s="1"/>
  <c r="K115" i="7" s="1"/>
  <c r="L115" i="7" s="1"/>
  <c r="M115" i="7" s="1"/>
  <c r="G115" i="7"/>
  <c r="L112" i="7"/>
  <c r="M112" i="7" s="1"/>
  <c r="L111" i="7"/>
  <c r="M111" i="7" s="1"/>
  <c r="L110" i="7"/>
  <c r="L109" i="7"/>
  <c r="M109" i="7" s="1"/>
  <c r="L108" i="7"/>
  <c r="L107" i="7"/>
  <c r="M107" i="7" s="1"/>
  <c r="L106" i="7"/>
  <c r="L105" i="7"/>
  <c r="L104" i="7"/>
  <c r="K103" i="7"/>
  <c r="J103" i="7"/>
  <c r="I103" i="7"/>
  <c r="H103" i="7"/>
  <c r="G103" i="7"/>
  <c r="K101" i="7"/>
  <c r="J101" i="7"/>
  <c r="I101" i="7"/>
  <c r="H101" i="7"/>
  <c r="G101" i="7"/>
  <c r="G100" i="7"/>
  <c r="H100" i="7" s="1"/>
  <c r="I100" i="7" s="1"/>
  <c r="J100" i="7" s="1"/>
  <c r="K100" i="7" s="1"/>
  <c r="L100" i="7" s="1"/>
  <c r="M100" i="7" s="1"/>
  <c r="S99" i="7"/>
  <c r="G99" i="7"/>
  <c r="H99" i="7" s="1"/>
  <c r="I99" i="7" s="1"/>
  <c r="J99" i="7" s="1"/>
  <c r="K99" i="7" s="1"/>
  <c r="L99" i="7" s="1"/>
  <c r="M99" i="7" s="1"/>
  <c r="L96" i="7"/>
  <c r="M96" i="7" s="1"/>
  <c r="L95" i="7"/>
  <c r="M95" i="7" s="1"/>
  <c r="L94" i="7"/>
  <c r="M93" i="7"/>
  <c r="L93" i="7"/>
  <c r="L92" i="7"/>
  <c r="L91" i="7"/>
  <c r="M91" i="7" s="1"/>
  <c r="L90" i="7"/>
  <c r="L89" i="7"/>
  <c r="M89" i="7" s="1"/>
  <c r="L88" i="7"/>
  <c r="K87" i="7"/>
  <c r="J87" i="7"/>
  <c r="I87" i="7"/>
  <c r="H87" i="7"/>
  <c r="G87" i="7"/>
  <c r="K85" i="7"/>
  <c r="J85" i="7"/>
  <c r="I85" i="7"/>
  <c r="H85" i="7"/>
  <c r="G85" i="7"/>
  <c r="J84" i="7"/>
  <c r="K84" i="7" s="1"/>
  <c r="L84" i="7" s="1"/>
  <c r="M84" i="7" s="1"/>
  <c r="I84" i="7"/>
  <c r="H84" i="7"/>
  <c r="G84" i="7"/>
  <c r="U83" i="7"/>
  <c r="S83" i="7"/>
  <c r="G83" i="7"/>
  <c r="H83" i="7" s="1"/>
  <c r="I83" i="7" s="1"/>
  <c r="J83" i="7" s="1"/>
  <c r="K83" i="7" s="1"/>
  <c r="L83" i="7" s="1"/>
  <c r="M83" i="7" s="1"/>
  <c r="L80" i="7"/>
  <c r="M80" i="7" s="1"/>
  <c r="L79" i="7"/>
  <c r="M79" i="7" s="1"/>
  <c r="L78" i="7"/>
  <c r="M77" i="7"/>
  <c r="L77" i="7"/>
  <c r="L76" i="7"/>
  <c r="L75" i="7"/>
  <c r="M75" i="7" s="1"/>
  <c r="L74" i="7"/>
  <c r="L73" i="7"/>
  <c r="M73" i="7" s="1"/>
  <c r="L72" i="7"/>
  <c r="U67" i="7" s="1"/>
  <c r="K71" i="7"/>
  <c r="J71" i="7"/>
  <c r="I71" i="7"/>
  <c r="H71" i="7"/>
  <c r="G71" i="7"/>
  <c r="K69" i="7"/>
  <c r="J69" i="7"/>
  <c r="I69" i="7"/>
  <c r="H69" i="7"/>
  <c r="G69" i="7"/>
  <c r="J68" i="7"/>
  <c r="K68" i="7" s="1"/>
  <c r="L68" i="7" s="1"/>
  <c r="M68" i="7" s="1"/>
  <c r="I68" i="7"/>
  <c r="H68" i="7"/>
  <c r="G68" i="7"/>
  <c r="S67" i="7"/>
  <c r="G67" i="7"/>
  <c r="H67" i="7" s="1"/>
  <c r="I67" i="7" s="1"/>
  <c r="J67" i="7" s="1"/>
  <c r="K67" i="7" s="1"/>
  <c r="L67" i="7" s="1"/>
  <c r="M67" i="7" s="1"/>
  <c r="L64" i="7"/>
  <c r="M64" i="7" s="1"/>
  <c r="L63" i="7"/>
  <c r="M63" i="7" s="1"/>
  <c r="L62" i="7"/>
  <c r="M61" i="7"/>
  <c r="L61" i="7"/>
  <c r="L60" i="7"/>
  <c r="M59" i="7"/>
  <c r="L59" i="7"/>
  <c r="L58" i="7"/>
  <c r="L57" i="7"/>
  <c r="M57" i="7" s="1"/>
  <c r="L56" i="7"/>
  <c r="U51" i="7" s="1"/>
  <c r="K55" i="7"/>
  <c r="J55" i="7"/>
  <c r="I55" i="7"/>
  <c r="H55" i="7"/>
  <c r="G55" i="7"/>
  <c r="K53" i="7"/>
  <c r="J53" i="7"/>
  <c r="I53" i="7"/>
  <c r="H53" i="7"/>
  <c r="G53" i="7"/>
  <c r="J52" i="7"/>
  <c r="K52" i="7" s="1"/>
  <c r="L52" i="7" s="1"/>
  <c r="M52" i="7" s="1"/>
  <c r="I52" i="7"/>
  <c r="H52" i="7"/>
  <c r="G52" i="7"/>
  <c r="S51" i="7"/>
  <c r="H51" i="7"/>
  <c r="I51" i="7" s="1"/>
  <c r="J51" i="7" s="1"/>
  <c r="K51" i="7" s="1"/>
  <c r="L51" i="7" s="1"/>
  <c r="M51" i="7" s="1"/>
  <c r="G51" i="7"/>
  <c r="L48" i="7"/>
  <c r="M48" i="7" s="1"/>
  <c r="M47" i="7"/>
  <c r="L47" i="7"/>
  <c r="L46" i="7"/>
  <c r="L45" i="7"/>
  <c r="M45" i="7" s="1"/>
  <c r="L44" i="7"/>
  <c r="L43" i="7"/>
  <c r="M43" i="7" s="1"/>
  <c r="L42" i="7"/>
  <c r="M41" i="7"/>
  <c r="L41" i="7"/>
  <c r="L40" i="7"/>
  <c r="U35" i="7" s="1"/>
  <c r="K39" i="7"/>
  <c r="J39" i="7"/>
  <c r="I39" i="7"/>
  <c r="H39" i="7"/>
  <c r="G39" i="7"/>
  <c r="K37" i="7"/>
  <c r="J37" i="7"/>
  <c r="I37" i="7"/>
  <c r="H37" i="7"/>
  <c r="G37" i="7"/>
  <c r="I36" i="7"/>
  <c r="J36" i="7" s="1"/>
  <c r="K36" i="7" s="1"/>
  <c r="L36" i="7" s="1"/>
  <c r="M36" i="7" s="1"/>
  <c r="H36" i="7"/>
  <c r="G36" i="7"/>
  <c r="S35" i="7"/>
  <c r="H35" i="7"/>
  <c r="I35" i="7" s="1"/>
  <c r="J35" i="7" s="1"/>
  <c r="K35" i="7" s="1"/>
  <c r="L35" i="7" s="1"/>
  <c r="M35" i="7" s="1"/>
  <c r="G35" i="7"/>
  <c r="A35" i="7"/>
  <c r="A51" i="7" s="1"/>
  <c r="A67" i="7" s="1"/>
  <c r="A83" i="7" s="1"/>
  <c r="A99" i="7" s="1"/>
  <c r="A115" i="7" s="1"/>
  <c r="A131" i="7" s="1"/>
  <c r="A147" i="7" s="1"/>
  <c r="A163" i="7" s="1"/>
  <c r="A179" i="7" s="1"/>
  <c r="A195" i="7" s="1"/>
  <c r="A211" i="7" s="1"/>
  <c r="A227" i="7" s="1"/>
  <c r="A243" i="7" s="1"/>
  <c r="A259" i="7" s="1"/>
  <c r="A275" i="7" s="1"/>
  <c r="A291" i="7" s="1"/>
  <c r="A307" i="7" s="1"/>
  <c r="A323" i="7" s="1"/>
  <c r="A339" i="7" s="1"/>
  <c r="A355" i="7" s="1"/>
  <c r="A371" i="7" s="1"/>
  <c r="A387" i="7" s="1"/>
  <c r="A403" i="7" s="1"/>
  <c r="A419" i="7" s="1"/>
  <c r="A435" i="7" s="1"/>
  <c r="A451" i="7" s="1"/>
  <c r="A467" i="7" s="1"/>
  <c r="A483" i="7" s="1"/>
  <c r="A499" i="7" s="1"/>
  <c r="A515" i="7" s="1"/>
  <c r="A531" i="7" s="1"/>
  <c r="A547" i="7" s="1"/>
  <c r="A563" i="7" s="1"/>
  <c r="A579" i="7" s="1"/>
  <c r="A595" i="7" s="1"/>
  <c r="A611" i="7" s="1"/>
  <c r="A627" i="7" s="1"/>
  <c r="A643" i="7" s="1"/>
  <c r="A659" i="7" s="1"/>
  <c r="A675" i="7" s="1"/>
  <c r="A691" i="7" s="1"/>
  <c r="A707" i="7" s="1"/>
  <c r="A723" i="7" s="1"/>
  <c r="A739" i="7" s="1"/>
  <c r="A755" i="7" s="1"/>
  <c r="A771" i="7" s="1"/>
  <c r="A787" i="7" s="1"/>
  <c r="A803" i="7" s="1"/>
  <c r="L32" i="7"/>
  <c r="M32" i="7" s="1"/>
  <c r="M31" i="7"/>
  <c r="L31" i="7"/>
  <c r="L30" i="7"/>
  <c r="M29" i="7"/>
  <c r="L29" i="7"/>
  <c r="L28" i="7"/>
  <c r="L27" i="7"/>
  <c r="M27" i="7" s="1"/>
  <c r="L26" i="7"/>
  <c r="L25" i="7"/>
  <c r="L24" i="7"/>
  <c r="K23" i="7"/>
  <c r="J23" i="7"/>
  <c r="I23" i="7"/>
  <c r="H23" i="7"/>
  <c r="G23" i="7"/>
  <c r="K21" i="7"/>
  <c r="J21" i="7"/>
  <c r="I21" i="7"/>
  <c r="H21" i="7"/>
  <c r="G21" i="7"/>
  <c r="J20" i="7"/>
  <c r="K20" i="7" s="1"/>
  <c r="L20" i="7" s="1"/>
  <c r="M20" i="7" s="1"/>
  <c r="I20" i="7"/>
  <c r="H20" i="7"/>
  <c r="G20" i="7"/>
  <c r="C20" i="7"/>
  <c r="C36" i="7" s="1"/>
  <c r="C52" i="7" s="1"/>
  <c r="C68" i="7" s="1"/>
  <c r="C84" i="7" s="1"/>
  <c r="C100" i="7" s="1"/>
  <c r="C116" i="7" s="1"/>
  <c r="C132" i="7" s="1"/>
  <c r="C148" i="7" s="1"/>
  <c r="C164" i="7" s="1"/>
  <c r="C180" i="7" s="1"/>
  <c r="C196" i="7" s="1"/>
  <c r="C212" i="7" s="1"/>
  <c r="C228" i="7" s="1"/>
  <c r="C244" i="7" s="1"/>
  <c r="C260" i="7" s="1"/>
  <c r="C276" i="7" s="1"/>
  <c r="C292" i="7" s="1"/>
  <c r="C308" i="7" s="1"/>
  <c r="C324" i="7" s="1"/>
  <c r="C340" i="7" s="1"/>
  <c r="C356" i="7" s="1"/>
  <c r="C372" i="7" s="1"/>
  <c r="C388" i="7" s="1"/>
  <c r="C404" i="7" s="1"/>
  <c r="C420" i="7" s="1"/>
  <c r="C436" i="7" s="1"/>
  <c r="C452" i="7" s="1"/>
  <c r="C468" i="7" s="1"/>
  <c r="C484" i="7" s="1"/>
  <c r="C500" i="7" s="1"/>
  <c r="C516" i="7" s="1"/>
  <c r="C532" i="7" s="1"/>
  <c r="C548" i="7" s="1"/>
  <c r="C564" i="7" s="1"/>
  <c r="C580" i="7" s="1"/>
  <c r="C596" i="7" s="1"/>
  <c r="C612" i="7" s="1"/>
  <c r="C628" i="7" s="1"/>
  <c r="C644" i="7" s="1"/>
  <c r="C660" i="7" s="1"/>
  <c r="C676" i="7" s="1"/>
  <c r="C692" i="7" s="1"/>
  <c r="C708" i="7" s="1"/>
  <c r="C724" i="7" s="1"/>
  <c r="C740" i="7" s="1"/>
  <c r="C756" i="7" s="1"/>
  <c r="C772" i="7" s="1"/>
  <c r="C788" i="7" s="1"/>
  <c r="C804" i="7" s="1"/>
  <c r="S19" i="7"/>
  <c r="H19" i="7"/>
  <c r="I19" i="7" s="1"/>
  <c r="J19" i="7" s="1"/>
  <c r="K19" i="7" s="1"/>
  <c r="L19" i="7" s="1"/>
  <c r="M19" i="7" s="1"/>
  <c r="G19" i="7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K13" i="7"/>
  <c r="J13" i="7"/>
  <c r="I13" i="7"/>
  <c r="H13" i="7"/>
  <c r="G13" i="7"/>
  <c r="K12" i="7"/>
  <c r="J12" i="7"/>
  <c r="I12" i="7"/>
  <c r="H12" i="7"/>
  <c r="G12" i="7"/>
  <c r="K11" i="7"/>
  <c r="J11" i="7"/>
  <c r="I11" i="7"/>
  <c r="H11" i="7"/>
  <c r="G11" i="7"/>
  <c r="K10" i="7"/>
  <c r="J10" i="7"/>
  <c r="I10" i="7"/>
  <c r="H10" i="7"/>
  <c r="G10" i="7"/>
  <c r="K9" i="7"/>
  <c r="J9" i="7"/>
  <c r="I9" i="7"/>
  <c r="H9" i="7"/>
  <c r="G9" i="7"/>
  <c r="K8" i="7"/>
  <c r="J8" i="7"/>
  <c r="I8" i="7"/>
  <c r="H8" i="7"/>
  <c r="G8" i="7"/>
  <c r="I4" i="7"/>
  <c r="J4" i="7" s="1"/>
  <c r="K4" i="7" s="1"/>
  <c r="L4" i="7" s="1"/>
  <c r="M4" i="7" s="1"/>
  <c r="H4" i="7"/>
  <c r="S3" i="7"/>
  <c r="H3" i="7"/>
  <c r="I3" i="7" s="1"/>
  <c r="J3" i="7" s="1"/>
  <c r="K3" i="7" s="1"/>
  <c r="L3" i="7" s="1"/>
  <c r="M3" i="7" s="1"/>
  <c r="X1" i="7"/>
  <c r="T1" i="7"/>
  <c r="L816" i="6"/>
  <c r="M816" i="6" s="1"/>
  <c r="M815" i="6"/>
  <c r="L815" i="6"/>
  <c r="L814" i="6"/>
  <c r="M813" i="6"/>
  <c r="L813" i="6"/>
  <c r="L812" i="6"/>
  <c r="M811" i="6"/>
  <c r="L811" i="6"/>
  <c r="L810" i="6"/>
  <c r="M809" i="6"/>
  <c r="L809" i="6"/>
  <c r="L808" i="6"/>
  <c r="K807" i="6"/>
  <c r="J807" i="6"/>
  <c r="I807" i="6"/>
  <c r="H807" i="6"/>
  <c r="G807" i="6"/>
  <c r="K805" i="6"/>
  <c r="J805" i="6"/>
  <c r="I805" i="6"/>
  <c r="H805" i="6"/>
  <c r="G805" i="6"/>
  <c r="G804" i="6"/>
  <c r="H804" i="6" s="1"/>
  <c r="I804" i="6" s="1"/>
  <c r="J804" i="6" s="1"/>
  <c r="K804" i="6" s="1"/>
  <c r="L804" i="6" s="1"/>
  <c r="M804" i="6" s="1"/>
  <c r="S803" i="6"/>
  <c r="M803" i="6"/>
  <c r="I803" i="6"/>
  <c r="J803" i="6" s="1"/>
  <c r="K803" i="6" s="1"/>
  <c r="L803" i="6" s="1"/>
  <c r="H803" i="6"/>
  <c r="G803" i="6"/>
  <c r="M800" i="6"/>
  <c r="L800" i="6"/>
  <c r="M799" i="6"/>
  <c r="L799" i="6"/>
  <c r="M798" i="6"/>
  <c r="L798" i="6"/>
  <c r="W787" i="6" s="1"/>
  <c r="M797" i="6"/>
  <c r="L797" i="6"/>
  <c r="M796" i="6"/>
  <c r="L796" i="6"/>
  <c r="X787" i="6" s="1"/>
  <c r="M795" i="6"/>
  <c r="L795" i="6"/>
  <c r="M794" i="6"/>
  <c r="L794" i="6"/>
  <c r="V787" i="6" s="1"/>
  <c r="M793" i="6"/>
  <c r="L793" i="6"/>
  <c r="M792" i="6"/>
  <c r="L792" i="6"/>
  <c r="L791" i="6" s="1"/>
  <c r="K791" i="6"/>
  <c r="J791" i="6"/>
  <c r="I791" i="6"/>
  <c r="H791" i="6"/>
  <c r="G791" i="6"/>
  <c r="K789" i="6"/>
  <c r="J789" i="6"/>
  <c r="I789" i="6"/>
  <c r="H789" i="6"/>
  <c r="G789" i="6"/>
  <c r="K788" i="6"/>
  <c r="L788" i="6" s="1"/>
  <c r="M788" i="6" s="1"/>
  <c r="G788" i="6"/>
  <c r="H788" i="6" s="1"/>
  <c r="I788" i="6" s="1"/>
  <c r="J788" i="6" s="1"/>
  <c r="S787" i="6"/>
  <c r="G787" i="6"/>
  <c r="H787" i="6" s="1"/>
  <c r="I787" i="6" s="1"/>
  <c r="J787" i="6" s="1"/>
  <c r="K787" i="6" s="1"/>
  <c r="L787" i="6" s="1"/>
  <c r="M787" i="6" s="1"/>
  <c r="M784" i="6"/>
  <c r="L784" i="6"/>
  <c r="L783" i="6"/>
  <c r="M783" i="6" s="1"/>
  <c r="M782" i="6"/>
  <c r="L782" i="6"/>
  <c r="W771" i="6" s="1"/>
  <c r="L781" i="6"/>
  <c r="M781" i="6" s="1"/>
  <c r="M780" i="6"/>
  <c r="L780" i="6"/>
  <c r="X771" i="6" s="1"/>
  <c r="L779" i="6"/>
  <c r="M779" i="6" s="1"/>
  <c r="M778" i="6"/>
  <c r="L778" i="6"/>
  <c r="L777" i="6"/>
  <c r="M777" i="6" s="1"/>
  <c r="M776" i="6"/>
  <c r="L776" i="6"/>
  <c r="K775" i="6"/>
  <c r="J775" i="6"/>
  <c r="I775" i="6"/>
  <c r="H775" i="6"/>
  <c r="G775" i="6"/>
  <c r="K773" i="6"/>
  <c r="J773" i="6"/>
  <c r="I773" i="6"/>
  <c r="H773" i="6"/>
  <c r="G773" i="6"/>
  <c r="K772" i="6"/>
  <c r="L772" i="6" s="1"/>
  <c r="M772" i="6" s="1"/>
  <c r="G772" i="6"/>
  <c r="H772" i="6" s="1"/>
  <c r="I772" i="6" s="1"/>
  <c r="J772" i="6" s="1"/>
  <c r="S771" i="6"/>
  <c r="G771" i="6"/>
  <c r="H771" i="6" s="1"/>
  <c r="I771" i="6" s="1"/>
  <c r="J771" i="6" s="1"/>
  <c r="K771" i="6" s="1"/>
  <c r="L771" i="6" s="1"/>
  <c r="M771" i="6" s="1"/>
  <c r="M768" i="6"/>
  <c r="L768" i="6"/>
  <c r="L767" i="6"/>
  <c r="M767" i="6" s="1"/>
  <c r="M766" i="6"/>
  <c r="L766" i="6"/>
  <c r="W755" i="6" s="1"/>
  <c r="L765" i="6"/>
  <c r="M765" i="6" s="1"/>
  <c r="M764" i="6"/>
  <c r="L764" i="6"/>
  <c r="X755" i="6" s="1"/>
  <c r="L763" i="6"/>
  <c r="M762" i="6"/>
  <c r="L762" i="6"/>
  <c r="L761" i="6"/>
  <c r="M761" i="6" s="1"/>
  <c r="M760" i="6"/>
  <c r="L760" i="6"/>
  <c r="K759" i="6"/>
  <c r="J759" i="6"/>
  <c r="I759" i="6"/>
  <c r="H759" i="6"/>
  <c r="G759" i="6"/>
  <c r="K757" i="6"/>
  <c r="J757" i="6"/>
  <c r="I757" i="6"/>
  <c r="H757" i="6"/>
  <c r="G757" i="6"/>
  <c r="G756" i="6"/>
  <c r="H756" i="6" s="1"/>
  <c r="I756" i="6" s="1"/>
  <c r="J756" i="6" s="1"/>
  <c r="K756" i="6" s="1"/>
  <c r="L756" i="6" s="1"/>
  <c r="M756" i="6" s="1"/>
  <c r="S755" i="6"/>
  <c r="G755" i="6"/>
  <c r="H755" i="6" s="1"/>
  <c r="I755" i="6" s="1"/>
  <c r="J755" i="6" s="1"/>
  <c r="K755" i="6" s="1"/>
  <c r="L755" i="6" s="1"/>
  <c r="M755" i="6" s="1"/>
  <c r="M752" i="6"/>
  <c r="L752" i="6"/>
  <c r="L751" i="6"/>
  <c r="M751" i="6" s="1"/>
  <c r="M750" i="6"/>
  <c r="L750" i="6"/>
  <c r="W739" i="6" s="1"/>
  <c r="L749" i="6"/>
  <c r="M749" i="6" s="1"/>
  <c r="M748" i="6"/>
  <c r="L748" i="6"/>
  <c r="X739" i="6" s="1"/>
  <c r="L747" i="6"/>
  <c r="M747" i="6" s="1"/>
  <c r="M746" i="6"/>
  <c r="L746" i="6"/>
  <c r="L745" i="6"/>
  <c r="M744" i="6"/>
  <c r="L744" i="6"/>
  <c r="K743" i="6"/>
  <c r="J743" i="6"/>
  <c r="I743" i="6"/>
  <c r="H743" i="6"/>
  <c r="G743" i="6"/>
  <c r="K741" i="6"/>
  <c r="J741" i="6"/>
  <c r="I741" i="6"/>
  <c r="H741" i="6"/>
  <c r="G741" i="6"/>
  <c r="K740" i="6"/>
  <c r="L740" i="6" s="1"/>
  <c r="M740" i="6" s="1"/>
  <c r="J740" i="6"/>
  <c r="G740" i="6"/>
  <c r="H740" i="6" s="1"/>
  <c r="I740" i="6" s="1"/>
  <c r="S739" i="6"/>
  <c r="I739" i="6"/>
  <c r="J739" i="6" s="1"/>
  <c r="K739" i="6" s="1"/>
  <c r="L739" i="6" s="1"/>
  <c r="M739" i="6" s="1"/>
  <c r="H739" i="6"/>
  <c r="G739" i="6"/>
  <c r="L736" i="6"/>
  <c r="M736" i="6" s="1"/>
  <c r="M735" i="6"/>
  <c r="L735" i="6"/>
  <c r="L734" i="6"/>
  <c r="M733" i="6"/>
  <c r="L733" i="6"/>
  <c r="L732" i="6"/>
  <c r="M731" i="6"/>
  <c r="L731" i="6"/>
  <c r="L730" i="6"/>
  <c r="M729" i="6"/>
  <c r="L729" i="6"/>
  <c r="L728" i="6"/>
  <c r="K727" i="6"/>
  <c r="J727" i="6"/>
  <c r="I727" i="6"/>
  <c r="H727" i="6"/>
  <c r="G727" i="6"/>
  <c r="K725" i="6"/>
  <c r="J725" i="6"/>
  <c r="I725" i="6"/>
  <c r="H725" i="6"/>
  <c r="G725" i="6"/>
  <c r="J724" i="6"/>
  <c r="K724" i="6" s="1"/>
  <c r="L724" i="6" s="1"/>
  <c r="M724" i="6" s="1"/>
  <c r="G724" i="6"/>
  <c r="H724" i="6" s="1"/>
  <c r="I724" i="6" s="1"/>
  <c r="S723" i="6"/>
  <c r="G723" i="6"/>
  <c r="H723" i="6" s="1"/>
  <c r="I723" i="6" s="1"/>
  <c r="J723" i="6" s="1"/>
  <c r="K723" i="6" s="1"/>
  <c r="L723" i="6" s="1"/>
  <c r="M723" i="6" s="1"/>
  <c r="M720" i="6"/>
  <c r="L720" i="6"/>
  <c r="L719" i="6"/>
  <c r="M719" i="6" s="1"/>
  <c r="M718" i="6"/>
  <c r="L718" i="6"/>
  <c r="W707" i="6" s="1"/>
  <c r="L717" i="6"/>
  <c r="M717" i="6" s="1"/>
  <c r="L716" i="6"/>
  <c r="X707" i="6" s="1"/>
  <c r="M715" i="6"/>
  <c r="L715" i="6"/>
  <c r="L714" i="6"/>
  <c r="M713" i="6"/>
  <c r="L713" i="6"/>
  <c r="L712" i="6"/>
  <c r="K711" i="6"/>
  <c r="J711" i="6"/>
  <c r="I711" i="6"/>
  <c r="H711" i="6"/>
  <c r="G711" i="6"/>
  <c r="K709" i="6"/>
  <c r="J709" i="6"/>
  <c r="I709" i="6"/>
  <c r="H709" i="6"/>
  <c r="G709" i="6"/>
  <c r="J708" i="6"/>
  <c r="K708" i="6" s="1"/>
  <c r="L708" i="6" s="1"/>
  <c r="M708" i="6" s="1"/>
  <c r="G708" i="6"/>
  <c r="H708" i="6" s="1"/>
  <c r="I708" i="6" s="1"/>
  <c r="S707" i="6"/>
  <c r="I707" i="6"/>
  <c r="J707" i="6" s="1"/>
  <c r="K707" i="6" s="1"/>
  <c r="L707" i="6" s="1"/>
  <c r="M707" i="6" s="1"/>
  <c r="H707" i="6"/>
  <c r="G707" i="6"/>
  <c r="L704" i="6"/>
  <c r="M704" i="6" s="1"/>
  <c r="M703" i="6"/>
  <c r="L703" i="6"/>
  <c r="L702" i="6"/>
  <c r="M701" i="6"/>
  <c r="L701" i="6"/>
  <c r="L700" i="6"/>
  <c r="L699" i="6"/>
  <c r="M699" i="6" s="1"/>
  <c r="L698" i="6"/>
  <c r="M697" i="6"/>
  <c r="L697" i="6"/>
  <c r="L696" i="6"/>
  <c r="U691" i="6" s="1"/>
  <c r="K695" i="6"/>
  <c r="J695" i="6"/>
  <c r="I695" i="6"/>
  <c r="H695" i="6"/>
  <c r="G695" i="6"/>
  <c r="K693" i="6"/>
  <c r="J693" i="6"/>
  <c r="I693" i="6"/>
  <c r="H693" i="6"/>
  <c r="G693" i="6"/>
  <c r="G692" i="6"/>
  <c r="H692" i="6" s="1"/>
  <c r="I692" i="6" s="1"/>
  <c r="J692" i="6" s="1"/>
  <c r="K692" i="6" s="1"/>
  <c r="L692" i="6" s="1"/>
  <c r="M692" i="6" s="1"/>
  <c r="S691" i="6"/>
  <c r="H691" i="6"/>
  <c r="I691" i="6" s="1"/>
  <c r="J691" i="6" s="1"/>
  <c r="K691" i="6" s="1"/>
  <c r="L691" i="6" s="1"/>
  <c r="M691" i="6" s="1"/>
  <c r="G691" i="6"/>
  <c r="L688" i="6"/>
  <c r="M688" i="6" s="1"/>
  <c r="L687" i="6"/>
  <c r="M687" i="6" s="1"/>
  <c r="L686" i="6"/>
  <c r="M685" i="6"/>
  <c r="L685" i="6"/>
  <c r="L684" i="6"/>
  <c r="M683" i="6"/>
  <c r="L683" i="6"/>
  <c r="L682" i="6"/>
  <c r="M681" i="6"/>
  <c r="L681" i="6"/>
  <c r="L680" i="6"/>
  <c r="K679" i="6"/>
  <c r="J679" i="6"/>
  <c r="I679" i="6"/>
  <c r="H679" i="6"/>
  <c r="G679" i="6"/>
  <c r="K677" i="6"/>
  <c r="J677" i="6"/>
  <c r="I677" i="6"/>
  <c r="H677" i="6"/>
  <c r="G677" i="6"/>
  <c r="J676" i="6"/>
  <c r="K676" i="6" s="1"/>
  <c r="L676" i="6" s="1"/>
  <c r="M676" i="6" s="1"/>
  <c r="G676" i="6"/>
  <c r="H676" i="6" s="1"/>
  <c r="I676" i="6" s="1"/>
  <c r="S675" i="6"/>
  <c r="I675" i="6"/>
  <c r="J675" i="6" s="1"/>
  <c r="K675" i="6" s="1"/>
  <c r="L675" i="6" s="1"/>
  <c r="M675" i="6" s="1"/>
  <c r="H675" i="6"/>
  <c r="G675" i="6"/>
  <c r="L672" i="6"/>
  <c r="M672" i="6" s="1"/>
  <c r="M671" i="6"/>
  <c r="L671" i="6"/>
  <c r="L670" i="6"/>
  <c r="L669" i="6"/>
  <c r="M669" i="6" s="1"/>
  <c r="L668" i="6"/>
  <c r="M667" i="6"/>
  <c r="L667" i="6"/>
  <c r="L666" i="6"/>
  <c r="M665" i="6"/>
  <c r="L665" i="6"/>
  <c r="L664" i="6"/>
  <c r="K663" i="6"/>
  <c r="J663" i="6"/>
  <c r="I663" i="6"/>
  <c r="H663" i="6"/>
  <c r="G663" i="6"/>
  <c r="K661" i="6"/>
  <c r="J661" i="6"/>
  <c r="I661" i="6"/>
  <c r="H661" i="6"/>
  <c r="G661" i="6"/>
  <c r="J660" i="6"/>
  <c r="K660" i="6" s="1"/>
  <c r="L660" i="6" s="1"/>
  <c r="M660" i="6" s="1"/>
  <c r="G660" i="6"/>
  <c r="H660" i="6" s="1"/>
  <c r="I660" i="6" s="1"/>
  <c r="U659" i="6"/>
  <c r="S659" i="6"/>
  <c r="G659" i="6"/>
  <c r="H659" i="6" s="1"/>
  <c r="I659" i="6" s="1"/>
  <c r="J659" i="6" s="1"/>
  <c r="K659" i="6" s="1"/>
  <c r="L659" i="6" s="1"/>
  <c r="M659" i="6" s="1"/>
  <c r="L656" i="6"/>
  <c r="M656" i="6" s="1"/>
  <c r="M655" i="6"/>
  <c r="L655" i="6"/>
  <c r="L654" i="6"/>
  <c r="M653" i="6"/>
  <c r="L653" i="6"/>
  <c r="L652" i="6"/>
  <c r="M651" i="6"/>
  <c r="L651" i="6"/>
  <c r="L650" i="6"/>
  <c r="L649" i="6"/>
  <c r="M649" i="6" s="1"/>
  <c r="L648" i="6"/>
  <c r="K647" i="6"/>
  <c r="J647" i="6"/>
  <c r="I647" i="6"/>
  <c r="H647" i="6"/>
  <c r="G647" i="6"/>
  <c r="K645" i="6"/>
  <c r="J645" i="6"/>
  <c r="I645" i="6"/>
  <c r="H645" i="6"/>
  <c r="G645" i="6"/>
  <c r="J644" i="6"/>
  <c r="K644" i="6" s="1"/>
  <c r="L644" i="6" s="1"/>
  <c r="M644" i="6" s="1"/>
  <c r="G644" i="6"/>
  <c r="H644" i="6" s="1"/>
  <c r="I644" i="6" s="1"/>
  <c r="S643" i="6"/>
  <c r="H643" i="6"/>
  <c r="I643" i="6" s="1"/>
  <c r="J643" i="6" s="1"/>
  <c r="K643" i="6" s="1"/>
  <c r="L643" i="6" s="1"/>
  <c r="M643" i="6" s="1"/>
  <c r="G643" i="6"/>
  <c r="L640" i="6"/>
  <c r="M640" i="6" s="1"/>
  <c r="L639" i="6"/>
  <c r="M639" i="6" s="1"/>
  <c r="L638" i="6"/>
  <c r="L637" i="6"/>
  <c r="M637" i="6" s="1"/>
  <c r="L636" i="6"/>
  <c r="L635" i="6"/>
  <c r="M635" i="6" s="1"/>
  <c r="L634" i="6"/>
  <c r="M633" i="6"/>
  <c r="L633" i="6"/>
  <c r="L632" i="6"/>
  <c r="U627" i="6" s="1"/>
  <c r="K631" i="6"/>
  <c r="J631" i="6"/>
  <c r="I631" i="6"/>
  <c r="H631" i="6"/>
  <c r="G631" i="6"/>
  <c r="K629" i="6"/>
  <c r="J629" i="6"/>
  <c r="I629" i="6"/>
  <c r="H629" i="6"/>
  <c r="G629" i="6"/>
  <c r="J628" i="6"/>
  <c r="K628" i="6" s="1"/>
  <c r="L628" i="6" s="1"/>
  <c r="M628" i="6" s="1"/>
  <c r="G628" i="6"/>
  <c r="H628" i="6" s="1"/>
  <c r="I628" i="6" s="1"/>
  <c r="S627" i="6"/>
  <c r="I627" i="6"/>
  <c r="J627" i="6" s="1"/>
  <c r="K627" i="6" s="1"/>
  <c r="L627" i="6" s="1"/>
  <c r="M627" i="6" s="1"/>
  <c r="H627" i="6"/>
  <c r="G627" i="6"/>
  <c r="L624" i="6"/>
  <c r="M624" i="6" s="1"/>
  <c r="L623" i="6"/>
  <c r="M623" i="6" s="1"/>
  <c r="L622" i="6"/>
  <c r="M621" i="6"/>
  <c r="L621" i="6"/>
  <c r="L620" i="6"/>
  <c r="L619" i="6"/>
  <c r="M619" i="6" s="1"/>
  <c r="L618" i="6"/>
  <c r="L617" i="6"/>
  <c r="M617" i="6" s="1"/>
  <c r="L616" i="6"/>
  <c r="U611" i="6" s="1"/>
  <c r="K615" i="6"/>
  <c r="J615" i="6"/>
  <c r="I615" i="6"/>
  <c r="H615" i="6"/>
  <c r="G615" i="6"/>
  <c r="K613" i="6"/>
  <c r="J613" i="6"/>
  <c r="I613" i="6"/>
  <c r="H613" i="6"/>
  <c r="G613" i="6"/>
  <c r="G612" i="6"/>
  <c r="H612" i="6" s="1"/>
  <c r="I612" i="6" s="1"/>
  <c r="J612" i="6" s="1"/>
  <c r="K612" i="6" s="1"/>
  <c r="L612" i="6" s="1"/>
  <c r="M612" i="6" s="1"/>
  <c r="S611" i="6"/>
  <c r="G611" i="6"/>
  <c r="H611" i="6" s="1"/>
  <c r="I611" i="6" s="1"/>
  <c r="J611" i="6" s="1"/>
  <c r="K611" i="6" s="1"/>
  <c r="L611" i="6" s="1"/>
  <c r="M611" i="6" s="1"/>
  <c r="L608" i="6"/>
  <c r="M608" i="6" s="1"/>
  <c r="L607" i="6"/>
  <c r="M607" i="6" s="1"/>
  <c r="L606" i="6"/>
  <c r="M605" i="6"/>
  <c r="L605" i="6"/>
  <c r="L604" i="6"/>
  <c r="M603" i="6"/>
  <c r="L603" i="6"/>
  <c r="L602" i="6"/>
  <c r="L601" i="6"/>
  <c r="M601" i="6" s="1"/>
  <c r="L600" i="6"/>
  <c r="U595" i="6" s="1"/>
  <c r="K599" i="6"/>
  <c r="J599" i="6"/>
  <c r="I599" i="6"/>
  <c r="H599" i="6"/>
  <c r="G599" i="6"/>
  <c r="K597" i="6"/>
  <c r="J597" i="6"/>
  <c r="I597" i="6"/>
  <c r="H597" i="6"/>
  <c r="G597" i="6"/>
  <c r="J596" i="6"/>
  <c r="K596" i="6" s="1"/>
  <c r="L596" i="6" s="1"/>
  <c r="M596" i="6" s="1"/>
  <c r="G596" i="6"/>
  <c r="H596" i="6" s="1"/>
  <c r="I596" i="6" s="1"/>
  <c r="S595" i="6"/>
  <c r="I595" i="6"/>
  <c r="J595" i="6" s="1"/>
  <c r="K595" i="6" s="1"/>
  <c r="L595" i="6" s="1"/>
  <c r="M595" i="6" s="1"/>
  <c r="H595" i="6"/>
  <c r="G595" i="6"/>
  <c r="L592" i="6"/>
  <c r="M592" i="6" s="1"/>
  <c r="L591" i="6"/>
  <c r="M591" i="6" s="1"/>
  <c r="L590" i="6"/>
  <c r="L589" i="6"/>
  <c r="M589" i="6" s="1"/>
  <c r="L588" i="6"/>
  <c r="L587" i="6"/>
  <c r="M587" i="6" s="1"/>
  <c r="L586" i="6"/>
  <c r="L585" i="6"/>
  <c r="M585" i="6" s="1"/>
  <c r="L584" i="6"/>
  <c r="K583" i="6"/>
  <c r="J583" i="6"/>
  <c r="I583" i="6"/>
  <c r="H583" i="6"/>
  <c r="G583" i="6"/>
  <c r="K581" i="6"/>
  <c r="J581" i="6"/>
  <c r="I581" i="6"/>
  <c r="H581" i="6"/>
  <c r="G581" i="6"/>
  <c r="J580" i="6"/>
  <c r="K580" i="6" s="1"/>
  <c r="L580" i="6" s="1"/>
  <c r="M580" i="6" s="1"/>
  <c r="G580" i="6"/>
  <c r="H580" i="6" s="1"/>
  <c r="I580" i="6" s="1"/>
  <c r="S579" i="6"/>
  <c r="I579" i="6"/>
  <c r="J579" i="6" s="1"/>
  <c r="K579" i="6" s="1"/>
  <c r="L579" i="6" s="1"/>
  <c r="M579" i="6" s="1"/>
  <c r="H579" i="6"/>
  <c r="G579" i="6"/>
  <c r="L576" i="6"/>
  <c r="M576" i="6" s="1"/>
  <c r="L575" i="6"/>
  <c r="M575" i="6" s="1"/>
  <c r="L574" i="6"/>
  <c r="M573" i="6"/>
  <c r="L573" i="6"/>
  <c r="L572" i="6"/>
  <c r="L571" i="6"/>
  <c r="M571" i="6" s="1"/>
  <c r="L570" i="6"/>
  <c r="L569" i="6"/>
  <c r="M569" i="6" s="1"/>
  <c r="L568" i="6"/>
  <c r="U563" i="6" s="1"/>
  <c r="K567" i="6"/>
  <c r="J567" i="6"/>
  <c r="I567" i="6"/>
  <c r="H567" i="6"/>
  <c r="G567" i="6"/>
  <c r="K565" i="6"/>
  <c r="J565" i="6"/>
  <c r="I565" i="6"/>
  <c r="H565" i="6"/>
  <c r="G565" i="6"/>
  <c r="G564" i="6"/>
  <c r="H564" i="6" s="1"/>
  <c r="I564" i="6" s="1"/>
  <c r="J564" i="6" s="1"/>
  <c r="K564" i="6" s="1"/>
  <c r="L564" i="6" s="1"/>
  <c r="M564" i="6" s="1"/>
  <c r="S563" i="6"/>
  <c r="H563" i="6"/>
  <c r="I563" i="6" s="1"/>
  <c r="J563" i="6" s="1"/>
  <c r="K563" i="6" s="1"/>
  <c r="L563" i="6" s="1"/>
  <c r="M563" i="6" s="1"/>
  <c r="G563" i="6"/>
  <c r="L560" i="6"/>
  <c r="M560" i="6" s="1"/>
  <c r="L559" i="6"/>
  <c r="M559" i="6" s="1"/>
  <c r="L558" i="6"/>
  <c r="L557" i="6"/>
  <c r="M557" i="6" s="1"/>
  <c r="L556" i="6"/>
  <c r="L555" i="6"/>
  <c r="M555" i="6" s="1"/>
  <c r="L554" i="6"/>
  <c r="M553" i="6"/>
  <c r="L553" i="6"/>
  <c r="L552" i="6"/>
  <c r="K551" i="6"/>
  <c r="J551" i="6"/>
  <c r="I551" i="6"/>
  <c r="H551" i="6"/>
  <c r="G551" i="6"/>
  <c r="K549" i="6"/>
  <c r="J549" i="6"/>
  <c r="I549" i="6"/>
  <c r="H549" i="6"/>
  <c r="G549" i="6"/>
  <c r="J548" i="6"/>
  <c r="K548" i="6" s="1"/>
  <c r="L548" i="6" s="1"/>
  <c r="M548" i="6" s="1"/>
  <c r="G548" i="6"/>
  <c r="H548" i="6" s="1"/>
  <c r="I548" i="6" s="1"/>
  <c r="S547" i="6"/>
  <c r="I547" i="6"/>
  <c r="J547" i="6" s="1"/>
  <c r="K547" i="6" s="1"/>
  <c r="L547" i="6" s="1"/>
  <c r="M547" i="6" s="1"/>
  <c r="H547" i="6"/>
  <c r="G547" i="6"/>
  <c r="L544" i="6"/>
  <c r="M544" i="6" s="1"/>
  <c r="M543" i="6"/>
  <c r="L543" i="6"/>
  <c r="L542" i="6"/>
  <c r="L541" i="6"/>
  <c r="M541" i="6" s="1"/>
  <c r="L540" i="6"/>
  <c r="M539" i="6"/>
  <c r="L539" i="6"/>
  <c r="L538" i="6"/>
  <c r="M537" i="6"/>
  <c r="L537" i="6"/>
  <c r="L536" i="6"/>
  <c r="K535" i="6"/>
  <c r="J535" i="6"/>
  <c r="I535" i="6"/>
  <c r="H535" i="6"/>
  <c r="G535" i="6"/>
  <c r="K533" i="6"/>
  <c r="J533" i="6"/>
  <c r="I533" i="6"/>
  <c r="H533" i="6"/>
  <c r="G533" i="6"/>
  <c r="J532" i="6"/>
  <c r="K532" i="6" s="1"/>
  <c r="L532" i="6" s="1"/>
  <c r="M532" i="6" s="1"/>
  <c r="G532" i="6"/>
  <c r="H532" i="6" s="1"/>
  <c r="I532" i="6" s="1"/>
  <c r="U531" i="6"/>
  <c r="S531" i="6"/>
  <c r="G531" i="6"/>
  <c r="H531" i="6" s="1"/>
  <c r="I531" i="6" s="1"/>
  <c r="J531" i="6" s="1"/>
  <c r="K531" i="6" s="1"/>
  <c r="L531" i="6" s="1"/>
  <c r="M531" i="6" s="1"/>
  <c r="L528" i="6"/>
  <c r="M528" i="6" s="1"/>
  <c r="L527" i="6"/>
  <c r="M527" i="6" s="1"/>
  <c r="L526" i="6"/>
  <c r="M525" i="6"/>
  <c r="L525" i="6"/>
  <c r="L524" i="6"/>
  <c r="L523" i="6"/>
  <c r="M523" i="6" s="1"/>
  <c r="L522" i="6"/>
  <c r="L521" i="6"/>
  <c r="M521" i="6" s="1"/>
  <c r="L520" i="6"/>
  <c r="K519" i="6"/>
  <c r="J519" i="6"/>
  <c r="I519" i="6"/>
  <c r="H519" i="6"/>
  <c r="G519" i="6"/>
  <c r="K517" i="6"/>
  <c r="J517" i="6"/>
  <c r="I517" i="6"/>
  <c r="H517" i="6"/>
  <c r="G517" i="6"/>
  <c r="J516" i="6"/>
  <c r="K516" i="6" s="1"/>
  <c r="L516" i="6" s="1"/>
  <c r="M516" i="6" s="1"/>
  <c r="G516" i="6"/>
  <c r="H516" i="6" s="1"/>
  <c r="I516" i="6" s="1"/>
  <c r="S515" i="6"/>
  <c r="H515" i="6"/>
  <c r="I515" i="6" s="1"/>
  <c r="J515" i="6" s="1"/>
  <c r="K515" i="6" s="1"/>
  <c r="L515" i="6" s="1"/>
  <c r="M515" i="6" s="1"/>
  <c r="G515" i="6"/>
  <c r="L512" i="6"/>
  <c r="M512" i="6" s="1"/>
  <c r="L511" i="6"/>
  <c r="M511" i="6" s="1"/>
  <c r="L510" i="6"/>
  <c r="M509" i="6"/>
  <c r="L509" i="6"/>
  <c r="L508" i="6"/>
  <c r="L507" i="6"/>
  <c r="M507" i="6" s="1"/>
  <c r="L506" i="6"/>
  <c r="M505" i="6"/>
  <c r="L505" i="6"/>
  <c r="L504" i="6"/>
  <c r="U499" i="6" s="1"/>
  <c r="K503" i="6"/>
  <c r="J503" i="6"/>
  <c r="I503" i="6"/>
  <c r="H503" i="6"/>
  <c r="G503" i="6"/>
  <c r="K501" i="6"/>
  <c r="J501" i="6"/>
  <c r="I501" i="6"/>
  <c r="H501" i="6"/>
  <c r="G501" i="6"/>
  <c r="J500" i="6"/>
  <c r="K500" i="6" s="1"/>
  <c r="L500" i="6" s="1"/>
  <c r="M500" i="6" s="1"/>
  <c r="G500" i="6"/>
  <c r="H500" i="6" s="1"/>
  <c r="I500" i="6" s="1"/>
  <c r="S499" i="6"/>
  <c r="I499" i="6"/>
  <c r="J499" i="6" s="1"/>
  <c r="K499" i="6" s="1"/>
  <c r="L499" i="6" s="1"/>
  <c r="M499" i="6" s="1"/>
  <c r="H499" i="6"/>
  <c r="G499" i="6"/>
  <c r="L496" i="6"/>
  <c r="M496" i="6" s="1"/>
  <c r="L495" i="6"/>
  <c r="M495" i="6" s="1"/>
  <c r="L494" i="6"/>
  <c r="M493" i="6"/>
  <c r="L493" i="6"/>
  <c r="L492" i="6"/>
  <c r="L491" i="6"/>
  <c r="M491" i="6" s="1"/>
  <c r="L490" i="6"/>
  <c r="M489" i="6"/>
  <c r="L489" i="6"/>
  <c r="L488" i="6"/>
  <c r="U483" i="6" s="1"/>
  <c r="K487" i="6"/>
  <c r="J487" i="6"/>
  <c r="I487" i="6"/>
  <c r="H487" i="6"/>
  <c r="G487" i="6"/>
  <c r="K485" i="6"/>
  <c r="J485" i="6"/>
  <c r="I485" i="6"/>
  <c r="H485" i="6"/>
  <c r="G485" i="6"/>
  <c r="G484" i="6"/>
  <c r="H484" i="6" s="1"/>
  <c r="I484" i="6" s="1"/>
  <c r="J484" i="6" s="1"/>
  <c r="K484" i="6" s="1"/>
  <c r="L484" i="6" s="1"/>
  <c r="M484" i="6" s="1"/>
  <c r="S483" i="6"/>
  <c r="H483" i="6"/>
  <c r="I483" i="6" s="1"/>
  <c r="J483" i="6" s="1"/>
  <c r="K483" i="6" s="1"/>
  <c r="L483" i="6" s="1"/>
  <c r="M483" i="6" s="1"/>
  <c r="G483" i="6"/>
  <c r="L480" i="6"/>
  <c r="M480" i="6" s="1"/>
  <c r="L479" i="6"/>
  <c r="M479" i="6" s="1"/>
  <c r="L478" i="6"/>
  <c r="L477" i="6"/>
  <c r="M477" i="6" s="1"/>
  <c r="L476" i="6"/>
  <c r="L475" i="6"/>
  <c r="M475" i="6" s="1"/>
  <c r="L474" i="6"/>
  <c r="M473" i="6"/>
  <c r="L473" i="6"/>
  <c r="L472" i="6"/>
  <c r="K471" i="6"/>
  <c r="J471" i="6"/>
  <c r="I471" i="6"/>
  <c r="H471" i="6"/>
  <c r="G471" i="6"/>
  <c r="K469" i="6"/>
  <c r="J469" i="6"/>
  <c r="I469" i="6"/>
  <c r="H469" i="6"/>
  <c r="G469" i="6"/>
  <c r="J468" i="6"/>
  <c r="K468" i="6" s="1"/>
  <c r="L468" i="6" s="1"/>
  <c r="M468" i="6" s="1"/>
  <c r="G468" i="6"/>
  <c r="H468" i="6" s="1"/>
  <c r="I468" i="6" s="1"/>
  <c r="S467" i="6"/>
  <c r="I467" i="6"/>
  <c r="J467" i="6" s="1"/>
  <c r="K467" i="6" s="1"/>
  <c r="L467" i="6" s="1"/>
  <c r="M467" i="6" s="1"/>
  <c r="H467" i="6"/>
  <c r="G467" i="6"/>
  <c r="L464" i="6"/>
  <c r="M464" i="6" s="1"/>
  <c r="L463" i="6"/>
  <c r="M463" i="6" s="1"/>
  <c r="L462" i="6"/>
  <c r="L461" i="6"/>
  <c r="M461" i="6" s="1"/>
  <c r="L460" i="6"/>
  <c r="L459" i="6"/>
  <c r="M459" i="6" s="1"/>
  <c r="L458" i="6"/>
  <c r="M457" i="6"/>
  <c r="L457" i="6"/>
  <c r="L456" i="6"/>
  <c r="U451" i="6" s="1"/>
  <c r="K455" i="6"/>
  <c r="J455" i="6"/>
  <c r="I455" i="6"/>
  <c r="H455" i="6"/>
  <c r="G455" i="6"/>
  <c r="K453" i="6"/>
  <c r="J453" i="6"/>
  <c r="I453" i="6"/>
  <c r="H453" i="6"/>
  <c r="G453" i="6"/>
  <c r="G452" i="6"/>
  <c r="H452" i="6" s="1"/>
  <c r="I452" i="6" s="1"/>
  <c r="J452" i="6" s="1"/>
  <c r="K452" i="6" s="1"/>
  <c r="L452" i="6" s="1"/>
  <c r="M452" i="6" s="1"/>
  <c r="S451" i="6"/>
  <c r="H451" i="6"/>
  <c r="I451" i="6" s="1"/>
  <c r="J451" i="6" s="1"/>
  <c r="K451" i="6" s="1"/>
  <c r="L451" i="6" s="1"/>
  <c r="M451" i="6" s="1"/>
  <c r="G451" i="6"/>
  <c r="L448" i="6"/>
  <c r="M448" i="6" s="1"/>
  <c r="L447" i="6"/>
  <c r="M447" i="6" s="1"/>
  <c r="L446" i="6"/>
  <c r="W435" i="6" s="1"/>
  <c r="L445" i="6"/>
  <c r="M445" i="6" s="1"/>
  <c r="L444" i="6"/>
  <c r="X435" i="6" s="1"/>
  <c r="L443" i="6"/>
  <c r="M442" i="6"/>
  <c r="L442" i="6"/>
  <c r="L441" i="6"/>
  <c r="M441" i="6" s="1"/>
  <c r="L440" i="6"/>
  <c r="U435" i="6" s="1"/>
  <c r="K439" i="6"/>
  <c r="J439" i="6"/>
  <c r="I439" i="6"/>
  <c r="H439" i="6"/>
  <c r="G439" i="6"/>
  <c r="K437" i="6"/>
  <c r="J437" i="6"/>
  <c r="I437" i="6"/>
  <c r="H437" i="6"/>
  <c r="G437" i="6"/>
  <c r="G436" i="6"/>
  <c r="H436" i="6" s="1"/>
  <c r="I436" i="6" s="1"/>
  <c r="J436" i="6" s="1"/>
  <c r="K436" i="6" s="1"/>
  <c r="L436" i="6" s="1"/>
  <c r="M436" i="6" s="1"/>
  <c r="S435" i="6"/>
  <c r="I435" i="6"/>
  <c r="J435" i="6" s="1"/>
  <c r="K435" i="6" s="1"/>
  <c r="L435" i="6" s="1"/>
  <c r="M435" i="6" s="1"/>
  <c r="H435" i="6"/>
  <c r="G435" i="6"/>
  <c r="L432" i="6"/>
  <c r="M432" i="6" s="1"/>
  <c r="L431" i="6"/>
  <c r="M431" i="6" s="1"/>
  <c r="L430" i="6"/>
  <c r="W419" i="6" s="1"/>
  <c r="L429" i="6"/>
  <c r="M429" i="6" s="1"/>
  <c r="L428" i="6"/>
  <c r="L427" i="6"/>
  <c r="M427" i="6" s="1"/>
  <c r="L426" i="6"/>
  <c r="M426" i="6" s="1"/>
  <c r="L425" i="6"/>
  <c r="M425" i="6" s="1"/>
  <c r="L424" i="6"/>
  <c r="U419" i="6" s="1"/>
  <c r="K423" i="6"/>
  <c r="J423" i="6"/>
  <c r="I423" i="6"/>
  <c r="H423" i="6"/>
  <c r="G423" i="6"/>
  <c r="K421" i="6"/>
  <c r="J421" i="6"/>
  <c r="I421" i="6"/>
  <c r="H421" i="6"/>
  <c r="G421" i="6"/>
  <c r="J420" i="6"/>
  <c r="K420" i="6" s="1"/>
  <c r="L420" i="6" s="1"/>
  <c r="M420" i="6" s="1"/>
  <c r="G420" i="6"/>
  <c r="H420" i="6" s="1"/>
  <c r="I420" i="6" s="1"/>
  <c r="S419" i="6"/>
  <c r="I419" i="6"/>
  <c r="J419" i="6" s="1"/>
  <c r="K419" i="6" s="1"/>
  <c r="L419" i="6" s="1"/>
  <c r="M419" i="6" s="1"/>
  <c r="H419" i="6"/>
  <c r="G419" i="6"/>
  <c r="L416" i="6"/>
  <c r="M416" i="6" s="1"/>
  <c r="L415" i="6"/>
  <c r="M415" i="6" s="1"/>
  <c r="L414" i="6"/>
  <c r="W403" i="6" s="1"/>
  <c r="L413" i="6"/>
  <c r="M413" i="6" s="1"/>
  <c r="L412" i="6"/>
  <c r="X403" i="6" s="1"/>
  <c r="L411" i="6"/>
  <c r="M411" i="6" s="1"/>
  <c r="L410" i="6"/>
  <c r="L409" i="6"/>
  <c r="M409" i="6" s="1"/>
  <c r="L408" i="6"/>
  <c r="K407" i="6"/>
  <c r="J407" i="6"/>
  <c r="I407" i="6"/>
  <c r="H407" i="6"/>
  <c r="G407" i="6"/>
  <c r="K405" i="6"/>
  <c r="J405" i="6"/>
  <c r="I405" i="6"/>
  <c r="H405" i="6"/>
  <c r="G405" i="6"/>
  <c r="J404" i="6"/>
  <c r="K404" i="6" s="1"/>
  <c r="L404" i="6" s="1"/>
  <c r="M404" i="6" s="1"/>
  <c r="G404" i="6"/>
  <c r="H404" i="6" s="1"/>
  <c r="I404" i="6" s="1"/>
  <c r="S403" i="6"/>
  <c r="I403" i="6"/>
  <c r="J403" i="6" s="1"/>
  <c r="K403" i="6" s="1"/>
  <c r="L403" i="6" s="1"/>
  <c r="M403" i="6" s="1"/>
  <c r="H403" i="6"/>
  <c r="G403" i="6"/>
  <c r="L400" i="6"/>
  <c r="M400" i="6" s="1"/>
  <c r="L399" i="6"/>
  <c r="M399" i="6" s="1"/>
  <c r="L398" i="6"/>
  <c r="W387" i="6" s="1"/>
  <c r="L397" i="6"/>
  <c r="M397" i="6" s="1"/>
  <c r="L396" i="6"/>
  <c r="X387" i="6" s="1"/>
  <c r="L395" i="6"/>
  <c r="M395" i="6" s="1"/>
  <c r="L394" i="6"/>
  <c r="L393" i="6"/>
  <c r="M393" i="6" s="1"/>
  <c r="L392" i="6"/>
  <c r="K391" i="6"/>
  <c r="J391" i="6"/>
  <c r="I391" i="6"/>
  <c r="H391" i="6"/>
  <c r="G391" i="6"/>
  <c r="K389" i="6"/>
  <c r="J389" i="6"/>
  <c r="I389" i="6"/>
  <c r="H389" i="6"/>
  <c r="G389" i="6"/>
  <c r="J388" i="6"/>
  <c r="K388" i="6" s="1"/>
  <c r="L388" i="6" s="1"/>
  <c r="M388" i="6" s="1"/>
  <c r="G388" i="6"/>
  <c r="H388" i="6" s="1"/>
  <c r="I388" i="6" s="1"/>
  <c r="S387" i="6"/>
  <c r="I387" i="6"/>
  <c r="J387" i="6" s="1"/>
  <c r="K387" i="6" s="1"/>
  <c r="L387" i="6" s="1"/>
  <c r="M387" i="6" s="1"/>
  <c r="H387" i="6"/>
  <c r="G387" i="6"/>
  <c r="L384" i="6"/>
  <c r="M384" i="6" s="1"/>
  <c r="L383" i="6"/>
  <c r="M383" i="6" s="1"/>
  <c r="L382" i="6"/>
  <c r="W371" i="6" s="1"/>
  <c r="L381" i="6"/>
  <c r="M381" i="6" s="1"/>
  <c r="L380" i="6"/>
  <c r="X371" i="6" s="1"/>
  <c r="L379" i="6"/>
  <c r="M379" i="6" s="1"/>
  <c r="L378" i="6"/>
  <c r="L377" i="6"/>
  <c r="M377" i="6" s="1"/>
  <c r="L376" i="6"/>
  <c r="K375" i="6"/>
  <c r="J375" i="6"/>
  <c r="I375" i="6"/>
  <c r="H375" i="6"/>
  <c r="G375" i="6"/>
  <c r="K373" i="6"/>
  <c r="J373" i="6"/>
  <c r="I373" i="6"/>
  <c r="H373" i="6"/>
  <c r="G373" i="6"/>
  <c r="J372" i="6"/>
  <c r="K372" i="6" s="1"/>
  <c r="L372" i="6" s="1"/>
  <c r="M372" i="6" s="1"/>
  <c r="G372" i="6"/>
  <c r="H372" i="6" s="1"/>
  <c r="I372" i="6" s="1"/>
  <c r="U371" i="6"/>
  <c r="S371" i="6"/>
  <c r="G371" i="6"/>
  <c r="H371" i="6" s="1"/>
  <c r="I371" i="6" s="1"/>
  <c r="J371" i="6" s="1"/>
  <c r="K371" i="6" s="1"/>
  <c r="L371" i="6" s="1"/>
  <c r="M371" i="6" s="1"/>
  <c r="L368" i="6"/>
  <c r="M368" i="6" s="1"/>
  <c r="L367" i="6"/>
  <c r="M367" i="6" s="1"/>
  <c r="L366" i="6"/>
  <c r="W355" i="6" s="1"/>
  <c r="L365" i="6"/>
  <c r="M365" i="6" s="1"/>
  <c r="L364" i="6"/>
  <c r="X355" i="6" s="1"/>
  <c r="L363" i="6"/>
  <c r="M363" i="6" s="1"/>
  <c r="L362" i="6"/>
  <c r="M362" i="6" s="1"/>
  <c r="L361" i="6"/>
  <c r="M361" i="6" s="1"/>
  <c r="L360" i="6"/>
  <c r="K359" i="6"/>
  <c r="J359" i="6"/>
  <c r="I359" i="6"/>
  <c r="H359" i="6"/>
  <c r="G359" i="6"/>
  <c r="K357" i="6"/>
  <c r="J357" i="6"/>
  <c r="I357" i="6"/>
  <c r="H357" i="6"/>
  <c r="G357" i="6"/>
  <c r="J356" i="6"/>
  <c r="K356" i="6" s="1"/>
  <c r="L356" i="6" s="1"/>
  <c r="M356" i="6" s="1"/>
  <c r="G356" i="6"/>
  <c r="H356" i="6" s="1"/>
  <c r="I356" i="6" s="1"/>
  <c r="S355" i="6"/>
  <c r="H355" i="6"/>
  <c r="I355" i="6" s="1"/>
  <c r="J355" i="6" s="1"/>
  <c r="K355" i="6" s="1"/>
  <c r="L355" i="6" s="1"/>
  <c r="M355" i="6" s="1"/>
  <c r="G355" i="6"/>
  <c r="L352" i="6"/>
  <c r="M352" i="6" s="1"/>
  <c r="L351" i="6"/>
  <c r="M351" i="6" s="1"/>
  <c r="L350" i="6"/>
  <c r="L349" i="6"/>
  <c r="M349" i="6" s="1"/>
  <c r="L348" i="6"/>
  <c r="X339" i="6" s="1"/>
  <c r="L347" i="6"/>
  <c r="L346" i="6"/>
  <c r="M346" i="6" s="1"/>
  <c r="L345" i="6"/>
  <c r="M345" i="6" s="1"/>
  <c r="L344" i="6"/>
  <c r="L343" i="6" s="1"/>
  <c r="K343" i="6"/>
  <c r="J343" i="6"/>
  <c r="I343" i="6"/>
  <c r="H343" i="6"/>
  <c r="G343" i="6"/>
  <c r="K341" i="6"/>
  <c r="J341" i="6"/>
  <c r="I341" i="6"/>
  <c r="H341" i="6"/>
  <c r="G341" i="6"/>
  <c r="G340" i="6"/>
  <c r="H340" i="6" s="1"/>
  <c r="I340" i="6" s="1"/>
  <c r="J340" i="6" s="1"/>
  <c r="K340" i="6" s="1"/>
  <c r="L340" i="6" s="1"/>
  <c r="M340" i="6" s="1"/>
  <c r="S339" i="6"/>
  <c r="H339" i="6"/>
  <c r="I339" i="6" s="1"/>
  <c r="J339" i="6" s="1"/>
  <c r="K339" i="6" s="1"/>
  <c r="L339" i="6" s="1"/>
  <c r="M339" i="6" s="1"/>
  <c r="G339" i="6"/>
  <c r="L336" i="6"/>
  <c r="M336" i="6" s="1"/>
  <c r="L335" i="6"/>
  <c r="M335" i="6" s="1"/>
  <c r="L334" i="6"/>
  <c r="L333" i="6"/>
  <c r="M333" i="6" s="1"/>
  <c r="L332" i="6"/>
  <c r="X323" i="6" s="1"/>
  <c r="L331" i="6"/>
  <c r="L330" i="6"/>
  <c r="M330" i="6" s="1"/>
  <c r="L329" i="6"/>
  <c r="M329" i="6" s="1"/>
  <c r="L328" i="6"/>
  <c r="K327" i="6"/>
  <c r="J327" i="6"/>
  <c r="I327" i="6"/>
  <c r="H327" i="6"/>
  <c r="G327" i="6"/>
  <c r="K325" i="6"/>
  <c r="J325" i="6"/>
  <c r="I325" i="6"/>
  <c r="H325" i="6"/>
  <c r="G325" i="6"/>
  <c r="G324" i="6"/>
  <c r="H324" i="6" s="1"/>
  <c r="I324" i="6" s="1"/>
  <c r="J324" i="6" s="1"/>
  <c r="K324" i="6" s="1"/>
  <c r="L324" i="6" s="1"/>
  <c r="M324" i="6" s="1"/>
  <c r="S323" i="6"/>
  <c r="I323" i="6"/>
  <c r="J323" i="6" s="1"/>
  <c r="K323" i="6" s="1"/>
  <c r="L323" i="6" s="1"/>
  <c r="M323" i="6" s="1"/>
  <c r="H323" i="6"/>
  <c r="G323" i="6"/>
  <c r="L320" i="6"/>
  <c r="M320" i="6" s="1"/>
  <c r="L319" i="6"/>
  <c r="M319" i="6" s="1"/>
  <c r="L318" i="6"/>
  <c r="L317" i="6"/>
  <c r="M317" i="6" s="1"/>
  <c r="L316" i="6"/>
  <c r="X307" i="6" s="1"/>
  <c r="L315" i="6"/>
  <c r="M315" i="6" s="1"/>
  <c r="L314" i="6"/>
  <c r="L313" i="6"/>
  <c r="M313" i="6" s="1"/>
  <c r="L312" i="6"/>
  <c r="K311" i="6"/>
  <c r="J311" i="6"/>
  <c r="I311" i="6"/>
  <c r="H311" i="6"/>
  <c r="G311" i="6"/>
  <c r="K309" i="6"/>
  <c r="J309" i="6"/>
  <c r="I309" i="6"/>
  <c r="H309" i="6"/>
  <c r="G309" i="6"/>
  <c r="J308" i="6"/>
  <c r="K308" i="6" s="1"/>
  <c r="L308" i="6" s="1"/>
  <c r="M308" i="6" s="1"/>
  <c r="G308" i="6"/>
  <c r="H308" i="6" s="1"/>
  <c r="I308" i="6" s="1"/>
  <c r="S307" i="6"/>
  <c r="I307" i="6"/>
  <c r="J307" i="6" s="1"/>
  <c r="K307" i="6" s="1"/>
  <c r="L307" i="6" s="1"/>
  <c r="M307" i="6" s="1"/>
  <c r="H307" i="6"/>
  <c r="G307" i="6"/>
  <c r="L304" i="6"/>
  <c r="M304" i="6" s="1"/>
  <c r="L303" i="6"/>
  <c r="M303" i="6" s="1"/>
  <c r="L302" i="6"/>
  <c r="L301" i="6"/>
  <c r="M301" i="6" s="1"/>
  <c r="L300" i="6"/>
  <c r="X291" i="6" s="1"/>
  <c r="L299" i="6"/>
  <c r="M299" i="6" s="1"/>
  <c r="L298" i="6"/>
  <c r="L297" i="6"/>
  <c r="M297" i="6" s="1"/>
  <c r="M296" i="6"/>
  <c r="L296" i="6"/>
  <c r="K295" i="6"/>
  <c r="J295" i="6"/>
  <c r="I295" i="6"/>
  <c r="H295" i="6"/>
  <c r="G295" i="6"/>
  <c r="K293" i="6"/>
  <c r="J293" i="6"/>
  <c r="I293" i="6"/>
  <c r="H293" i="6"/>
  <c r="G293" i="6"/>
  <c r="G292" i="6"/>
  <c r="H292" i="6" s="1"/>
  <c r="I292" i="6" s="1"/>
  <c r="J292" i="6" s="1"/>
  <c r="K292" i="6" s="1"/>
  <c r="L292" i="6" s="1"/>
  <c r="M292" i="6" s="1"/>
  <c r="S291" i="6"/>
  <c r="I291" i="6"/>
  <c r="J291" i="6" s="1"/>
  <c r="K291" i="6" s="1"/>
  <c r="L291" i="6" s="1"/>
  <c r="M291" i="6" s="1"/>
  <c r="H291" i="6"/>
  <c r="G291" i="6"/>
  <c r="L288" i="6"/>
  <c r="M288" i="6" s="1"/>
  <c r="L287" i="6"/>
  <c r="M287" i="6" s="1"/>
  <c r="L286" i="6"/>
  <c r="L285" i="6"/>
  <c r="M285" i="6" s="1"/>
  <c r="L284" i="6"/>
  <c r="L283" i="6"/>
  <c r="M283" i="6" s="1"/>
  <c r="L282" i="6"/>
  <c r="M282" i="6" s="1"/>
  <c r="L281" i="6"/>
  <c r="M281" i="6" s="1"/>
  <c r="L280" i="6"/>
  <c r="U275" i="6" s="1"/>
  <c r="K279" i="6"/>
  <c r="J279" i="6"/>
  <c r="I279" i="6"/>
  <c r="H279" i="6"/>
  <c r="G279" i="6"/>
  <c r="K277" i="6"/>
  <c r="J277" i="6"/>
  <c r="I277" i="6"/>
  <c r="H277" i="6"/>
  <c r="G277" i="6"/>
  <c r="J276" i="6"/>
  <c r="K276" i="6" s="1"/>
  <c r="L276" i="6" s="1"/>
  <c r="M276" i="6" s="1"/>
  <c r="G276" i="6"/>
  <c r="H276" i="6" s="1"/>
  <c r="I276" i="6" s="1"/>
  <c r="S275" i="6"/>
  <c r="I275" i="6"/>
  <c r="J275" i="6" s="1"/>
  <c r="K275" i="6" s="1"/>
  <c r="L275" i="6" s="1"/>
  <c r="M275" i="6" s="1"/>
  <c r="H275" i="6"/>
  <c r="G275" i="6"/>
  <c r="L272" i="6"/>
  <c r="M272" i="6" s="1"/>
  <c r="L271" i="6"/>
  <c r="M271" i="6" s="1"/>
  <c r="L270" i="6"/>
  <c r="L269" i="6"/>
  <c r="M269" i="6" s="1"/>
  <c r="L268" i="6"/>
  <c r="X259" i="6" s="1"/>
  <c r="L267" i="6"/>
  <c r="M267" i="6" s="1"/>
  <c r="L266" i="6"/>
  <c r="L265" i="6"/>
  <c r="M265" i="6" s="1"/>
  <c r="L264" i="6"/>
  <c r="K263" i="6"/>
  <c r="J263" i="6"/>
  <c r="I263" i="6"/>
  <c r="H263" i="6"/>
  <c r="G263" i="6"/>
  <c r="K261" i="6"/>
  <c r="J261" i="6"/>
  <c r="I261" i="6"/>
  <c r="H261" i="6"/>
  <c r="G261" i="6"/>
  <c r="J260" i="6"/>
  <c r="K260" i="6" s="1"/>
  <c r="L260" i="6" s="1"/>
  <c r="M260" i="6" s="1"/>
  <c r="G260" i="6"/>
  <c r="H260" i="6" s="1"/>
  <c r="I260" i="6" s="1"/>
  <c r="S259" i="6"/>
  <c r="G259" i="6"/>
  <c r="H259" i="6" s="1"/>
  <c r="I259" i="6" s="1"/>
  <c r="J259" i="6" s="1"/>
  <c r="K259" i="6" s="1"/>
  <c r="L259" i="6" s="1"/>
  <c r="M259" i="6" s="1"/>
  <c r="L256" i="6"/>
  <c r="M256" i="6" s="1"/>
  <c r="L255" i="6"/>
  <c r="M255" i="6" s="1"/>
  <c r="L254" i="6"/>
  <c r="L253" i="6"/>
  <c r="M253" i="6" s="1"/>
  <c r="M252" i="6"/>
  <c r="L252" i="6"/>
  <c r="X243" i="6" s="1"/>
  <c r="L251" i="6"/>
  <c r="L250" i="6"/>
  <c r="M250" i="6" s="1"/>
  <c r="L249" i="6"/>
  <c r="M249" i="6" s="1"/>
  <c r="L248" i="6"/>
  <c r="K247" i="6"/>
  <c r="J247" i="6"/>
  <c r="I247" i="6"/>
  <c r="H247" i="6"/>
  <c r="G247" i="6"/>
  <c r="K245" i="6"/>
  <c r="J245" i="6"/>
  <c r="I245" i="6"/>
  <c r="H245" i="6"/>
  <c r="G245" i="6"/>
  <c r="G244" i="6"/>
  <c r="H244" i="6" s="1"/>
  <c r="I244" i="6" s="1"/>
  <c r="J244" i="6" s="1"/>
  <c r="K244" i="6" s="1"/>
  <c r="L244" i="6" s="1"/>
  <c r="M244" i="6" s="1"/>
  <c r="S243" i="6"/>
  <c r="G243" i="6"/>
  <c r="H243" i="6" s="1"/>
  <c r="I243" i="6" s="1"/>
  <c r="J243" i="6" s="1"/>
  <c r="K243" i="6" s="1"/>
  <c r="L243" i="6" s="1"/>
  <c r="M243" i="6" s="1"/>
  <c r="L240" i="6"/>
  <c r="M240" i="6" s="1"/>
  <c r="L239" i="6"/>
  <c r="M239" i="6" s="1"/>
  <c r="L238" i="6"/>
  <c r="W227" i="6" s="1"/>
  <c r="M237" i="6"/>
  <c r="L237" i="6"/>
  <c r="L236" i="6"/>
  <c r="X227" i="6" s="1"/>
  <c r="L235" i="6"/>
  <c r="M235" i="6" s="1"/>
  <c r="L234" i="6"/>
  <c r="M234" i="6" s="1"/>
  <c r="L233" i="6"/>
  <c r="L232" i="6"/>
  <c r="K231" i="6"/>
  <c r="J231" i="6"/>
  <c r="I231" i="6"/>
  <c r="H231" i="6"/>
  <c r="G231" i="6"/>
  <c r="K229" i="6"/>
  <c r="J229" i="6"/>
  <c r="I229" i="6"/>
  <c r="H229" i="6"/>
  <c r="G229" i="6"/>
  <c r="G228" i="6"/>
  <c r="H228" i="6" s="1"/>
  <c r="I228" i="6" s="1"/>
  <c r="J228" i="6" s="1"/>
  <c r="K228" i="6" s="1"/>
  <c r="L228" i="6" s="1"/>
  <c r="M228" i="6" s="1"/>
  <c r="S227" i="6"/>
  <c r="G227" i="6"/>
  <c r="H227" i="6" s="1"/>
  <c r="I227" i="6" s="1"/>
  <c r="J227" i="6" s="1"/>
  <c r="K227" i="6" s="1"/>
  <c r="L227" i="6" s="1"/>
  <c r="M227" i="6" s="1"/>
  <c r="L224" i="6"/>
  <c r="M224" i="6" s="1"/>
  <c r="L223" i="6"/>
  <c r="M223" i="6" s="1"/>
  <c r="L222" i="6"/>
  <c r="W211" i="6" s="1"/>
  <c r="M221" i="6"/>
  <c r="L221" i="6"/>
  <c r="L220" i="6"/>
  <c r="X211" i="6" s="1"/>
  <c r="M219" i="6"/>
  <c r="L219" i="6"/>
  <c r="L218" i="6"/>
  <c r="M218" i="6" s="1"/>
  <c r="L217" i="6"/>
  <c r="L216" i="6"/>
  <c r="K215" i="6"/>
  <c r="J215" i="6"/>
  <c r="I215" i="6"/>
  <c r="H215" i="6"/>
  <c r="G215" i="6"/>
  <c r="K213" i="6"/>
  <c r="J213" i="6"/>
  <c r="I213" i="6"/>
  <c r="H213" i="6"/>
  <c r="G213" i="6"/>
  <c r="G212" i="6"/>
  <c r="H212" i="6" s="1"/>
  <c r="I212" i="6" s="1"/>
  <c r="J212" i="6" s="1"/>
  <c r="K212" i="6" s="1"/>
  <c r="L212" i="6" s="1"/>
  <c r="M212" i="6" s="1"/>
  <c r="S211" i="6"/>
  <c r="G211" i="6"/>
  <c r="H211" i="6" s="1"/>
  <c r="I211" i="6" s="1"/>
  <c r="J211" i="6" s="1"/>
  <c r="K211" i="6" s="1"/>
  <c r="L211" i="6" s="1"/>
  <c r="M211" i="6" s="1"/>
  <c r="L208" i="6"/>
  <c r="M208" i="6" s="1"/>
  <c r="L207" i="6"/>
  <c r="M207" i="6" s="1"/>
  <c r="L206" i="6"/>
  <c r="W195" i="6" s="1"/>
  <c r="L205" i="6"/>
  <c r="M205" i="6" s="1"/>
  <c r="L204" i="6"/>
  <c r="X195" i="6" s="1"/>
  <c r="L203" i="6"/>
  <c r="M203" i="6" s="1"/>
  <c r="L202" i="6"/>
  <c r="M202" i="6" s="1"/>
  <c r="L201" i="6"/>
  <c r="L200" i="6"/>
  <c r="K199" i="6"/>
  <c r="J199" i="6"/>
  <c r="I199" i="6"/>
  <c r="H199" i="6"/>
  <c r="G199" i="6"/>
  <c r="K197" i="6"/>
  <c r="J197" i="6"/>
  <c r="I197" i="6"/>
  <c r="H197" i="6"/>
  <c r="G197" i="6"/>
  <c r="G196" i="6"/>
  <c r="H196" i="6" s="1"/>
  <c r="I196" i="6" s="1"/>
  <c r="J196" i="6" s="1"/>
  <c r="K196" i="6" s="1"/>
  <c r="L196" i="6" s="1"/>
  <c r="M196" i="6" s="1"/>
  <c r="S195" i="6"/>
  <c r="G195" i="6"/>
  <c r="H195" i="6" s="1"/>
  <c r="I195" i="6" s="1"/>
  <c r="J195" i="6" s="1"/>
  <c r="K195" i="6" s="1"/>
  <c r="L195" i="6" s="1"/>
  <c r="M195" i="6" s="1"/>
  <c r="L192" i="6"/>
  <c r="M192" i="6" s="1"/>
  <c r="M191" i="6"/>
  <c r="L191" i="6"/>
  <c r="L190" i="6"/>
  <c r="W179" i="6" s="1"/>
  <c r="L189" i="6"/>
  <c r="M189" i="6" s="1"/>
  <c r="L188" i="6"/>
  <c r="X179" i="6" s="1"/>
  <c r="L187" i="6"/>
  <c r="M187" i="6" s="1"/>
  <c r="L186" i="6"/>
  <c r="M186" i="6" s="1"/>
  <c r="L185" i="6"/>
  <c r="L184" i="6"/>
  <c r="K183" i="6"/>
  <c r="J183" i="6"/>
  <c r="I183" i="6"/>
  <c r="H183" i="6"/>
  <c r="G183" i="6"/>
  <c r="K181" i="6"/>
  <c r="J181" i="6"/>
  <c r="I181" i="6"/>
  <c r="H181" i="6"/>
  <c r="G181" i="6"/>
  <c r="G180" i="6"/>
  <c r="H180" i="6" s="1"/>
  <c r="I180" i="6" s="1"/>
  <c r="J180" i="6" s="1"/>
  <c r="K180" i="6" s="1"/>
  <c r="L180" i="6" s="1"/>
  <c r="M180" i="6" s="1"/>
  <c r="S179" i="6"/>
  <c r="G179" i="6"/>
  <c r="H179" i="6" s="1"/>
  <c r="I179" i="6" s="1"/>
  <c r="J179" i="6" s="1"/>
  <c r="K179" i="6" s="1"/>
  <c r="L179" i="6" s="1"/>
  <c r="M179" i="6" s="1"/>
  <c r="L176" i="6"/>
  <c r="M176" i="6" s="1"/>
  <c r="L175" i="6"/>
  <c r="M175" i="6" s="1"/>
  <c r="L174" i="6"/>
  <c r="W163" i="6" s="1"/>
  <c r="M173" i="6"/>
  <c r="L173" i="6"/>
  <c r="L172" i="6"/>
  <c r="X163" i="6" s="1"/>
  <c r="L171" i="6"/>
  <c r="M171" i="6" s="1"/>
  <c r="L170" i="6"/>
  <c r="M170" i="6" s="1"/>
  <c r="L169" i="6"/>
  <c r="L168" i="6"/>
  <c r="K167" i="6"/>
  <c r="J167" i="6"/>
  <c r="I167" i="6"/>
  <c r="H167" i="6"/>
  <c r="G167" i="6"/>
  <c r="K165" i="6"/>
  <c r="J165" i="6"/>
  <c r="I165" i="6"/>
  <c r="H165" i="6"/>
  <c r="G165" i="6"/>
  <c r="G164" i="6"/>
  <c r="H164" i="6" s="1"/>
  <c r="I164" i="6" s="1"/>
  <c r="J164" i="6" s="1"/>
  <c r="K164" i="6" s="1"/>
  <c r="L164" i="6" s="1"/>
  <c r="M164" i="6" s="1"/>
  <c r="S163" i="6"/>
  <c r="G163" i="6"/>
  <c r="H163" i="6" s="1"/>
  <c r="I163" i="6" s="1"/>
  <c r="J163" i="6" s="1"/>
  <c r="K163" i="6" s="1"/>
  <c r="L163" i="6" s="1"/>
  <c r="M163" i="6" s="1"/>
  <c r="L160" i="6"/>
  <c r="M160" i="6" s="1"/>
  <c r="L159" i="6"/>
  <c r="M159" i="6" s="1"/>
  <c r="L158" i="6"/>
  <c r="W147" i="6" s="1"/>
  <c r="M157" i="6"/>
  <c r="L157" i="6"/>
  <c r="L156" i="6"/>
  <c r="M156" i="6" s="1"/>
  <c r="M155" i="6"/>
  <c r="L155" i="6"/>
  <c r="L154" i="6"/>
  <c r="L153" i="6"/>
  <c r="M153" i="6" s="1"/>
  <c r="L152" i="6"/>
  <c r="K151" i="6"/>
  <c r="J151" i="6"/>
  <c r="I151" i="6"/>
  <c r="H151" i="6"/>
  <c r="G151" i="6"/>
  <c r="K149" i="6"/>
  <c r="J149" i="6"/>
  <c r="I149" i="6"/>
  <c r="H149" i="6"/>
  <c r="G149" i="6"/>
  <c r="G148" i="6"/>
  <c r="H148" i="6" s="1"/>
  <c r="I148" i="6" s="1"/>
  <c r="J148" i="6" s="1"/>
  <c r="K148" i="6" s="1"/>
  <c r="L148" i="6" s="1"/>
  <c r="M148" i="6" s="1"/>
  <c r="X147" i="6"/>
  <c r="S147" i="6"/>
  <c r="I147" i="6"/>
  <c r="J147" i="6" s="1"/>
  <c r="K147" i="6" s="1"/>
  <c r="L147" i="6" s="1"/>
  <c r="M147" i="6" s="1"/>
  <c r="G147" i="6"/>
  <c r="H147" i="6" s="1"/>
  <c r="L144" i="6"/>
  <c r="M144" i="6" s="1"/>
  <c r="L143" i="6"/>
  <c r="M143" i="6" s="1"/>
  <c r="L142" i="6"/>
  <c r="L141" i="6"/>
  <c r="M141" i="6" s="1"/>
  <c r="L140" i="6"/>
  <c r="L139" i="6"/>
  <c r="M139" i="6" s="1"/>
  <c r="L138" i="6"/>
  <c r="M137" i="6"/>
  <c r="L137" i="6"/>
  <c r="L136" i="6"/>
  <c r="K135" i="6"/>
  <c r="J135" i="6"/>
  <c r="I135" i="6"/>
  <c r="H135" i="6"/>
  <c r="G135" i="6"/>
  <c r="K133" i="6"/>
  <c r="J133" i="6"/>
  <c r="I133" i="6"/>
  <c r="H133" i="6"/>
  <c r="G133" i="6"/>
  <c r="G132" i="6"/>
  <c r="H132" i="6" s="1"/>
  <c r="I132" i="6" s="1"/>
  <c r="J132" i="6" s="1"/>
  <c r="K132" i="6" s="1"/>
  <c r="L132" i="6" s="1"/>
  <c r="M132" i="6" s="1"/>
  <c r="S131" i="6"/>
  <c r="G131" i="6"/>
  <c r="H131" i="6" s="1"/>
  <c r="I131" i="6" s="1"/>
  <c r="J131" i="6" s="1"/>
  <c r="K131" i="6" s="1"/>
  <c r="L131" i="6" s="1"/>
  <c r="M131" i="6" s="1"/>
  <c r="L128" i="6"/>
  <c r="M128" i="6" s="1"/>
  <c r="L127" i="6"/>
  <c r="M127" i="6" s="1"/>
  <c r="L126" i="6"/>
  <c r="W115" i="6" s="1"/>
  <c r="M125" i="6"/>
  <c r="L125" i="6"/>
  <c r="L124" i="6"/>
  <c r="M124" i="6" s="1"/>
  <c r="L123" i="6"/>
  <c r="M123" i="6" s="1"/>
  <c r="L122" i="6"/>
  <c r="M122" i="6" s="1"/>
  <c r="L121" i="6"/>
  <c r="M121" i="6" s="1"/>
  <c r="L120" i="6"/>
  <c r="K119" i="6"/>
  <c r="J119" i="6"/>
  <c r="I119" i="6"/>
  <c r="H119" i="6"/>
  <c r="G119" i="6"/>
  <c r="K117" i="6"/>
  <c r="J117" i="6"/>
  <c r="I117" i="6"/>
  <c r="H117" i="6"/>
  <c r="G117" i="6"/>
  <c r="G116" i="6"/>
  <c r="H116" i="6" s="1"/>
  <c r="I116" i="6" s="1"/>
  <c r="J116" i="6" s="1"/>
  <c r="K116" i="6" s="1"/>
  <c r="L116" i="6" s="1"/>
  <c r="M116" i="6" s="1"/>
  <c r="X115" i="6"/>
  <c r="S115" i="6"/>
  <c r="I115" i="6"/>
  <c r="J115" i="6" s="1"/>
  <c r="K115" i="6" s="1"/>
  <c r="L115" i="6" s="1"/>
  <c r="M115" i="6" s="1"/>
  <c r="G115" i="6"/>
  <c r="H115" i="6" s="1"/>
  <c r="L112" i="6"/>
  <c r="M112" i="6" s="1"/>
  <c r="M111" i="6"/>
  <c r="L111" i="6"/>
  <c r="L110" i="6"/>
  <c r="M109" i="6"/>
  <c r="L109" i="6"/>
  <c r="L108" i="6"/>
  <c r="L107" i="6"/>
  <c r="M107" i="6" s="1"/>
  <c r="L106" i="6"/>
  <c r="M105" i="6"/>
  <c r="L105" i="6"/>
  <c r="L104" i="6"/>
  <c r="K103" i="6"/>
  <c r="J103" i="6"/>
  <c r="I103" i="6"/>
  <c r="H103" i="6"/>
  <c r="G103" i="6"/>
  <c r="K101" i="6"/>
  <c r="J101" i="6"/>
  <c r="I101" i="6"/>
  <c r="H101" i="6"/>
  <c r="G101" i="6"/>
  <c r="G100" i="6"/>
  <c r="H100" i="6" s="1"/>
  <c r="I100" i="6" s="1"/>
  <c r="J100" i="6" s="1"/>
  <c r="K100" i="6" s="1"/>
  <c r="L100" i="6" s="1"/>
  <c r="M100" i="6" s="1"/>
  <c r="S99" i="6"/>
  <c r="G99" i="6"/>
  <c r="H99" i="6" s="1"/>
  <c r="I99" i="6" s="1"/>
  <c r="J99" i="6" s="1"/>
  <c r="K99" i="6" s="1"/>
  <c r="L99" i="6" s="1"/>
  <c r="M99" i="6" s="1"/>
  <c r="L96" i="6"/>
  <c r="M96" i="6" s="1"/>
  <c r="L95" i="6"/>
  <c r="M95" i="6" s="1"/>
  <c r="L94" i="6"/>
  <c r="W83" i="6" s="1"/>
  <c r="M93" i="6"/>
  <c r="L93" i="6"/>
  <c r="L92" i="6"/>
  <c r="L91" i="6"/>
  <c r="M91" i="6" s="1"/>
  <c r="L90" i="6"/>
  <c r="M90" i="6" s="1"/>
  <c r="L89" i="6"/>
  <c r="M89" i="6" s="1"/>
  <c r="L88" i="6"/>
  <c r="U83" i="6" s="1"/>
  <c r="K87" i="6"/>
  <c r="J87" i="6"/>
  <c r="I87" i="6"/>
  <c r="H87" i="6"/>
  <c r="G87" i="6"/>
  <c r="K85" i="6"/>
  <c r="J85" i="6"/>
  <c r="I85" i="6"/>
  <c r="H85" i="6"/>
  <c r="G85" i="6"/>
  <c r="G84" i="6"/>
  <c r="H84" i="6" s="1"/>
  <c r="I84" i="6" s="1"/>
  <c r="J84" i="6" s="1"/>
  <c r="K84" i="6" s="1"/>
  <c r="L84" i="6" s="1"/>
  <c r="M84" i="6" s="1"/>
  <c r="V83" i="6"/>
  <c r="S83" i="6"/>
  <c r="I83" i="6"/>
  <c r="J83" i="6" s="1"/>
  <c r="K83" i="6" s="1"/>
  <c r="L83" i="6" s="1"/>
  <c r="M83" i="6" s="1"/>
  <c r="G83" i="6"/>
  <c r="H83" i="6" s="1"/>
  <c r="L80" i="6"/>
  <c r="M80" i="6" s="1"/>
  <c r="L79" i="6"/>
  <c r="M79" i="6" s="1"/>
  <c r="L78" i="6"/>
  <c r="M77" i="6"/>
  <c r="L77" i="6"/>
  <c r="L76" i="6"/>
  <c r="L75" i="6"/>
  <c r="M75" i="6" s="1"/>
  <c r="L74" i="6"/>
  <c r="L73" i="6"/>
  <c r="M73" i="6" s="1"/>
  <c r="L72" i="6"/>
  <c r="K71" i="6"/>
  <c r="J71" i="6"/>
  <c r="I71" i="6"/>
  <c r="H71" i="6"/>
  <c r="G71" i="6"/>
  <c r="K69" i="6"/>
  <c r="J69" i="6"/>
  <c r="I69" i="6"/>
  <c r="H69" i="6"/>
  <c r="G69" i="6"/>
  <c r="G68" i="6"/>
  <c r="H68" i="6" s="1"/>
  <c r="I68" i="6" s="1"/>
  <c r="J68" i="6" s="1"/>
  <c r="K68" i="6" s="1"/>
  <c r="L68" i="6" s="1"/>
  <c r="M68" i="6" s="1"/>
  <c r="S67" i="6"/>
  <c r="G67" i="6"/>
  <c r="H67" i="6" s="1"/>
  <c r="I67" i="6" s="1"/>
  <c r="J67" i="6" s="1"/>
  <c r="K67" i="6" s="1"/>
  <c r="L67" i="6" s="1"/>
  <c r="M67" i="6" s="1"/>
  <c r="L64" i="6"/>
  <c r="M64" i="6" s="1"/>
  <c r="M63" i="6"/>
  <c r="L63" i="6"/>
  <c r="L62" i="6"/>
  <c r="M62" i="6" s="1"/>
  <c r="M61" i="6"/>
  <c r="L61" i="6"/>
  <c r="L60" i="6"/>
  <c r="M60" i="6" s="1"/>
  <c r="M59" i="6"/>
  <c r="L59" i="6"/>
  <c r="L58" i="6"/>
  <c r="V51" i="6" s="1"/>
  <c r="M57" i="6"/>
  <c r="L57" i="6"/>
  <c r="L56" i="6"/>
  <c r="L55" i="6" s="1"/>
  <c r="K55" i="6"/>
  <c r="J55" i="6"/>
  <c r="I55" i="6"/>
  <c r="H55" i="6"/>
  <c r="G55" i="6"/>
  <c r="K53" i="6"/>
  <c r="J53" i="6"/>
  <c r="I53" i="6"/>
  <c r="H53" i="6"/>
  <c r="G53" i="6"/>
  <c r="L52" i="6"/>
  <c r="M52" i="6" s="1"/>
  <c r="H52" i="6"/>
  <c r="I52" i="6" s="1"/>
  <c r="J52" i="6" s="1"/>
  <c r="K52" i="6" s="1"/>
  <c r="G52" i="6"/>
  <c r="X51" i="6"/>
  <c r="W51" i="6"/>
  <c r="S51" i="6"/>
  <c r="J51" i="6"/>
  <c r="K51" i="6" s="1"/>
  <c r="L51" i="6" s="1"/>
  <c r="M51" i="6" s="1"/>
  <c r="G51" i="6"/>
  <c r="H51" i="6" s="1"/>
  <c r="I51" i="6" s="1"/>
  <c r="L48" i="6"/>
  <c r="M48" i="6" s="1"/>
  <c r="L47" i="6"/>
  <c r="M47" i="6" s="1"/>
  <c r="L46" i="6"/>
  <c r="M46" i="6" s="1"/>
  <c r="L45" i="6"/>
  <c r="M45" i="6" s="1"/>
  <c r="L44" i="6"/>
  <c r="L43" i="6"/>
  <c r="L42" i="6"/>
  <c r="M42" i="6" s="1"/>
  <c r="L41" i="6"/>
  <c r="L40" i="6"/>
  <c r="K39" i="6"/>
  <c r="J39" i="6"/>
  <c r="I39" i="6"/>
  <c r="H39" i="6"/>
  <c r="G39" i="6"/>
  <c r="K37" i="6"/>
  <c r="J37" i="6"/>
  <c r="I37" i="6"/>
  <c r="H37" i="6"/>
  <c r="G37" i="6"/>
  <c r="H36" i="6"/>
  <c r="I36" i="6" s="1"/>
  <c r="J36" i="6" s="1"/>
  <c r="K36" i="6" s="1"/>
  <c r="L36" i="6" s="1"/>
  <c r="M36" i="6" s="1"/>
  <c r="G36" i="6"/>
  <c r="S35" i="6"/>
  <c r="G35" i="6"/>
  <c r="H35" i="6" s="1"/>
  <c r="I35" i="6" s="1"/>
  <c r="J35" i="6" s="1"/>
  <c r="K35" i="6" s="1"/>
  <c r="L35" i="6" s="1"/>
  <c r="M35" i="6" s="1"/>
  <c r="A35" i="6"/>
  <c r="A51" i="6" s="1"/>
  <c r="A67" i="6" s="1"/>
  <c r="A83" i="6" s="1"/>
  <c r="A99" i="6" s="1"/>
  <c r="A115" i="6" s="1"/>
  <c r="A131" i="6" s="1"/>
  <c r="A147" i="6" s="1"/>
  <c r="A163" i="6" s="1"/>
  <c r="A179" i="6" s="1"/>
  <c r="A195" i="6" s="1"/>
  <c r="A211" i="6" s="1"/>
  <c r="A227" i="6" s="1"/>
  <c r="A243" i="6" s="1"/>
  <c r="A259" i="6" s="1"/>
  <c r="A275" i="6" s="1"/>
  <c r="A291" i="6" s="1"/>
  <c r="A307" i="6" s="1"/>
  <c r="A323" i="6" s="1"/>
  <c r="A339" i="6" s="1"/>
  <c r="A355" i="6" s="1"/>
  <c r="A371" i="6" s="1"/>
  <c r="A387" i="6" s="1"/>
  <c r="A403" i="6" s="1"/>
  <c r="A419" i="6" s="1"/>
  <c r="A435" i="6" s="1"/>
  <c r="A451" i="6" s="1"/>
  <c r="A467" i="6" s="1"/>
  <c r="A483" i="6" s="1"/>
  <c r="A499" i="6" s="1"/>
  <c r="A515" i="6" s="1"/>
  <c r="A531" i="6" s="1"/>
  <c r="A547" i="6" s="1"/>
  <c r="A563" i="6" s="1"/>
  <c r="A579" i="6" s="1"/>
  <c r="A595" i="6" s="1"/>
  <c r="A611" i="6" s="1"/>
  <c r="A627" i="6" s="1"/>
  <c r="A643" i="6" s="1"/>
  <c r="A659" i="6" s="1"/>
  <c r="A675" i="6" s="1"/>
  <c r="A691" i="6" s="1"/>
  <c r="A707" i="6" s="1"/>
  <c r="A723" i="6" s="1"/>
  <c r="A739" i="6" s="1"/>
  <c r="A755" i="6" s="1"/>
  <c r="A771" i="6" s="1"/>
  <c r="A787" i="6" s="1"/>
  <c r="A80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L26" i="6"/>
  <c r="M26" i="6" s="1"/>
  <c r="L25" i="6"/>
  <c r="L24" i="6"/>
  <c r="M24" i="6" s="1"/>
  <c r="K23" i="6"/>
  <c r="J23" i="6"/>
  <c r="I23" i="6"/>
  <c r="H23" i="6"/>
  <c r="G23" i="6"/>
  <c r="K21" i="6"/>
  <c r="J21" i="6"/>
  <c r="I21" i="6"/>
  <c r="H21" i="6"/>
  <c r="G21" i="6"/>
  <c r="G20" i="6"/>
  <c r="H20" i="6" s="1"/>
  <c r="I20" i="6" s="1"/>
  <c r="J20" i="6" s="1"/>
  <c r="K20" i="6" s="1"/>
  <c r="L20" i="6" s="1"/>
  <c r="M20" i="6" s="1"/>
  <c r="C20" i="6"/>
  <c r="C36" i="6" s="1"/>
  <c r="C52" i="6" s="1"/>
  <c r="C68" i="6" s="1"/>
  <c r="C84" i="6" s="1"/>
  <c r="C100" i="6" s="1"/>
  <c r="C116" i="6" s="1"/>
  <c r="C132" i="6" s="1"/>
  <c r="C148" i="6" s="1"/>
  <c r="C164" i="6" s="1"/>
  <c r="C180" i="6" s="1"/>
  <c r="C196" i="6" s="1"/>
  <c r="C212" i="6" s="1"/>
  <c r="C228" i="6" s="1"/>
  <c r="C244" i="6" s="1"/>
  <c r="C260" i="6" s="1"/>
  <c r="C276" i="6" s="1"/>
  <c r="C292" i="6" s="1"/>
  <c r="C308" i="6" s="1"/>
  <c r="C324" i="6" s="1"/>
  <c r="C340" i="6" s="1"/>
  <c r="C356" i="6" s="1"/>
  <c r="C372" i="6" s="1"/>
  <c r="C388" i="6" s="1"/>
  <c r="C404" i="6" s="1"/>
  <c r="C420" i="6" s="1"/>
  <c r="C436" i="6" s="1"/>
  <c r="C452" i="6" s="1"/>
  <c r="C468" i="6" s="1"/>
  <c r="C484" i="6" s="1"/>
  <c r="C500" i="6" s="1"/>
  <c r="C516" i="6" s="1"/>
  <c r="C532" i="6" s="1"/>
  <c r="C548" i="6" s="1"/>
  <c r="C564" i="6" s="1"/>
  <c r="C580" i="6" s="1"/>
  <c r="C596" i="6" s="1"/>
  <c r="C612" i="6" s="1"/>
  <c r="C628" i="6" s="1"/>
  <c r="C644" i="6" s="1"/>
  <c r="C660" i="6" s="1"/>
  <c r="C676" i="6" s="1"/>
  <c r="C692" i="6" s="1"/>
  <c r="C708" i="6" s="1"/>
  <c r="C724" i="6" s="1"/>
  <c r="C740" i="6" s="1"/>
  <c r="C756" i="6" s="1"/>
  <c r="C772" i="6" s="1"/>
  <c r="C788" i="6" s="1"/>
  <c r="C804" i="6" s="1"/>
  <c r="X19" i="6"/>
  <c r="S19" i="6"/>
  <c r="G19" i="6"/>
  <c r="H19" i="6" s="1"/>
  <c r="I19" i="6" s="1"/>
  <c r="J19" i="6" s="1"/>
  <c r="K19" i="6" s="1"/>
  <c r="L19" i="6" s="1"/>
  <c r="M19" i="6" s="1"/>
  <c r="K16" i="6"/>
  <c r="J16" i="6"/>
  <c r="I16" i="6"/>
  <c r="H16" i="6"/>
  <c r="G16" i="6"/>
  <c r="K15" i="6"/>
  <c r="J15" i="6"/>
  <c r="I15" i="6"/>
  <c r="H15" i="6"/>
  <c r="G15" i="6"/>
  <c r="K14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K11" i="6"/>
  <c r="J11" i="6"/>
  <c r="I11" i="6"/>
  <c r="H11" i="6"/>
  <c r="G11" i="6"/>
  <c r="K10" i="6"/>
  <c r="J10" i="6"/>
  <c r="I10" i="6"/>
  <c r="H10" i="6"/>
  <c r="G10" i="6"/>
  <c r="K9" i="6"/>
  <c r="J9" i="6"/>
  <c r="I9" i="6"/>
  <c r="H9" i="6"/>
  <c r="G9" i="6"/>
  <c r="K8" i="6"/>
  <c r="J8" i="6"/>
  <c r="I8" i="6"/>
  <c r="H8" i="6"/>
  <c r="G8" i="6"/>
  <c r="H4" i="6"/>
  <c r="I4" i="6" s="1"/>
  <c r="J4" i="6" s="1"/>
  <c r="K4" i="6" s="1"/>
  <c r="L4" i="6" s="1"/>
  <c r="M4" i="6" s="1"/>
  <c r="S3" i="6"/>
  <c r="H3" i="6"/>
  <c r="I3" i="6" s="1"/>
  <c r="J3" i="6" s="1"/>
  <c r="K3" i="6" s="1"/>
  <c r="L3" i="6" s="1"/>
  <c r="M3" i="6" s="1"/>
  <c r="X1" i="6"/>
  <c r="T1" i="6"/>
  <c r="L816" i="5"/>
  <c r="M816" i="5" s="1"/>
  <c r="M815" i="5"/>
  <c r="L815" i="5"/>
  <c r="L814" i="5"/>
  <c r="W803" i="5" s="1"/>
  <c r="M813" i="5"/>
  <c r="L813" i="5"/>
  <c r="L812" i="5"/>
  <c r="M812" i="5" s="1"/>
  <c r="M811" i="5"/>
  <c r="L811" i="5"/>
  <c r="L810" i="5"/>
  <c r="M810" i="5" s="1"/>
  <c r="L809" i="5"/>
  <c r="M809" i="5" s="1"/>
  <c r="L808" i="5"/>
  <c r="U803" i="5" s="1"/>
  <c r="K807" i="5"/>
  <c r="J807" i="5"/>
  <c r="I807" i="5"/>
  <c r="H807" i="5"/>
  <c r="G807" i="5"/>
  <c r="K805" i="5"/>
  <c r="J805" i="5"/>
  <c r="I805" i="5"/>
  <c r="H805" i="5"/>
  <c r="G805" i="5"/>
  <c r="G804" i="5"/>
  <c r="H804" i="5" s="1"/>
  <c r="I804" i="5" s="1"/>
  <c r="J804" i="5" s="1"/>
  <c r="K804" i="5" s="1"/>
  <c r="L804" i="5" s="1"/>
  <c r="M804" i="5" s="1"/>
  <c r="X803" i="5"/>
  <c r="S803" i="5"/>
  <c r="G803" i="5"/>
  <c r="H803" i="5" s="1"/>
  <c r="I803" i="5" s="1"/>
  <c r="J803" i="5" s="1"/>
  <c r="K803" i="5" s="1"/>
  <c r="L803" i="5" s="1"/>
  <c r="M803" i="5" s="1"/>
  <c r="L800" i="5"/>
  <c r="M800" i="5" s="1"/>
  <c r="M799" i="5"/>
  <c r="L799" i="5"/>
  <c r="L798" i="5"/>
  <c r="W787" i="5" s="1"/>
  <c r="L797" i="5"/>
  <c r="M797" i="5" s="1"/>
  <c r="L796" i="5"/>
  <c r="M796" i="5" s="1"/>
  <c r="M795" i="5"/>
  <c r="L795" i="5"/>
  <c r="L794" i="5"/>
  <c r="M794" i="5" s="1"/>
  <c r="M793" i="5"/>
  <c r="L793" i="5"/>
  <c r="L792" i="5"/>
  <c r="K791" i="5"/>
  <c r="J791" i="5"/>
  <c r="I791" i="5"/>
  <c r="H791" i="5"/>
  <c r="G791" i="5"/>
  <c r="K789" i="5"/>
  <c r="J789" i="5"/>
  <c r="I789" i="5"/>
  <c r="H789" i="5"/>
  <c r="G789" i="5"/>
  <c r="G788" i="5"/>
  <c r="H788" i="5" s="1"/>
  <c r="I788" i="5" s="1"/>
  <c r="J788" i="5" s="1"/>
  <c r="K788" i="5" s="1"/>
  <c r="L788" i="5" s="1"/>
  <c r="M788" i="5" s="1"/>
  <c r="X787" i="5"/>
  <c r="U787" i="5"/>
  <c r="S787" i="5"/>
  <c r="G787" i="5"/>
  <c r="H787" i="5" s="1"/>
  <c r="I787" i="5" s="1"/>
  <c r="J787" i="5" s="1"/>
  <c r="K787" i="5" s="1"/>
  <c r="L787" i="5" s="1"/>
  <c r="M787" i="5" s="1"/>
  <c r="L784" i="5"/>
  <c r="M784" i="5" s="1"/>
  <c r="L783" i="5"/>
  <c r="M783" i="5" s="1"/>
  <c r="L782" i="5"/>
  <c r="W771" i="5" s="1"/>
  <c r="M781" i="5"/>
  <c r="L781" i="5"/>
  <c r="L780" i="5"/>
  <c r="M779" i="5"/>
  <c r="L779" i="5"/>
  <c r="L778" i="5"/>
  <c r="M778" i="5" s="1"/>
  <c r="M777" i="5"/>
  <c r="L777" i="5"/>
  <c r="L776" i="5"/>
  <c r="U771" i="5" s="1"/>
  <c r="K775" i="5"/>
  <c r="J775" i="5"/>
  <c r="I775" i="5"/>
  <c r="H775" i="5"/>
  <c r="G775" i="5"/>
  <c r="K773" i="5"/>
  <c r="J773" i="5"/>
  <c r="I773" i="5"/>
  <c r="H773" i="5"/>
  <c r="G773" i="5"/>
  <c r="G772" i="5"/>
  <c r="H772" i="5" s="1"/>
  <c r="I772" i="5" s="1"/>
  <c r="J772" i="5" s="1"/>
  <c r="K772" i="5" s="1"/>
  <c r="L772" i="5" s="1"/>
  <c r="M772" i="5" s="1"/>
  <c r="S771" i="5"/>
  <c r="G771" i="5"/>
  <c r="H771" i="5" s="1"/>
  <c r="I771" i="5" s="1"/>
  <c r="J771" i="5" s="1"/>
  <c r="K771" i="5" s="1"/>
  <c r="L771" i="5" s="1"/>
  <c r="M771" i="5" s="1"/>
  <c r="L768" i="5"/>
  <c r="M768" i="5" s="1"/>
  <c r="L767" i="5"/>
  <c r="M767" i="5" s="1"/>
  <c r="L766" i="5"/>
  <c r="W755" i="5" s="1"/>
  <c r="M765" i="5"/>
  <c r="L765" i="5"/>
  <c r="L764" i="5"/>
  <c r="M763" i="5"/>
  <c r="L763" i="5"/>
  <c r="L762" i="5"/>
  <c r="M762" i="5" s="1"/>
  <c r="M761" i="5"/>
  <c r="L761" i="5"/>
  <c r="L760" i="5"/>
  <c r="K759" i="5"/>
  <c r="J759" i="5"/>
  <c r="I759" i="5"/>
  <c r="H759" i="5"/>
  <c r="G759" i="5"/>
  <c r="K757" i="5"/>
  <c r="J757" i="5"/>
  <c r="I757" i="5"/>
  <c r="H757" i="5"/>
  <c r="G757" i="5"/>
  <c r="G756" i="5"/>
  <c r="H756" i="5" s="1"/>
  <c r="I756" i="5" s="1"/>
  <c r="J756" i="5" s="1"/>
  <c r="K756" i="5" s="1"/>
  <c r="L756" i="5" s="1"/>
  <c r="M756" i="5" s="1"/>
  <c r="U755" i="5"/>
  <c r="S755" i="5"/>
  <c r="G755" i="5"/>
  <c r="H755" i="5" s="1"/>
  <c r="I755" i="5" s="1"/>
  <c r="J755" i="5" s="1"/>
  <c r="K755" i="5" s="1"/>
  <c r="L755" i="5" s="1"/>
  <c r="M755" i="5" s="1"/>
  <c r="L752" i="5"/>
  <c r="M752" i="5" s="1"/>
  <c r="M751" i="5"/>
  <c r="L751" i="5"/>
  <c r="L750" i="5"/>
  <c r="W739" i="5" s="1"/>
  <c r="M749" i="5"/>
  <c r="L749" i="5"/>
  <c r="L748" i="5"/>
  <c r="M748" i="5" s="1"/>
  <c r="M747" i="5"/>
  <c r="L747" i="5"/>
  <c r="L746" i="5"/>
  <c r="M746" i="5" s="1"/>
  <c r="L745" i="5"/>
  <c r="M745" i="5" s="1"/>
  <c r="L744" i="5"/>
  <c r="U739" i="5" s="1"/>
  <c r="K743" i="5"/>
  <c r="J743" i="5"/>
  <c r="I743" i="5"/>
  <c r="H743" i="5"/>
  <c r="G743" i="5"/>
  <c r="K741" i="5"/>
  <c r="J741" i="5"/>
  <c r="I741" i="5"/>
  <c r="H741" i="5"/>
  <c r="G741" i="5"/>
  <c r="G740" i="5"/>
  <c r="H740" i="5" s="1"/>
  <c r="I740" i="5" s="1"/>
  <c r="J740" i="5" s="1"/>
  <c r="K740" i="5" s="1"/>
  <c r="L740" i="5" s="1"/>
  <c r="M740" i="5" s="1"/>
  <c r="X739" i="5"/>
  <c r="S739" i="5"/>
  <c r="G739" i="5"/>
  <c r="H739" i="5" s="1"/>
  <c r="I739" i="5" s="1"/>
  <c r="J739" i="5" s="1"/>
  <c r="K739" i="5" s="1"/>
  <c r="L739" i="5" s="1"/>
  <c r="M739" i="5" s="1"/>
  <c r="L736" i="5"/>
  <c r="M736" i="5" s="1"/>
  <c r="M735" i="5"/>
  <c r="L735" i="5"/>
  <c r="L734" i="5"/>
  <c r="W723" i="5" s="1"/>
  <c r="L733" i="5"/>
  <c r="M733" i="5" s="1"/>
  <c r="L732" i="5"/>
  <c r="M732" i="5" s="1"/>
  <c r="M731" i="5"/>
  <c r="L731" i="5"/>
  <c r="L730" i="5"/>
  <c r="M730" i="5" s="1"/>
  <c r="M729" i="5"/>
  <c r="L729" i="5"/>
  <c r="L728" i="5"/>
  <c r="K727" i="5"/>
  <c r="J727" i="5"/>
  <c r="I727" i="5"/>
  <c r="H727" i="5"/>
  <c r="G727" i="5"/>
  <c r="K725" i="5"/>
  <c r="J725" i="5"/>
  <c r="I725" i="5"/>
  <c r="H725" i="5"/>
  <c r="G725" i="5"/>
  <c r="G724" i="5"/>
  <c r="H724" i="5" s="1"/>
  <c r="I724" i="5" s="1"/>
  <c r="J724" i="5" s="1"/>
  <c r="K724" i="5" s="1"/>
  <c r="L724" i="5" s="1"/>
  <c r="M724" i="5" s="1"/>
  <c r="X723" i="5"/>
  <c r="U723" i="5"/>
  <c r="S723" i="5"/>
  <c r="G723" i="5"/>
  <c r="H723" i="5" s="1"/>
  <c r="I723" i="5" s="1"/>
  <c r="J723" i="5" s="1"/>
  <c r="K723" i="5" s="1"/>
  <c r="L723" i="5" s="1"/>
  <c r="M723" i="5" s="1"/>
  <c r="L720" i="5"/>
  <c r="M720" i="5" s="1"/>
  <c r="L719" i="5"/>
  <c r="M719" i="5" s="1"/>
  <c r="L718" i="5"/>
  <c r="W707" i="5" s="1"/>
  <c r="M717" i="5"/>
  <c r="L717" i="5"/>
  <c r="L716" i="5"/>
  <c r="M715" i="5"/>
  <c r="L715" i="5"/>
  <c r="L714" i="5"/>
  <c r="M714" i="5" s="1"/>
  <c r="M713" i="5"/>
  <c r="L713" i="5"/>
  <c r="L712" i="5"/>
  <c r="U707" i="5" s="1"/>
  <c r="K711" i="5"/>
  <c r="J711" i="5"/>
  <c r="I711" i="5"/>
  <c r="H711" i="5"/>
  <c r="G711" i="5"/>
  <c r="K709" i="5"/>
  <c r="J709" i="5"/>
  <c r="I709" i="5"/>
  <c r="H709" i="5"/>
  <c r="G709" i="5"/>
  <c r="G708" i="5"/>
  <c r="H708" i="5" s="1"/>
  <c r="I708" i="5" s="1"/>
  <c r="J708" i="5" s="1"/>
  <c r="K708" i="5" s="1"/>
  <c r="L708" i="5" s="1"/>
  <c r="M708" i="5" s="1"/>
  <c r="S707" i="5"/>
  <c r="G707" i="5"/>
  <c r="H707" i="5" s="1"/>
  <c r="I707" i="5" s="1"/>
  <c r="J707" i="5" s="1"/>
  <c r="K707" i="5" s="1"/>
  <c r="L707" i="5" s="1"/>
  <c r="M707" i="5" s="1"/>
  <c r="L704" i="5"/>
  <c r="M704" i="5" s="1"/>
  <c r="L703" i="5"/>
  <c r="M703" i="5" s="1"/>
  <c r="L702" i="5"/>
  <c r="W691" i="5" s="1"/>
  <c r="M701" i="5"/>
  <c r="L701" i="5"/>
  <c r="L700" i="5"/>
  <c r="M699" i="5"/>
  <c r="L699" i="5"/>
  <c r="L698" i="5"/>
  <c r="M698" i="5" s="1"/>
  <c r="M697" i="5"/>
  <c r="L697" i="5"/>
  <c r="L696" i="5"/>
  <c r="K695" i="5"/>
  <c r="J695" i="5"/>
  <c r="I695" i="5"/>
  <c r="H695" i="5"/>
  <c r="G695" i="5"/>
  <c r="K693" i="5"/>
  <c r="J693" i="5"/>
  <c r="I693" i="5"/>
  <c r="H693" i="5"/>
  <c r="G693" i="5"/>
  <c r="G692" i="5"/>
  <c r="H692" i="5" s="1"/>
  <c r="I692" i="5" s="1"/>
  <c r="J692" i="5" s="1"/>
  <c r="K692" i="5" s="1"/>
  <c r="L692" i="5" s="1"/>
  <c r="M692" i="5" s="1"/>
  <c r="U691" i="5"/>
  <c r="S691" i="5"/>
  <c r="G691" i="5"/>
  <c r="H691" i="5" s="1"/>
  <c r="I691" i="5" s="1"/>
  <c r="J691" i="5" s="1"/>
  <c r="K691" i="5" s="1"/>
  <c r="L691" i="5" s="1"/>
  <c r="M691" i="5" s="1"/>
  <c r="L688" i="5"/>
  <c r="M688" i="5" s="1"/>
  <c r="M687" i="5"/>
  <c r="L687" i="5"/>
  <c r="L686" i="5"/>
  <c r="W675" i="5" s="1"/>
  <c r="M685" i="5"/>
  <c r="L685" i="5"/>
  <c r="L684" i="5"/>
  <c r="M684" i="5" s="1"/>
  <c r="M683" i="5"/>
  <c r="L683" i="5"/>
  <c r="L682" i="5"/>
  <c r="M682" i="5" s="1"/>
  <c r="L681" i="5"/>
  <c r="M681" i="5" s="1"/>
  <c r="L680" i="5"/>
  <c r="U675" i="5" s="1"/>
  <c r="K679" i="5"/>
  <c r="J679" i="5"/>
  <c r="I679" i="5"/>
  <c r="H679" i="5"/>
  <c r="G679" i="5"/>
  <c r="K677" i="5"/>
  <c r="J677" i="5"/>
  <c r="I677" i="5"/>
  <c r="H677" i="5"/>
  <c r="G677" i="5"/>
  <c r="G676" i="5"/>
  <c r="H676" i="5" s="1"/>
  <c r="I676" i="5" s="1"/>
  <c r="J676" i="5" s="1"/>
  <c r="K676" i="5" s="1"/>
  <c r="L676" i="5" s="1"/>
  <c r="M676" i="5" s="1"/>
  <c r="X675" i="5"/>
  <c r="S675" i="5"/>
  <c r="G675" i="5"/>
  <c r="H675" i="5" s="1"/>
  <c r="I675" i="5" s="1"/>
  <c r="J675" i="5" s="1"/>
  <c r="K675" i="5" s="1"/>
  <c r="L675" i="5" s="1"/>
  <c r="M675" i="5" s="1"/>
  <c r="L672" i="5"/>
  <c r="M672" i="5" s="1"/>
  <c r="M671" i="5"/>
  <c r="L671" i="5"/>
  <c r="L670" i="5"/>
  <c r="W659" i="5" s="1"/>
  <c r="L669" i="5"/>
  <c r="M669" i="5" s="1"/>
  <c r="L668" i="5"/>
  <c r="M668" i="5" s="1"/>
  <c r="M667" i="5"/>
  <c r="L667" i="5"/>
  <c r="L666" i="5"/>
  <c r="M666" i="5" s="1"/>
  <c r="M665" i="5"/>
  <c r="L665" i="5"/>
  <c r="L664" i="5"/>
  <c r="K663" i="5"/>
  <c r="J663" i="5"/>
  <c r="I663" i="5"/>
  <c r="H663" i="5"/>
  <c r="G663" i="5"/>
  <c r="K661" i="5"/>
  <c r="J661" i="5"/>
  <c r="I661" i="5"/>
  <c r="H661" i="5"/>
  <c r="G661" i="5"/>
  <c r="G660" i="5"/>
  <c r="H660" i="5" s="1"/>
  <c r="I660" i="5" s="1"/>
  <c r="J660" i="5" s="1"/>
  <c r="K660" i="5" s="1"/>
  <c r="L660" i="5" s="1"/>
  <c r="M660" i="5" s="1"/>
  <c r="X659" i="5"/>
  <c r="U659" i="5"/>
  <c r="S659" i="5"/>
  <c r="G659" i="5"/>
  <c r="H659" i="5" s="1"/>
  <c r="I659" i="5" s="1"/>
  <c r="J659" i="5" s="1"/>
  <c r="K659" i="5" s="1"/>
  <c r="L659" i="5" s="1"/>
  <c r="M659" i="5" s="1"/>
  <c r="L656" i="5"/>
  <c r="M656" i="5" s="1"/>
  <c r="L655" i="5"/>
  <c r="M655" i="5" s="1"/>
  <c r="L654" i="5"/>
  <c r="W643" i="5" s="1"/>
  <c r="M653" i="5"/>
  <c r="L653" i="5"/>
  <c r="L652" i="5"/>
  <c r="M651" i="5"/>
  <c r="L651" i="5"/>
  <c r="L650" i="5"/>
  <c r="M650" i="5" s="1"/>
  <c r="M649" i="5"/>
  <c r="L649" i="5"/>
  <c r="L648" i="5"/>
  <c r="U643" i="5" s="1"/>
  <c r="K647" i="5"/>
  <c r="J647" i="5"/>
  <c r="I647" i="5"/>
  <c r="H647" i="5"/>
  <c r="G647" i="5"/>
  <c r="K645" i="5"/>
  <c r="J645" i="5"/>
  <c r="I645" i="5"/>
  <c r="H645" i="5"/>
  <c r="G645" i="5"/>
  <c r="G644" i="5"/>
  <c r="H644" i="5" s="1"/>
  <c r="I644" i="5" s="1"/>
  <c r="J644" i="5" s="1"/>
  <c r="K644" i="5" s="1"/>
  <c r="L644" i="5" s="1"/>
  <c r="M644" i="5" s="1"/>
  <c r="S643" i="5"/>
  <c r="G643" i="5"/>
  <c r="H643" i="5" s="1"/>
  <c r="I643" i="5" s="1"/>
  <c r="J643" i="5" s="1"/>
  <c r="K643" i="5" s="1"/>
  <c r="L643" i="5" s="1"/>
  <c r="M643" i="5" s="1"/>
  <c r="L640" i="5"/>
  <c r="M640" i="5" s="1"/>
  <c r="L639" i="5"/>
  <c r="M639" i="5" s="1"/>
  <c r="L638" i="5"/>
  <c r="W627" i="5" s="1"/>
  <c r="L637" i="5"/>
  <c r="M637" i="5" s="1"/>
  <c r="L636" i="5"/>
  <c r="M635" i="5"/>
  <c r="L635" i="5"/>
  <c r="L634" i="5"/>
  <c r="M634" i="5" s="1"/>
  <c r="L633" i="5"/>
  <c r="U627" i="5" s="1"/>
  <c r="L632" i="5"/>
  <c r="K631" i="5"/>
  <c r="J631" i="5"/>
  <c r="I631" i="5"/>
  <c r="H631" i="5"/>
  <c r="G631" i="5"/>
  <c r="K629" i="5"/>
  <c r="J629" i="5"/>
  <c r="I629" i="5"/>
  <c r="H629" i="5"/>
  <c r="G629" i="5"/>
  <c r="G628" i="5"/>
  <c r="H628" i="5" s="1"/>
  <c r="I628" i="5" s="1"/>
  <c r="J628" i="5" s="1"/>
  <c r="K628" i="5" s="1"/>
  <c r="L628" i="5" s="1"/>
  <c r="M628" i="5" s="1"/>
  <c r="S627" i="5"/>
  <c r="G627" i="5"/>
  <c r="H627" i="5" s="1"/>
  <c r="I627" i="5" s="1"/>
  <c r="J627" i="5" s="1"/>
  <c r="K627" i="5" s="1"/>
  <c r="L627" i="5" s="1"/>
  <c r="M627" i="5" s="1"/>
  <c r="L624" i="5"/>
  <c r="M624" i="5" s="1"/>
  <c r="L623" i="5"/>
  <c r="M623" i="5" s="1"/>
  <c r="L622" i="5"/>
  <c r="W611" i="5" s="1"/>
  <c r="M621" i="5"/>
  <c r="L621" i="5"/>
  <c r="L620" i="5"/>
  <c r="M620" i="5" s="1"/>
  <c r="L619" i="5"/>
  <c r="M619" i="5" s="1"/>
  <c r="L618" i="5"/>
  <c r="M618" i="5" s="1"/>
  <c r="L617" i="5"/>
  <c r="M617" i="5" s="1"/>
  <c r="L616" i="5"/>
  <c r="K615" i="5"/>
  <c r="J615" i="5"/>
  <c r="I615" i="5"/>
  <c r="H615" i="5"/>
  <c r="G615" i="5"/>
  <c r="K613" i="5"/>
  <c r="J613" i="5"/>
  <c r="I613" i="5"/>
  <c r="H613" i="5"/>
  <c r="G613" i="5"/>
  <c r="G612" i="5"/>
  <c r="H612" i="5" s="1"/>
  <c r="I612" i="5" s="1"/>
  <c r="J612" i="5" s="1"/>
  <c r="K612" i="5" s="1"/>
  <c r="L612" i="5" s="1"/>
  <c r="M612" i="5" s="1"/>
  <c r="X611" i="5"/>
  <c r="S611" i="5"/>
  <c r="G611" i="5"/>
  <c r="H611" i="5" s="1"/>
  <c r="I611" i="5" s="1"/>
  <c r="J611" i="5" s="1"/>
  <c r="K611" i="5" s="1"/>
  <c r="L611" i="5" s="1"/>
  <c r="M611" i="5" s="1"/>
  <c r="L608" i="5"/>
  <c r="M608" i="5" s="1"/>
  <c r="L607" i="5"/>
  <c r="M607" i="5" s="1"/>
  <c r="L606" i="5"/>
  <c r="W595" i="5" s="1"/>
  <c r="L605" i="5"/>
  <c r="M605" i="5" s="1"/>
  <c r="L604" i="5"/>
  <c r="M604" i="5" s="1"/>
  <c r="L603" i="5"/>
  <c r="M603" i="5" s="1"/>
  <c r="L602" i="5"/>
  <c r="M602" i="5" s="1"/>
  <c r="M601" i="5"/>
  <c r="L601" i="5"/>
  <c r="L600" i="5"/>
  <c r="K599" i="5"/>
  <c r="J599" i="5"/>
  <c r="I599" i="5"/>
  <c r="H599" i="5"/>
  <c r="G599" i="5"/>
  <c r="K597" i="5"/>
  <c r="J597" i="5"/>
  <c r="I597" i="5"/>
  <c r="H597" i="5"/>
  <c r="G597" i="5"/>
  <c r="G596" i="5"/>
  <c r="H596" i="5" s="1"/>
  <c r="I596" i="5" s="1"/>
  <c r="J596" i="5" s="1"/>
  <c r="K596" i="5" s="1"/>
  <c r="L596" i="5" s="1"/>
  <c r="M596" i="5" s="1"/>
  <c r="X595" i="5"/>
  <c r="U595" i="5"/>
  <c r="S595" i="5"/>
  <c r="G595" i="5"/>
  <c r="H595" i="5" s="1"/>
  <c r="I595" i="5" s="1"/>
  <c r="J595" i="5" s="1"/>
  <c r="K595" i="5" s="1"/>
  <c r="L595" i="5" s="1"/>
  <c r="M595" i="5" s="1"/>
  <c r="L592" i="5"/>
  <c r="M592" i="5" s="1"/>
  <c r="L591" i="5"/>
  <c r="M591" i="5" s="1"/>
  <c r="L590" i="5"/>
  <c r="W579" i="5" s="1"/>
  <c r="M589" i="5"/>
  <c r="L589" i="5"/>
  <c r="L588" i="5"/>
  <c r="L587" i="5"/>
  <c r="M587" i="5" s="1"/>
  <c r="L586" i="5"/>
  <c r="M586" i="5" s="1"/>
  <c r="M585" i="5"/>
  <c r="L585" i="5"/>
  <c r="L584" i="5"/>
  <c r="K583" i="5"/>
  <c r="J583" i="5"/>
  <c r="I583" i="5"/>
  <c r="H583" i="5"/>
  <c r="G583" i="5"/>
  <c r="K581" i="5"/>
  <c r="J581" i="5"/>
  <c r="I581" i="5"/>
  <c r="H581" i="5"/>
  <c r="G581" i="5"/>
  <c r="G580" i="5"/>
  <c r="H580" i="5" s="1"/>
  <c r="I580" i="5" s="1"/>
  <c r="J580" i="5" s="1"/>
  <c r="K580" i="5" s="1"/>
  <c r="L580" i="5" s="1"/>
  <c r="M580" i="5" s="1"/>
  <c r="S579" i="5"/>
  <c r="K579" i="5"/>
  <c r="L579" i="5" s="1"/>
  <c r="M579" i="5" s="1"/>
  <c r="G579" i="5"/>
  <c r="H579" i="5" s="1"/>
  <c r="I579" i="5" s="1"/>
  <c r="J579" i="5" s="1"/>
  <c r="L576" i="5"/>
  <c r="M576" i="5" s="1"/>
  <c r="L575" i="5"/>
  <c r="M575" i="5" s="1"/>
  <c r="L574" i="5"/>
  <c r="W563" i="5" s="1"/>
  <c r="L573" i="5"/>
  <c r="M573" i="5" s="1"/>
  <c r="L572" i="5"/>
  <c r="L571" i="5"/>
  <c r="M571" i="5" s="1"/>
  <c r="L570" i="5"/>
  <c r="M570" i="5" s="1"/>
  <c r="M569" i="5"/>
  <c r="L569" i="5"/>
  <c r="U563" i="5" s="1"/>
  <c r="L568" i="5"/>
  <c r="K567" i="5"/>
  <c r="J567" i="5"/>
  <c r="I567" i="5"/>
  <c r="H567" i="5"/>
  <c r="G567" i="5"/>
  <c r="K565" i="5"/>
  <c r="J565" i="5"/>
  <c r="I565" i="5"/>
  <c r="H565" i="5"/>
  <c r="G565" i="5"/>
  <c r="G564" i="5"/>
  <c r="H564" i="5" s="1"/>
  <c r="I564" i="5" s="1"/>
  <c r="J564" i="5" s="1"/>
  <c r="K564" i="5" s="1"/>
  <c r="L564" i="5" s="1"/>
  <c r="M564" i="5" s="1"/>
  <c r="S563" i="5"/>
  <c r="G563" i="5"/>
  <c r="H563" i="5" s="1"/>
  <c r="I563" i="5" s="1"/>
  <c r="J563" i="5" s="1"/>
  <c r="K563" i="5" s="1"/>
  <c r="L563" i="5" s="1"/>
  <c r="M563" i="5" s="1"/>
  <c r="L560" i="5"/>
  <c r="M560" i="5" s="1"/>
  <c r="L559" i="5"/>
  <c r="M559" i="5" s="1"/>
  <c r="L558" i="5"/>
  <c r="W547" i="5" s="1"/>
  <c r="L557" i="5"/>
  <c r="M557" i="5" s="1"/>
  <c r="L556" i="5"/>
  <c r="M556" i="5" s="1"/>
  <c r="M555" i="5"/>
  <c r="L555" i="5"/>
  <c r="L554" i="5"/>
  <c r="M554" i="5" s="1"/>
  <c r="M553" i="5"/>
  <c r="L553" i="5"/>
  <c r="L552" i="5"/>
  <c r="K551" i="5"/>
  <c r="J551" i="5"/>
  <c r="I551" i="5"/>
  <c r="H551" i="5"/>
  <c r="G551" i="5"/>
  <c r="K549" i="5"/>
  <c r="J549" i="5"/>
  <c r="I549" i="5"/>
  <c r="H549" i="5"/>
  <c r="G549" i="5"/>
  <c r="M548" i="5"/>
  <c r="I548" i="5"/>
  <c r="J548" i="5" s="1"/>
  <c r="K548" i="5" s="1"/>
  <c r="L548" i="5" s="1"/>
  <c r="G548" i="5"/>
  <c r="H548" i="5" s="1"/>
  <c r="X547" i="5"/>
  <c r="U547" i="5"/>
  <c r="S547" i="5"/>
  <c r="G547" i="5"/>
  <c r="H547" i="5" s="1"/>
  <c r="I547" i="5" s="1"/>
  <c r="J547" i="5" s="1"/>
  <c r="K547" i="5" s="1"/>
  <c r="L547" i="5" s="1"/>
  <c r="M547" i="5" s="1"/>
  <c r="L544" i="5"/>
  <c r="M544" i="5" s="1"/>
  <c r="M543" i="5"/>
  <c r="L543" i="5"/>
  <c r="L542" i="5"/>
  <c r="W531" i="5" s="1"/>
  <c r="L541" i="5"/>
  <c r="M541" i="5" s="1"/>
  <c r="L540" i="5"/>
  <c r="M540" i="5" s="1"/>
  <c r="L539" i="5"/>
  <c r="M539" i="5" s="1"/>
  <c r="L538" i="5"/>
  <c r="M538" i="5" s="1"/>
  <c r="M537" i="5"/>
  <c r="L537" i="5"/>
  <c r="L536" i="5"/>
  <c r="K535" i="5"/>
  <c r="J535" i="5"/>
  <c r="I535" i="5"/>
  <c r="H535" i="5"/>
  <c r="G535" i="5"/>
  <c r="K533" i="5"/>
  <c r="J533" i="5"/>
  <c r="I533" i="5"/>
  <c r="H533" i="5"/>
  <c r="G533" i="5"/>
  <c r="G532" i="5"/>
  <c r="H532" i="5" s="1"/>
  <c r="I532" i="5" s="1"/>
  <c r="J532" i="5" s="1"/>
  <c r="K532" i="5" s="1"/>
  <c r="L532" i="5" s="1"/>
  <c r="M532" i="5" s="1"/>
  <c r="X531" i="5"/>
  <c r="S531" i="5"/>
  <c r="G531" i="5"/>
  <c r="H531" i="5" s="1"/>
  <c r="I531" i="5" s="1"/>
  <c r="J531" i="5" s="1"/>
  <c r="K531" i="5" s="1"/>
  <c r="L531" i="5" s="1"/>
  <c r="M531" i="5" s="1"/>
  <c r="L528" i="5"/>
  <c r="M528" i="5" s="1"/>
  <c r="M527" i="5"/>
  <c r="L527" i="5"/>
  <c r="L526" i="5"/>
  <c r="W515" i="5" s="1"/>
  <c r="L525" i="5"/>
  <c r="M525" i="5" s="1"/>
  <c r="L524" i="5"/>
  <c r="M524" i="5" s="1"/>
  <c r="L523" i="5"/>
  <c r="M523" i="5" s="1"/>
  <c r="L522" i="5"/>
  <c r="M522" i="5" s="1"/>
  <c r="L521" i="5"/>
  <c r="M521" i="5" s="1"/>
  <c r="L520" i="5"/>
  <c r="K519" i="5"/>
  <c r="J519" i="5"/>
  <c r="I519" i="5"/>
  <c r="H519" i="5"/>
  <c r="G519" i="5"/>
  <c r="K517" i="5"/>
  <c r="J517" i="5"/>
  <c r="I517" i="5"/>
  <c r="H517" i="5"/>
  <c r="G517" i="5"/>
  <c r="I516" i="5"/>
  <c r="J516" i="5" s="1"/>
  <c r="K516" i="5" s="1"/>
  <c r="L516" i="5" s="1"/>
  <c r="M516" i="5" s="1"/>
  <c r="G516" i="5"/>
  <c r="H516" i="5" s="1"/>
  <c r="X515" i="5"/>
  <c r="S515" i="5"/>
  <c r="H515" i="5"/>
  <c r="I515" i="5" s="1"/>
  <c r="J515" i="5" s="1"/>
  <c r="K515" i="5" s="1"/>
  <c r="L515" i="5" s="1"/>
  <c r="M515" i="5" s="1"/>
  <c r="G515" i="5"/>
  <c r="L512" i="5"/>
  <c r="M512" i="5" s="1"/>
  <c r="L511" i="5"/>
  <c r="M511" i="5" s="1"/>
  <c r="L510" i="5"/>
  <c r="L509" i="5"/>
  <c r="M509" i="5" s="1"/>
  <c r="L508" i="5"/>
  <c r="M508" i="5" s="1"/>
  <c r="L507" i="5"/>
  <c r="M507" i="5" s="1"/>
  <c r="L506" i="5"/>
  <c r="M505" i="5"/>
  <c r="L505" i="5"/>
  <c r="L504" i="5"/>
  <c r="K503" i="5"/>
  <c r="J503" i="5"/>
  <c r="I503" i="5"/>
  <c r="H503" i="5"/>
  <c r="G503" i="5"/>
  <c r="K501" i="5"/>
  <c r="J501" i="5"/>
  <c r="I501" i="5"/>
  <c r="H501" i="5"/>
  <c r="G501" i="5"/>
  <c r="J500" i="5"/>
  <c r="K500" i="5" s="1"/>
  <c r="L500" i="5" s="1"/>
  <c r="M500" i="5" s="1"/>
  <c r="I500" i="5"/>
  <c r="G500" i="5"/>
  <c r="H500" i="5" s="1"/>
  <c r="S499" i="5"/>
  <c r="G499" i="5"/>
  <c r="H499" i="5" s="1"/>
  <c r="I499" i="5" s="1"/>
  <c r="J499" i="5" s="1"/>
  <c r="K499" i="5" s="1"/>
  <c r="L499" i="5" s="1"/>
  <c r="M499" i="5" s="1"/>
  <c r="L496" i="5"/>
  <c r="M496" i="5" s="1"/>
  <c r="L495" i="5"/>
  <c r="M495" i="5" s="1"/>
  <c r="L494" i="5"/>
  <c r="L493" i="5"/>
  <c r="M493" i="5" s="1"/>
  <c r="L492" i="5"/>
  <c r="M491" i="5"/>
  <c r="L491" i="5"/>
  <c r="L490" i="5"/>
  <c r="L489" i="5"/>
  <c r="M489" i="5" s="1"/>
  <c r="L488" i="5"/>
  <c r="K487" i="5"/>
  <c r="J487" i="5"/>
  <c r="I487" i="5"/>
  <c r="H487" i="5"/>
  <c r="G487" i="5"/>
  <c r="K485" i="5"/>
  <c r="J485" i="5"/>
  <c r="I485" i="5"/>
  <c r="H485" i="5"/>
  <c r="G485" i="5"/>
  <c r="H484" i="5"/>
  <c r="I484" i="5" s="1"/>
  <c r="J484" i="5" s="1"/>
  <c r="K484" i="5" s="1"/>
  <c r="L484" i="5" s="1"/>
  <c r="M484" i="5" s="1"/>
  <c r="G484" i="5"/>
  <c r="S483" i="5"/>
  <c r="H483" i="5"/>
  <c r="I483" i="5" s="1"/>
  <c r="J483" i="5" s="1"/>
  <c r="K483" i="5" s="1"/>
  <c r="L483" i="5" s="1"/>
  <c r="M483" i="5" s="1"/>
  <c r="G483" i="5"/>
  <c r="L480" i="5"/>
  <c r="M480" i="5" s="1"/>
  <c r="L479" i="5"/>
  <c r="M479" i="5" s="1"/>
  <c r="L478" i="5"/>
  <c r="L477" i="5"/>
  <c r="M477" i="5" s="1"/>
  <c r="L476" i="5"/>
  <c r="M476" i="5" s="1"/>
  <c r="M475" i="5"/>
  <c r="L475" i="5"/>
  <c r="L474" i="5"/>
  <c r="L473" i="5"/>
  <c r="M473" i="5" s="1"/>
  <c r="L472" i="5"/>
  <c r="K471" i="5"/>
  <c r="J471" i="5"/>
  <c r="I471" i="5"/>
  <c r="H471" i="5"/>
  <c r="G471" i="5"/>
  <c r="K469" i="5"/>
  <c r="J469" i="5"/>
  <c r="I469" i="5"/>
  <c r="H469" i="5"/>
  <c r="G469" i="5"/>
  <c r="I468" i="5"/>
  <c r="J468" i="5" s="1"/>
  <c r="K468" i="5" s="1"/>
  <c r="L468" i="5" s="1"/>
  <c r="M468" i="5" s="1"/>
  <c r="G468" i="5"/>
  <c r="H468" i="5" s="1"/>
  <c r="U467" i="5"/>
  <c r="S467" i="5"/>
  <c r="G467" i="5"/>
  <c r="H467" i="5" s="1"/>
  <c r="I467" i="5" s="1"/>
  <c r="J467" i="5" s="1"/>
  <c r="K467" i="5" s="1"/>
  <c r="L467" i="5" s="1"/>
  <c r="M467" i="5" s="1"/>
  <c r="L464" i="5"/>
  <c r="M464" i="5" s="1"/>
  <c r="L463" i="5"/>
  <c r="M463" i="5" s="1"/>
  <c r="L462" i="5"/>
  <c r="M461" i="5"/>
  <c r="L461" i="5"/>
  <c r="L460" i="5"/>
  <c r="M460" i="5" s="1"/>
  <c r="L459" i="5"/>
  <c r="M459" i="5" s="1"/>
  <c r="L458" i="5"/>
  <c r="L457" i="5"/>
  <c r="M457" i="5" s="1"/>
  <c r="L456" i="5"/>
  <c r="K455" i="5"/>
  <c r="J455" i="5"/>
  <c r="I455" i="5"/>
  <c r="H455" i="5"/>
  <c r="G455" i="5"/>
  <c r="K453" i="5"/>
  <c r="J453" i="5"/>
  <c r="I453" i="5"/>
  <c r="H453" i="5"/>
  <c r="G453" i="5"/>
  <c r="I452" i="5"/>
  <c r="J452" i="5" s="1"/>
  <c r="K452" i="5" s="1"/>
  <c r="L452" i="5" s="1"/>
  <c r="M452" i="5" s="1"/>
  <c r="G452" i="5"/>
  <c r="H452" i="5" s="1"/>
  <c r="X451" i="5"/>
  <c r="S451" i="5"/>
  <c r="G451" i="5"/>
  <c r="H451" i="5" s="1"/>
  <c r="I451" i="5" s="1"/>
  <c r="J451" i="5" s="1"/>
  <c r="K451" i="5" s="1"/>
  <c r="L451" i="5" s="1"/>
  <c r="M451" i="5" s="1"/>
  <c r="L448" i="5"/>
  <c r="M448" i="5" s="1"/>
  <c r="L447" i="5"/>
  <c r="M447" i="5" s="1"/>
  <c r="L446" i="5"/>
  <c r="L445" i="5"/>
  <c r="M445" i="5" s="1"/>
  <c r="L444" i="5"/>
  <c r="L443" i="5"/>
  <c r="M443" i="5" s="1"/>
  <c r="L442" i="5"/>
  <c r="L441" i="5"/>
  <c r="M441" i="5" s="1"/>
  <c r="L440" i="5"/>
  <c r="K439" i="5"/>
  <c r="J439" i="5"/>
  <c r="I439" i="5"/>
  <c r="H439" i="5"/>
  <c r="G439" i="5"/>
  <c r="K437" i="5"/>
  <c r="J437" i="5"/>
  <c r="I437" i="5"/>
  <c r="H437" i="5"/>
  <c r="G437" i="5"/>
  <c r="G436" i="5"/>
  <c r="H436" i="5" s="1"/>
  <c r="I436" i="5" s="1"/>
  <c r="J436" i="5" s="1"/>
  <c r="K436" i="5" s="1"/>
  <c r="L436" i="5" s="1"/>
  <c r="M436" i="5" s="1"/>
  <c r="S435" i="5"/>
  <c r="G435" i="5"/>
  <c r="H435" i="5" s="1"/>
  <c r="I435" i="5" s="1"/>
  <c r="J435" i="5" s="1"/>
  <c r="K435" i="5" s="1"/>
  <c r="L435" i="5" s="1"/>
  <c r="M435" i="5" s="1"/>
  <c r="L432" i="5"/>
  <c r="M432" i="5" s="1"/>
  <c r="L431" i="5"/>
  <c r="M431" i="5" s="1"/>
  <c r="L430" i="5"/>
  <c r="M429" i="5"/>
  <c r="L429" i="5"/>
  <c r="L428" i="5"/>
  <c r="M428" i="5" s="1"/>
  <c r="M427" i="5"/>
  <c r="L427" i="5"/>
  <c r="L426" i="5"/>
  <c r="L425" i="5"/>
  <c r="M425" i="5" s="1"/>
  <c r="L424" i="5"/>
  <c r="K423" i="5"/>
  <c r="J423" i="5"/>
  <c r="I423" i="5"/>
  <c r="H423" i="5"/>
  <c r="G423" i="5"/>
  <c r="K421" i="5"/>
  <c r="J421" i="5"/>
  <c r="I421" i="5"/>
  <c r="H421" i="5"/>
  <c r="G421" i="5"/>
  <c r="G420" i="5"/>
  <c r="H420" i="5" s="1"/>
  <c r="I420" i="5" s="1"/>
  <c r="J420" i="5" s="1"/>
  <c r="K420" i="5" s="1"/>
  <c r="L420" i="5" s="1"/>
  <c r="M420" i="5" s="1"/>
  <c r="U419" i="5"/>
  <c r="S419" i="5"/>
  <c r="G419" i="5"/>
  <c r="H419" i="5" s="1"/>
  <c r="I419" i="5" s="1"/>
  <c r="J419" i="5" s="1"/>
  <c r="K419" i="5" s="1"/>
  <c r="L419" i="5" s="1"/>
  <c r="M419" i="5" s="1"/>
  <c r="L416" i="5"/>
  <c r="M416" i="5" s="1"/>
  <c r="M415" i="5"/>
  <c r="L415" i="5"/>
  <c r="L414" i="5"/>
  <c r="L413" i="5"/>
  <c r="M413" i="5" s="1"/>
  <c r="L412" i="5"/>
  <c r="M412" i="5" s="1"/>
  <c r="L411" i="5"/>
  <c r="M411" i="5" s="1"/>
  <c r="L410" i="5"/>
  <c r="L409" i="5"/>
  <c r="M409" i="5" s="1"/>
  <c r="L408" i="5"/>
  <c r="K407" i="5"/>
  <c r="J407" i="5"/>
  <c r="I407" i="5"/>
  <c r="H407" i="5"/>
  <c r="G407" i="5"/>
  <c r="K405" i="5"/>
  <c r="J405" i="5"/>
  <c r="I405" i="5"/>
  <c r="H405" i="5"/>
  <c r="G405" i="5"/>
  <c r="G404" i="5"/>
  <c r="H404" i="5" s="1"/>
  <c r="I404" i="5" s="1"/>
  <c r="J404" i="5" s="1"/>
  <c r="K404" i="5" s="1"/>
  <c r="L404" i="5" s="1"/>
  <c r="M404" i="5" s="1"/>
  <c r="S403" i="5"/>
  <c r="K403" i="5"/>
  <c r="L403" i="5" s="1"/>
  <c r="M403" i="5" s="1"/>
  <c r="H403" i="5"/>
  <c r="I403" i="5" s="1"/>
  <c r="J403" i="5" s="1"/>
  <c r="G403" i="5"/>
  <c r="L400" i="5"/>
  <c r="M400" i="5" s="1"/>
  <c r="L399" i="5"/>
  <c r="M399" i="5" s="1"/>
  <c r="L398" i="5"/>
  <c r="L397" i="5"/>
  <c r="M397" i="5" s="1"/>
  <c r="L396" i="5"/>
  <c r="M396" i="5" s="1"/>
  <c r="M395" i="5"/>
  <c r="L395" i="5"/>
  <c r="L394" i="5"/>
  <c r="L393" i="5"/>
  <c r="M393" i="5" s="1"/>
  <c r="L392" i="5"/>
  <c r="K391" i="5"/>
  <c r="J391" i="5"/>
  <c r="I391" i="5"/>
  <c r="H391" i="5"/>
  <c r="G391" i="5"/>
  <c r="K389" i="5"/>
  <c r="J389" i="5"/>
  <c r="I389" i="5"/>
  <c r="H389" i="5"/>
  <c r="G389" i="5"/>
  <c r="G388" i="5"/>
  <c r="H388" i="5" s="1"/>
  <c r="I388" i="5" s="1"/>
  <c r="J388" i="5" s="1"/>
  <c r="K388" i="5" s="1"/>
  <c r="L388" i="5" s="1"/>
  <c r="M388" i="5" s="1"/>
  <c r="S387" i="5"/>
  <c r="G387" i="5"/>
  <c r="H387" i="5" s="1"/>
  <c r="I387" i="5" s="1"/>
  <c r="J387" i="5" s="1"/>
  <c r="K387" i="5" s="1"/>
  <c r="L387" i="5" s="1"/>
  <c r="M387" i="5" s="1"/>
  <c r="L384" i="5"/>
  <c r="M384" i="5" s="1"/>
  <c r="L383" i="5"/>
  <c r="M383" i="5" s="1"/>
  <c r="L382" i="5"/>
  <c r="L381" i="5"/>
  <c r="M381" i="5" s="1"/>
  <c r="L380" i="5"/>
  <c r="M380" i="5" s="1"/>
  <c r="L379" i="5"/>
  <c r="M379" i="5" s="1"/>
  <c r="L378" i="5"/>
  <c r="M377" i="5"/>
  <c r="L377" i="5"/>
  <c r="L376" i="5"/>
  <c r="K375" i="5"/>
  <c r="J375" i="5"/>
  <c r="I375" i="5"/>
  <c r="H375" i="5"/>
  <c r="G375" i="5"/>
  <c r="K373" i="5"/>
  <c r="J373" i="5"/>
  <c r="I373" i="5"/>
  <c r="H373" i="5"/>
  <c r="G373" i="5"/>
  <c r="G372" i="5"/>
  <c r="H372" i="5" s="1"/>
  <c r="I372" i="5" s="1"/>
  <c r="J372" i="5" s="1"/>
  <c r="K372" i="5" s="1"/>
  <c r="L372" i="5" s="1"/>
  <c r="M372" i="5" s="1"/>
  <c r="X371" i="5"/>
  <c r="S371" i="5"/>
  <c r="G371" i="5"/>
  <c r="H371" i="5" s="1"/>
  <c r="I371" i="5" s="1"/>
  <c r="J371" i="5" s="1"/>
  <c r="K371" i="5" s="1"/>
  <c r="L371" i="5" s="1"/>
  <c r="M371" i="5" s="1"/>
  <c r="L368" i="5"/>
  <c r="M368" i="5" s="1"/>
  <c r="M367" i="5"/>
  <c r="L367" i="5"/>
  <c r="L366" i="5"/>
  <c r="L365" i="5"/>
  <c r="M365" i="5" s="1"/>
  <c r="L364" i="5"/>
  <c r="M364" i="5" s="1"/>
  <c r="M363" i="5"/>
  <c r="L363" i="5"/>
  <c r="L362" i="5"/>
  <c r="M361" i="5"/>
  <c r="L361" i="5"/>
  <c r="U355" i="5" s="1"/>
  <c r="L360" i="5"/>
  <c r="K359" i="5"/>
  <c r="J359" i="5"/>
  <c r="I359" i="5"/>
  <c r="H359" i="5"/>
  <c r="G359" i="5"/>
  <c r="K357" i="5"/>
  <c r="J357" i="5"/>
  <c r="I357" i="5"/>
  <c r="H357" i="5"/>
  <c r="G357" i="5"/>
  <c r="G356" i="5"/>
  <c r="H356" i="5" s="1"/>
  <c r="I356" i="5" s="1"/>
  <c r="J356" i="5" s="1"/>
  <c r="K356" i="5" s="1"/>
  <c r="L356" i="5" s="1"/>
  <c r="M356" i="5" s="1"/>
  <c r="S355" i="5"/>
  <c r="H355" i="5"/>
  <c r="I355" i="5" s="1"/>
  <c r="J355" i="5" s="1"/>
  <c r="K355" i="5" s="1"/>
  <c r="L355" i="5" s="1"/>
  <c r="M355" i="5" s="1"/>
  <c r="G355" i="5"/>
  <c r="L352" i="5"/>
  <c r="M352" i="5" s="1"/>
  <c r="L351" i="5"/>
  <c r="M351" i="5" s="1"/>
  <c r="L350" i="5"/>
  <c r="L349" i="5"/>
  <c r="M349" i="5" s="1"/>
  <c r="L348" i="5"/>
  <c r="M348" i="5" s="1"/>
  <c r="M347" i="5"/>
  <c r="L347" i="5"/>
  <c r="L346" i="5"/>
  <c r="M345" i="5"/>
  <c r="L345" i="5"/>
  <c r="L344" i="5"/>
  <c r="K343" i="5"/>
  <c r="J343" i="5"/>
  <c r="I343" i="5"/>
  <c r="H343" i="5"/>
  <c r="G343" i="5"/>
  <c r="K341" i="5"/>
  <c r="J341" i="5"/>
  <c r="I341" i="5"/>
  <c r="H341" i="5"/>
  <c r="G341" i="5"/>
  <c r="I340" i="5"/>
  <c r="J340" i="5" s="1"/>
  <c r="K340" i="5" s="1"/>
  <c r="L340" i="5" s="1"/>
  <c r="M340" i="5" s="1"/>
  <c r="G340" i="5"/>
  <c r="H340" i="5" s="1"/>
  <c r="U339" i="5"/>
  <c r="S339" i="5"/>
  <c r="G339" i="5"/>
  <c r="H339" i="5" s="1"/>
  <c r="I339" i="5" s="1"/>
  <c r="J339" i="5" s="1"/>
  <c r="K339" i="5" s="1"/>
  <c r="L339" i="5" s="1"/>
  <c r="M339" i="5" s="1"/>
  <c r="L336" i="5"/>
  <c r="M336" i="5" s="1"/>
  <c r="M335" i="5"/>
  <c r="L335" i="5"/>
  <c r="L334" i="5"/>
  <c r="L333" i="5"/>
  <c r="M333" i="5" s="1"/>
  <c r="L332" i="5"/>
  <c r="M332" i="5" s="1"/>
  <c r="L331" i="5"/>
  <c r="M331" i="5" s="1"/>
  <c r="L330" i="5"/>
  <c r="L329" i="5"/>
  <c r="M329" i="5" s="1"/>
  <c r="L328" i="5"/>
  <c r="K327" i="5"/>
  <c r="J327" i="5"/>
  <c r="I327" i="5"/>
  <c r="H327" i="5"/>
  <c r="G327" i="5"/>
  <c r="K325" i="5"/>
  <c r="J325" i="5"/>
  <c r="I325" i="5"/>
  <c r="H325" i="5"/>
  <c r="G325" i="5"/>
  <c r="I324" i="5"/>
  <c r="J324" i="5" s="1"/>
  <c r="K324" i="5" s="1"/>
  <c r="L324" i="5" s="1"/>
  <c r="M324" i="5" s="1"/>
  <c r="G324" i="5"/>
  <c r="H324" i="5" s="1"/>
  <c r="X323" i="5"/>
  <c r="S323" i="5"/>
  <c r="G323" i="5"/>
  <c r="H323" i="5" s="1"/>
  <c r="I323" i="5" s="1"/>
  <c r="J323" i="5" s="1"/>
  <c r="K323" i="5" s="1"/>
  <c r="L323" i="5" s="1"/>
  <c r="M323" i="5" s="1"/>
  <c r="L320" i="5"/>
  <c r="M320" i="5" s="1"/>
  <c r="L319" i="5"/>
  <c r="M319" i="5" s="1"/>
  <c r="L318" i="5"/>
  <c r="M317" i="5"/>
  <c r="L317" i="5"/>
  <c r="L316" i="5"/>
  <c r="L315" i="5"/>
  <c r="M315" i="5" s="1"/>
  <c r="L314" i="5"/>
  <c r="L313" i="5"/>
  <c r="M313" i="5" s="1"/>
  <c r="L312" i="5"/>
  <c r="K311" i="5"/>
  <c r="J311" i="5"/>
  <c r="I311" i="5"/>
  <c r="H311" i="5"/>
  <c r="G311" i="5"/>
  <c r="K309" i="5"/>
  <c r="J309" i="5"/>
  <c r="I309" i="5"/>
  <c r="H309" i="5"/>
  <c r="G309" i="5"/>
  <c r="G308" i="5"/>
  <c r="H308" i="5" s="1"/>
  <c r="I308" i="5" s="1"/>
  <c r="J308" i="5" s="1"/>
  <c r="K308" i="5" s="1"/>
  <c r="L308" i="5" s="1"/>
  <c r="M308" i="5" s="1"/>
  <c r="S307" i="5"/>
  <c r="G307" i="5"/>
  <c r="H307" i="5" s="1"/>
  <c r="I307" i="5" s="1"/>
  <c r="J307" i="5" s="1"/>
  <c r="K307" i="5" s="1"/>
  <c r="L307" i="5" s="1"/>
  <c r="M307" i="5" s="1"/>
  <c r="L304" i="5"/>
  <c r="M304" i="5" s="1"/>
  <c r="L303" i="5"/>
  <c r="M303" i="5" s="1"/>
  <c r="L302" i="5"/>
  <c r="M301" i="5"/>
  <c r="L301" i="5"/>
  <c r="L300" i="5"/>
  <c r="M300" i="5" s="1"/>
  <c r="M299" i="5"/>
  <c r="L299" i="5"/>
  <c r="L298" i="5"/>
  <c r="L297" i="5"/>
  <c r="M297" i="5" s="1"/>
  <c r="L296" i="5"/>
  <c r="K295" i="5"/>
  <c r="J295" i="5"/>
  <c r="I295" i="5"/>
  <c r="H295" i="5"/>
  <c r="G295" i="5"/>
  <c r="K293" i="5"/>
  <c r="J293" i="5"/>
  <c r="I293" i="5"/>
  <c r="H293" i="5"/>
  <c r="G293" i="5"/>
  <c r="G292" i="5"/>
  <c r="H292" i="5" s="1"/>
  <c r="I292" i="5" s="1"/>
  <c r="J292" i="5" s="1"/>
  <c r="K292" i="5" s="1"/>
  <c r="L292" i="5" s="1"/>
  <c r="M292" i="5" s="1"/>
  <c r="U291" i="5"/>
  <c r="S291" i="5"/>
  <c r="G291" i="5"/>
  <c r="H291" i="5" s="1"/>
  <c r="I291" i="5" s="1"/>
  <c r="J291" i="5" s="1"/>
  <c r="K291" i="5" s="1"/>
  <c r="L291" i="5" s="1"/>
  <c r="M291" i="5" s="1"/>
  <c r="L288" i="5"/>
  <c r="M288" i="5" s="1"/>
  <c r="M287" i="5"/>
  <c r="L287" i="5"/>
  <c r="L286" i="5"/>
  <c r="L285" i="5"/>
  <c r="M285" i="5" s="1"/>
  <c r="L284" i="5"/>
  <c r="M284" i="5" s="1"/>
  <c r="L283" i="5"/>
  <c r="M283" i="5" s="1"/>
  <c r="L282" i="5"/>
  <c r="L281" i="5"/>
  <c r="M281" i="5" s="1"/>
  <c r="L280" i="5"/>
  <c r="K279" i="5"/>
  <c r="J279" i="5"/>
  <c r="I279" i="5"/>
  <c r="H279" i="5"/>
  <c r="G279" i="5"/>
  <c r="K277" i="5"/>
  <c r="J277" i="5"/>
  <c r="I277" i="5"/>
  <c r="H277" i="5"/>
  <c r="G277" i="5"/>
  <c r="G276" i="5"/>
  <c r="H276" i="5" s="1"/>
  <c r="I276" i="5" s="1"/>
  <c r="J276" i="5" s="1"/>
  <c r="K276" i="5" s="1"/>
  <c r="L276" i="5" s="1"/>
  <c r="M276" i="5" s="1"/>
  <c r="S275" i="5"/>
  <c r="K275" i="5"/>
  <c r="L275" i="5" s="1"/>
  <c r="M275" i="5" s="1"/>
  <c r="H275" i="5"/>
  <c r="I275" i="5" s="1"/>
  <c r="J275" i="5" s="1"/>
  <c r="G275" i="5"/>
  <c r="L272" i="5"/>
  <c r="M272" i="5" s="1"/>
  <c r="L271" i="5"/>
  <c r="M271" i="5" s="1"/>
  <c r="L270" i="5"/>
  <c r="L269" i="5"/>
  <c r="M269" i="5" s="1"/>
  <c r="L268" i="5"/>
  <c r="M268" i="5" s="1"/>
  <c r="L267" i="5"/>
  <c r="M267" i="5" s="1"/>
  <c r="L266" i="5"/>
  <c r="M265" i="5"/>
  <c r="L265" i="5"/>
  <c r="L264" i="5"/>
  <c r="K263" i="5"/>
  <c r="J263" i="5"/>
  <c r="I263" i="5"/>
  <c r="H263" i="5"/>
  <c r="G263" i="5"/>
  <c r="K261" i="5"/>
  <c r="J261" i="5"/>
  <c r="I261" i="5"/>
  <c r="H261" i="5"/>
  <c r="G261" i="5"/>
  <c r="G260" i="5"/>
  <c r="H260" i="5" s="1"/>
  <c r="I260" i="5" s="1"/>
  <c r="J260" i="5" s="1"/>
  <c r="K260" i="5" s="1"/>
  <c r="L260" i="5" s="1"/>
  <c r="M260" i="5" s="1"/>
  <c r="S259" i="5"/>
  <c r="G259" i="5"/>
  <c r="H259" i="5" s="1"/>
  <c r="I259" i="5" s="1"/>
  <c r="J259" i="5" s="1"/>
  <c r="K259" i="5" s="1"/>
  <c r="L259" i="5" s="1"/>
  <c r="M259" i="5" s="1"/>
  <c r="L256" i="5"/>
  <c r="M256" i="5" s="1"/>
  <c r="L255" i="5"/>
  <c r="M255" i="5" s="1"/>
  <c r="L254" i="5"/>
  <c r="L253" i="5"/>
  <c r="M253" i="5" s="1"/>
  <c r="L252" i="5"/>
  <c r="M252" i="5" s="1"/>
  <c r="L251" i="5"/>
  <c r="M251" i="5" s="1"/>
  <c r="L250" i="5"/>
  <c r="M249" i="5"/>
  <c r="L249" i="5"/>
  <c r="L248" i="5"/>
  <c r="K247" i="5"/>
  <c r="J247" i="5"/>
  <c r="I247" i="5"/>
  <c r="H247" i="5"/>
  <c r="G247" i="5"/>
  <c r="K245" i="5"/>
  <c r="J245" i="5"/>
  <c r="I245" i="5"/>
  <c r="H245" i="5"/>
  <c r="G245" i="5"/>
  <c r="G244" i="5"/>
  <c r="H244" i="5" s="1"/>
  <c r="I244" i="5" s="1"/>
  <c r="J244" i="5" s="1"/>
  <c r="K244" i="5" s="1"/>
  <c r="L244" i="5" s="1"/>
  <c r="M244" i="5" s="1"/>
  <c r="X243" i="5"/>
  <c r="S243" i="5"/>
  <c r="G243" i="5"/>
  <c r="H243" i="5" s="1"/>
  <c r="I243" i="5" s="1"/>
  <c r="J243" i="5" s="1"/>
  <c r="K243" i="5" s="1"/>
  <c r="L243" i="5" s="1"/>
  <c r="M243" i="5" s="1"/>
  <c r="L240" i="5"/>
  <c r="M240" i="5" s="1"/>
  <c r="M239" i="5"/>
  <c r="L239" i="5"/>
  <c r="L238" i="5"/>
  <c r="L237" i="5"/>
  <c r="M237" i="5" s="1"/>
  <c r="L236" i="5"/>
  <c r="M236" i="5" s="1"/>
  <c r="M235" i="5"/>
  <c r="L235" i="5"/>
  <c r="L234" i="5"/>
  <c r="M233" i="5"/>
  <c r="L233" i="5"/>
  <c r="U227" i="5" s="1"/>
  <c r="L232" i="5"/>
  <c r="K231" i="5"/>
  <c r="J231" i="5"/>
  <c r="I231" i="5"/>
  <c r="H231" i="5"/>
  <c r="G231" i="5"/>
  <c r="K229" i="5"/>
  <c r="J229" i="5"/>
  <c r="I229" i="5"/>
  <c r="H229" i="5"/>
  <c r="G229" i="5"/>
  <c r="G228" i="5"/>
  <c r="H228" i="5" s="1"/>
  <c r="I228" i="5" s="1"/>
  <c r="J228" i="5" s="1"/>
  <c r="K228" i="5" s="1"/>
  <c r="L228" i="5" s="1"/>
  <c r="M228" i="5" s="1"/>
  <c r="S227" i="5"/>
  <c r="H227" i="5"/>
  <c r="I227" i="5" s="1"/>
  <c r="J227" i="5" s="1"/>
  <c r="K227" i="5" s="1"/>
  <c r="L227" i="5" s="1"/>
  <c r="M227" i="5" s="1"/>
  <c r="G227" i="5"/>
  <c r="L224" i="5"/>
  <c r="M224" i="5" s="1"/>
  <c r="L223" i="5"/>
  <c r="M223" i="5" s="1"/>
  <c r="L222" i="5"/>
  <c r="L221" i="5"/>
  <c r="M221" i="5" s="1"/>
  <c r="L220" i="5"/>
  <c r="M220" i="5" s="1"/>
  <c r="M219" i="5"/>
  <c r="L219" i="5"/>
  <c r="L218" i="5"/>
  <c r="L217" i="5"/>
  <c r="M217" i="5" s="1"/>
  <c r="L216" i="5"/>
  <c r="K215" i="5"/>
  <c r="J215" i="5"/>
  <c r="I215" i="5"/>
  <c r="H215" i="5"/>
  <c r="G215" i="5"/>
  <c r="K213" i="5"/>
  <c r="J213" i="5"/>
  <c r="I213" i="5"/>
  <c r="H213" i="5"/>
  <c r="G213" i="5"/>
  <c r="I212" i="5"/>
  <c r="J212" i="5" s="1"/>
  <c r="K212" i="5" s="1"/>
  <c r="L212" i="5" s="1"/>
  <c r="M212" i="5" s="1"/>
  <c r="G212" i="5"/>
  <c r="H212" i="5" s="1"/>
  <c r="U211" i="5"/>
  <c r="S211" i="5"/>
  <c r="G211" i="5"/>
  <c r="H211" i="5" s="1"/>
  <c r="I211" i="5" s="1"/>
  <c r="J211" i="5" s="1"/>
  <c r="K211" i="5" s="1"/>
  <c r="L211" i="5" s="1"/>
  <c r="M211" i="5" s="1"/>
  <c r="L208" i="5"/>
  <c r="M208" i="5" s="1"/>
  <c r="L207" i="5"/>
  <c r="M207" i="5" s="1"/>
  <c r="L206" i="5"/>
  <c r="M205" i="5"/>
  <c r="L205" i="5"/>
  <c r="L204" i="5"/>
  <c r="M204" i="5" s="1"/>
  <c r="L203" i="5"/>
  <c r="M203" i="5" s="1"/>
  <c r="L202" i="5"/>
  <c r="L201" i="5"/>
  <c r="M201" i="5" s="1"/>
  <c r="L200" i="5"/>
  <c r="K199" i="5"/>
  <c r="J199" i="5"/>
  <c r="I199" i="5"/>
  <c r="H199" i="5"/>
  <c r="G199" i="5"/>
  <c r="K197" i="5"/>
  <c r="J197" i="5"/>
  <c r="I197" i="5"/>
  <c r="H197" i="5"/>
  <c r="G197" i="5"/>
  <c r="I196" i="5"/>
  <c r="J196" i="5" s="1"/>
  <c r="K196" i="5" s="1"/>
  <c r="L196" i="5" s="1"/>
  <c r="M196" i="5" s="1"/>
  <c r="G196" i="5"/>
  <c r="H196" i="5" s="1"/>
  <c r="X195" i="5"/>
  <c r="S195" i="5"/>
  <c r="G195" i="5"/>
  <c r="H195" i="5" s="1"/>
  <c r="I195" i="5" s="1"/>
  <c r="J195" i="5" s="1"/>
  <c r="K195" i="5" s="1"/>
  <c r="L195" i="5" s="1"/>
  <c r="M195" i="5" s="1"/>
  <c r="L192" i="5"/>
  <c r="M192" i="5" s="1"/>
  <c r="L191" i="5"/>
  <c r="M191" i="5" s="1"/>
  <c r="L190" i="5"/>
  <c r="L189" i="5"/>
  <c r="M189" i="5" s="1"/>
  <c r="L188" i="5"/>
  <c r="M187" i="5"/>
  <c r="L187" i="5"/>
  <c r="L186" i="5"/>
  <c r="L185" i="5"/>
  <c r="M185" i="5" s="1"/>
  <c r="L184" i="5"/>
  <c r="K183" i="5"/>
  <c r="J183" i="5"/>
  <c r="I183" i="5"/>
  <c r="H183" i="5"/>
  <c r="G183" i="5"/>
  <c r="K181" i="5"/>
  <c r="J181" i="5"/>
  <c r="I181" i="5"/>
  <c r="H181" i="5"/>
  <c r="G181" i="5"/>
  <c r="G180" i="5"/>
  <c r="H180" i="5" s="1"/>
  <c r="I180" i="5" s="1"/>
  <c r="J180" i="5" s="1"/>
  <c r="K180" i="5" s="1"/>
  <c r="L180" i="5" s="1"/>
  <c r="M180" i="5" s="1"/>
  <c r="S179" i="5"/>
  <c r="G179" i="5"/>
  <c r="H179" i="5" s="1"/>
  <c r="I179" i="5" s="1"/>
  <c r="J179" i="5" s="1"/>
  <c r="K179" i="5" s="1"/>
  <c r="L179" i="5" s="1"/>
  <c r="M179" i="5" s="1"/>
  <c r="L176" i="5"/>
  <c r="M176" i="5" s="1"/>
  <c r="L175" i="5"/>
  <c r="M175" i="5" s="1"/>
  <c r="L174" i="5"/>
  <c r="M173" i="5"/>
  <c r="L173" i="5"/>
  <c r="L172" i="5"/>
  <c r="M172" i="5" s="1"/>
  <c r="M171" i="5"/>
  <c r="L171" i="5"/>
  <c r="L170" i="5"/>
  <c r="L169" i="5"/>
  <c r="M169" i="5" s="1"/>
  <c r="L168" i="5"/>
  <c r="K167" i="5"/>
  <c r="J167" i="5"/>
  <c r="I167" i="5"/>
  <c r="H167" i="5"/>
  <c r="G167" i="5"/>
  <c r="K165" i="5"/>
  <c r="J165" i="5"/>
  <c r="I165" i="5"/>
  <c r="H165" i="5"/>
  <c r="G165" i="5"/>
  <c r="G164" i="5"/>
  <c r="H164" i="5" s="1"/>
  <c r="I164" i="5" s="1"/>
  <c r="J164" i="5" s="1"/>
  <c r="K164" i="5" s="1"/>
  <c r="L164" i="5" s="1"/>
  <c r="M164" i="5" s="1"/>
  <c r="U163" i="5"/>
  <c r="S163" i="5"/>
  <c r="G163" i="5"/>
  <c r="H163" i="5" s="1"/>
  <c r="I163" i="5" s="1"/>
  <c r="J163" i="5" s="1"/>
  <c r="K163" i="5" s="1"/>
  <c r="L163" i="5" s="1"/>
  <c r="M163" i="5" s="1"/>
  <c r="L160" i="5"/>
  <c r="M160" i="5" s="1"/>
  <c r="M159" i="5"/>
  <c r="L159" i="5"/>
  <c r="L158" i="5"/>
  <c r="L157" i="5"/>
  <c r="M157" i="5" s="1"/>
  <c r="L156" i="5"/>
  <c r="M156" i="5" s="1"/>
  <c r="L155" i="5"/>
  <c r="M155" i="5" s="1"/>
  <c r="L154" i="5"/>
  <c r="L153" i="5"/>
  <c r="M153" i="5" s="1"/>
  <c r="L152" i="5"/>
  <c r="K151" i="5"/>
  <c r="J151" i="5"/>
  <c r="I151" i="5"/>
  <c r="H151" i="5"/>
  <c r="G151" i="5"/>
  <c r="K149" i="5"/>
  <c r="J149" i="5"/>
  <c r="I149" i="5"/>
  <c r="H149" i="5"/>
  <c r="G149" i="5"/>
  <c r="G148" i="5"/>
  <c r="H148" i="5" s="1"/>
  <c r="I148" i="5" s="1"/>
  <c r="J148" i="5" s="1"/>
  <c r="K148" i="5" s="1"/>
  <c r="L148" i="5" s="1"/>
  <c r="M148" i="5" s="1"/>
  <c r="S147" i="5"/>
  <c r="K147" i="5"/>
  <c r="L147" i="5" s="1"/>
  <c r="M147" i="5" s="1"/>
  <c r="H147" i="5"/>
  <c r="I147" i="5" s="1"/>
  <c r="J147" i="5" s="1"/>
  <c r="G147" i="5"/>
  <c r="L144" i="5"/>
  <c r="M144" i="5" s="1"/>
  <c r="L143" i="5"/>
  <c r="M143" i="5" s="1"/>
  <c r="L142" i="5"/>
  <c r="M142" i="5" s="1"/>
  <c r="L141" i="5"/>
  <c r="M141" i="5" s="1"/>
  <c r="L140" i="5"/>
  <c r="M140" i="5" s="1"/>
  <c r="L139" i="5"/>
  <c r="M139" i="5" s="1"/>
  <c r="M138" i="5"/>
  <c r="L138" i="5"/>
  <c r="L137" i="5"/>
  <c r="L136" i="5"/>
  <c r="M136" i="5" s="1"/>
  <c r="K135" i="5"/>
  <c r="J135" i="5"/>
  <c r="I135" i="5"/>
  <c r="H135" i="5"/>
  <c r="G135" i="5"/>
  <c r="K133" i="5"/>
  <c r="J133" i="5"/>
  <c r="I133" i="5"/>
  <c r="H133" i="5"/>
  <c r="G133" i="5"/>
  <c r="G132" i="5"/>
  <c r="H132" i="5" s="1"/>
  <c r="I132" i="5" s="1"/>
  <c r="J132" i="5" s="1"/>
  <c r="K132" i="5" s="1"/>
  <c r="L132" i="5" s="1"/>
  <c r="M132" i="5" s="1"/>
  <c r="V131" i="5"/>
  <c r="S131" i="5"/>
  <c r="G131" i="5"/>
  <c r="H131" i="5" s="1"/>
  <c r="I131" i="5" s="1"/>
  <c r="J131" i="5" s="1"/>
  <c r="K131" i="5" s="1"/>
  <c r="L131" i="5" s="1"/>
  <c r="M131" i="5" s="1"/>
  <c r="L128" i="5"/>
  <c r="M128" i="5" s="1"/>
  <c r="L127" i="5"/>
  <c r="M127" i="5" s="1"/>
  <c r="L126" i="5"/>
  <c r="W115" i="5" s="1"/>
  <c r="L125" i="5"/>
  <c r="M125" i="5" s="1"/>
  <c r="L124" i="5"/>
  <c r="L123" i="5"/>
  <c r="M123" i="5" s="1"/>
  <c r="L122" i="5"/>
  <c r="M122" i="5" s="1"/>
  <c r="L121" i="5"/>
  <c r="L120" i="5"/>
  <c r="M120" i="5" s="1"/>
  <c r="K119" i="5"/>
  <c r="J119" i="5"/>
  <c r="I119" i="5"/>
  <c r="H119" i="5"/>
  <c r="G119" i="5"/>
  <c r="K117" i="5"/>
  <c r="J117" i="5"/>
  <c r="I117" i="5"/>
  <c r="H117" i="5"/>
  <c r="G117" i="5"/>
  <c r="G116" i="5"/>
  <c r="H116" i="5" s="1"/>
  <c r="I116" i="5" s="1"/>
  <c r="J116" i="5" s="1"/>
  <c r="K116" i="5" s="1"/>
  <c r="L116" i="5" s="1"/>
  <c r="M116" i="5" s="1"/>
  <c r="S115" i="5"/>
  <c r="G115" i="5"/>
  <c r="H115" i="5" s="1"/>
  <c r="I115" i="5" s="1"/>
  <c r="J115" i="5" s="1"/>
  <c r="K115" i="5" s="1"/>
  <c r="L115" i="5" s="1"/>
  <c r="M115" i="5" s="1"/>
  <c r="L112" i="5"/>
  <c r="M112" i="5" s="1"/>
  <c r="L111" i="5"/>
  <c r="M111" i="5" s="1"/>
  <c r="L110" i="5"/>
  <c r="W99" i="5" s="1"/>
  <c r="L109" i="5"/>
  <c r="M109" i="5" s="1"/>
  <c r="L108" i="5"/>
  <c r="L107" i="5"/>
  <c r="M107" i="5" s="1"/>
  <c r="M106" i="5"/>
  <c r="L106" i="5"/>
  <c r="L105" i="5"/>
  <c r="L104" i="5"/>
  <c r="L103" i="5" s="1"/>
  <c r="M103" i="5" s="1"/>
  <c r="K103" i="5"/>
  <c r="J103" i="5"/>
  <c r="I103" i="5"/>
  <c r="H103" i="5"/>
  <c r="G103" i="5"/>
  <c r="K101" i="5"/>
  <c r="J101" i="5"/>
  <c r="I101" i="5"/>
  <c r="H101" i="5"/>
  <c r="G101" i="5"/>
  <c r="G100" i="5"/>
  <c r="H100" i="5" s="1"/>
  <c r="I100" i="5" s="1"/>
  <c r="J100" i="5" s="1"/>
  <c r="K100" i="5" s="1"/>
  <c r="L100" i="5" s="1"/>
  <c r="M100" i="5" s="1"/>
  <c r="V99" i="5"/>
  <c r="S99" i="5"/>
  <c r="G99" i="5"/>
  <c r="H99" i="5" s="1"/>
  <c r="I99" i="5" s="1"/>
  <c r="J99" i="5" s="1"/>
  <c r="K99" i="5" s="1"/>
  <c r="L99" i="5" s="1"/>
  <c r="M99" i="5" s="1"/>
  <c r="L96" i="5"/>
  <c r="M96" i="5" s="1"/>
  <c r="L95" i="5"/>
  <c r="M95" i="5" s="1"/>
  <c r="L94" i="5"/>
  <c r="W83" i="5" s="1"/>
  <c r="L93" i="5"/>
  <c r="M93" i="5" s="1"/>
  <c r="L92" i="5"/>
  <c r="L91" i="5"/>
  <c r="M91" i="5" s="1"/>
  <c r="L90" i="5"/>
  <c r="M90" i="5" s="1"/>
  <c r="L89" i="5"/>
  <c r="M88" i="5"/>
  <c r="L88" i="5"/>
  <c r="K87" i="5"/>
  <c r="J87" i="5"/>
  <c r="I87" i="5"/>
  <c r="H87" i="5"/>
  <c r="G87" i="5"/>
  <c r="K85" i="5"/>
  <c r="J85" i="5"/>
  <c r="I85" i="5"/>
  <c r="H85" i="5"/>
  <c r="G85" i="5"/>
  <c r="G84" i="5"/>
  <c r="H84" i="5" s="1"/>
  <c r="I84" i="5" s="1"/>
  <c r="J84" i="5" s="1"/>
  <c r="K84" i="5" s="1"/>
  <c r="L84" i="5" s="1"/>
  <c r="M84" i="5" s="1"/>
  <c r="S83" i="5"/>
  <c r="G83" i="5"/>
  <c r="H83" i="5" s="1"/>
  <c r="I83" i="5" s="1"/>
  <c r="J83" i="5" s="1"/>
  <c r="K83" i="5" s="1"/>
  <c r="L83" i="5" s="1"/>
  <c r="M83" i="5" s="1"/>
  <c r="L80" i="5"/>
  <c r="M80" i="5" s="1"/>
  <c r="L79" i="5"/>
  <c r="M79" i="5" s="1"/>
  <c r="L78" i="5"/>
  <c r="W67" i="5" s="1"/>
  <c r="L77" i="5"/>
  <c r="M77" i="5" s="1"/>
  <c r="L76" i="5"/>
  <c r="L75" i="5"/>
  <c r="M75" i="5" s="1"/>
  <c r="L74" i="5"/>
  <c r="V67" i="5" s="1"/>
  <c r="L73" i="5"/>
  <c r="L72" i="5"/>
  <c r="M72" i="5" s="1"/>
  <c r="K71" i="5"/>
  <c r="J71" i="5"/>
  <c r="I71" i="5"/>
  <c r="H71" i="5"/>
  <c r="G71" i="5"/>
  <c r="K69" i="5"/>
  <c r="J69" i="5"/>
  <c r="I69" i="5"/>
  <c r="H69" i="5"/>
  <c r="G69" i="5"/>
  <c r="G68" i="5"/>
  <c r="H68" i="5" s="1"/>
  <c r="I68" i="5" s="1"/>
  <c r="J68" i="5" s="1"/>
  <c r="K68" i="5" s="1"/>
  <c r="L68" i="5" s="1"/>
  <c r="M68" i="5" s="1"/>
  <c r="S67" i="5"/>
  <c r="G67" i="5"/>
  <c r="H67" i="5" s="1"/>
  <c r="I67" i="5" s="1"/>
  <c r="J67" i="5" s="1"/>
  <c r="K67" i="5" s="1"/>
  <c r="L67" i="5" s="1"/>
  <c r="M67" i="5" s="1"/>
  <c r="L64" i="5"/>
  <c r="M64" i="5" s="1"/>
  <c r="L63" i="5"/>
  <c r="M63" i="5" s="1"/>
  <c r="L62" i="5"/>
  <c r="W51" i="5" s="1"/>
  <c r="L61" i="5"/>
  <c r="M61" i="5" s="1"/>
  <c r="L60" i="5"/>
  <c r="L59" i="5"/>
  <c r="M59" i="5" s="1"/>
  <c r="L58" i="5"/>
  <c r="M58" i="5" s="1"/>
  <c r="L57" i="5"/>
  <c r="L56" i="5"/>
  <c r="M56" i="5" s="1"/>
  <c r="K55" i="5"/>
  <c r="J55" i="5"/>
  <c r="I55" i="5"/>
  <c r="H55" i="5"/>
  <c r="G55" i="5"/>
  <c r="K53" i="5"/>
  <c r="J53" i="5"/>
  <c r="I53" i="5"/>
  <c r="H53" i="5"/>
  <c r="G53" i="5"/>
  <c r="G52" i="5"/>
  <c r="H52" i="5" s="1"/>
  <c r="I52" i="5" s="1"/>
  <c r="J52" i="5" s="1"/>
  <c r="K52" i="5" s="1"/>
  <c r="L52" i="5" s="1"/>
  <c r="M52" i="5" s="1"/>
  <c r="S51" i="5"/>
  <c r="G51" i="5"/>
  <c r="H51" i="5" s="1"/>
  <c r="I51" i="5" s="1"/>
  <c r="J51" i="5" s="1"/>
  <c r="K51" i="5" s="1"/>
  <c r="L51" i="5" s="1"/>
  <c r="M51" i="5" s="1"/>
  <c r="M48" i="5"/>
  <c r="L48" i="5"/>
  <c r="L47" i="5"/>
  <c r="M47" i="5" s="1"/>
  <c r="L46" i="5"/>
  <c r="W35" i="5" s="1"/>
  <c r="L45" i="5"/>
  <c r="M45" i="5" s="1"/>
  <c r="L44" i="5"/>
  <c r="L43" i="5"/>
  <c r="M43" i="5" s="1"/>
  <c r="M42" i="5"/>
  <c r="L42" i="5"/>
  <c r="L41" i="5"/>
  <c r="L40" i="5"/>
  <c r="L39" i="5" s="1"/>
  <c r="M39" i="5" s="1"/>
  <c r="K39" i="5"/>
  <c r="J39" i="5"/>
  <c r="I39" i="5"/>
  <c r="H39" i="5"/>
  <c r="G39" i="5"/>
  <c r="K37" i="5"/>
  <c r="J37" i="5"/>
  <c r="I37" i="5"/>
  <c r="H37" i="5"/>
  <c r="G37" i="5"/>
  <c r="G36" i="5"/>
  <c r="H36" i="5" s="1"/>
  <c r="I36" i="5" s="1"/>
  <c r="J36" i="5" s="1"/>
  <c r="K36" i="5" s="1"/>
  <c r="L36" i="5" s="1"/>
  <c r="M36" i="5" s="1"/>
  <c r="V35" i="5"/>
  <c r="S35" i="5"/>
  <c r="G35" i="5"/>
  <c r="H35" i="5" s="1"/>
  <c r="I35" i="5" s="1"/>
  <c r="J35" i="5" s="1"/>
  <c r="K35" i="5" s="1"/>
  <c r="L35" i="5" s="1"/>
  <c r="M35" i="5" s="1"/>
  <c r="A35" i="5"/>
  <c r="A51" i="5" s="1"/>
  <c r="A67" i="5" s="1"/>
  <c r="A83" i="5" s="1"/>
  <c r="A99" i="5" s="1"/>
  <c r="A115" i="5" s="1"/>
  <c r="A131" i="5" s="1"/>
  <c r="A147" i="5" s="1"/>
  <c r="A163" i="5" s="1"/>
  <c r="A179" i="5" s="1"/>
  <c r="A195" i="5" s="1"/>
  <c r="A211" i="5" s="1"/>
  <c r="A227" i="5" s="1"/>
  <c r="A243" i="5" s="1"/>
  <c r="A259" i="5" s="1"/>
  <c r="A275" i="5" s="1"/>
  <c r="A291" i="5" s="1"/>
  <c r="A307" i="5" s="1"/>
  <c r="A323" i="5" s="1"/>
  <c r="A339" i="5" s="1"/>
  <c r="A355" i="5" s="1"/>
  <c r="A371" i="5" s="1"/>
  <c r="A387" i="5" s="1"/>
  <c r="A403" i="5" s="1"/>
  <c r="A419" i="5" s="1"/>
  <c r="A435" i="5" s="1"/>
  <c r="A451" i="5" s="1"/>
  <c r="A467" i="5" s="1"/>
  <c r="A483" i="5" s="1"/>
  <c r="A499" i="5" s="1"/>
  <c r="A515" i="5" s="1"/>
  <c r="A531" i="5" s="1"/>
  <c r="A547" i="5" s="1"/>
  <c r="A563" i="5" s="1"/>
  <c r="A579" i="5" s="1"/>
  <c r="A595" i="5" s="1"/>
  <c r="A611" i="5" s="1"/>
  <c r="A627" i="5" s="1"/>
  <c r="A643" i="5" s="1"/>
  <c r="A659" i="5" s="1"/>
  <c r="A675" i="5" s="1"/>
  <c r="A691" i="5" s="1"/>
  <c r="A707" i="5" s="1"/>
  <c r="A723" i="5" s="1"/>
  <c r="A739" i="5" s="1"/>
  <c r="A755" i="5" s="1"/>
  <c r="A771" i="5" s="1"/>
  <c r="A787" i="5" s="1"/>
  <c r="A803" i="5" s="1"/>
  <c r="L32" i="5"/>
  <c r="M32" i="5" s="1"/>
  <c r="L31" i="5"/>
  <c r="M31" i="5" s="1"/>
  <c r="L30" i="5"/>
  <c r="M30" i="5" s="1"/>
  <c r="L29" i="5"/>
  <c r="M29" i="5" s="1"/>
  <c r="L28" i="5"/>
  <c r="X19" i="5" s="1"/>
  <c r="L27" i="5"/>
  <c r="M27" i="5" s="1"/>
  <c r="L26" i="5"/>
  <c r="M26" i="5" s="1"/>
  <c r="L25" i="5"/>
  <c r="U19" i="5" s="1"/>
  <c r="L24" i="5"/>
  <c r="M24" i="5" s="1"/>
  <c r="K23" i="5"/>
  <c r="J23" i="5"/>
  <c r="I23" i="5"/>
  <c r="H23" i="5"/>
  <c r="G23" i="5"/>
  <c r="K21" i="5"/>
  <c r="J21" i="5"/>
  <c r="I21" i="5"/>
  <c r="H21" i="5"/>
  <c r="G21" i="5"/>
  <c r="G20" i="5"/>
  <c r="H20" i="5" s="1"/>
  <c r="I20" i="5" s="1"/>
  <c r="J20" i="5" s="1"/>
  <c r="K20" i="5" s="1"/>
  <c r="L20" i="5" s="1"/>
  <c r="M20" i="5" s="1"/>
  <c r="C20" i="5"/>
  <c r="C36" i="5" s="1"/>
  <c r="C52" i="5" s="1"/>
  <c r="C68" i="5" s="1"/>
  <c r="C84" i="5" s="1"/>
  <c r="C100" i="5" s="1"/>
  <c r="C116" i="5" s="1"/>
  <c r="C132" i="5" s="1"/>
  <c r="C148" i="5" s="1"/>
  <c r="C164" i="5" s="1"/>
  <c r="C180" i="5" s="1"/>
  <c r="C196" i="5" s="1"/>
  <c r="C212" i="5" s="1"/>
  <c r="C228" i="5" s="1"/>
  <c r="C244" i="5" s="1"/>
  <c r="C260" i="5" s="1"/>
  <c r="C276" i="5" s="1"/>
  <c r="C292" i="5" s="1"/>
  <c r="C308" i="5" s="1"/>
  <c r="C324" i="5" s="1"/>
  <c r="C340" i="5" s="1"/>
  <c r="C356" i="5" s="1"/>
  <c r="C372" i="5" s="1"/>
  <c r="C388" i="5" s="1"/>
  <c r="C404" i="5" s="1"/>
  <c r="C420" i="5" s="1"/>
  <c r="C436" i="5" s="1"/>
  <c r="C452" i="5" s="1"/>
  <c r="C468" i="5" s="1"/>
  <c r="C484" i="5" s="1"/>
  <c r="C500" i="5" s="1"/>
  <c r="C516" i="5" s="1"/>
  <c r="C532" i="5" s="1"/>
  <c r="C548" i="5" s="1"/>
  <c r="C564" i="5" s="1"/>
  <c r="C580" i="5" s="1"/>
  <c r="C596" i="5" s="1"/>
  <c r="C612" i="5" s="1"/>
  <c r="C628" i="5" s="1"/>
  <c r="C644" i="5" s="1"/>
  <c r="C660" i="5" s="1"/>
  <c r="C676" i="5" s="1"/>
  <c r="C692" i="5" s="1"/>
  <c r="C708" i="5" s="1"/>
  <c r="C724" i="5" s="1"/>
  <c r="C740" i="5" s="1"/>
  <c r="C756" i="5" s="1"/>
  <c r="C772" i="5" s="1"/>
  <c r="C788" i="5" s="1"/>
  <c r="C804" i="5" s="1"/>
  <c r="W19" i="5"/>
  <c r="S19" i="5"/>
  <c r="H19" i="5"/>
  <c r="I19" i="5" s="1"/>
  <c r="J19" i="5" s="1"/>
  <c r="K19" i="5" s="1"/>
  <c r="L19" i="5" s="1"/>
  <c r="M19" i="5" s="1"/>
  <c r="G19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I4" i="5"/>
  <c r="J4" i="5" s="1"/>
  <c r="K4" i="5" s="1"/>
  <c r="L4" i="5" s="1"/>
  <c r="M4" i="5" s="1"/>
  <c r="H4" i="5"/>
  <c r="S3" i="5"/>
  <c r="I3" i="5"/>
  <c r="J3" i="5" s="1"/>
  <c r="K3" i="5" s="1"/>
  <c r="L3" i="5" s="1"/>
  <c r="M3" i="5" s="1"/>
  <c r="H3" i="5"/>
  <c r="X1" i="5"/>
  <c r="T1" i="5"/>
  <c r="L816" i="4"/>
  <c r="M816" i="4" s="1"/>
  <c r="L815" i="4"/>
  <c r="M815" i="4" s="1"/>
  <c r="L814" i="4"/>
  <c r="M814" i="4" s="1"/>
  <c r="L813" i="4"/>
  <c r="M813" i="4" s="1"/>
  <c r="L812" i="4"/>
  <c r="L811" i="4"/>
  <c r="M811" i="4" s="1"/>
  <c r="L810" i="4"/>
  <c r="M810" i="4" s="1"/>
  <c r="L809" i="4"/>
  <c r="M809" i="4" s="1"/>
  <c r="L808" i="4"/>
  <c r="K807" i="4"/>
  <c r="J807" i="4"/>
  <c r="I807" i="4"/>
  <c r="H807" i="4"/>
  <c r="G807" i="4"/>
  <c r="K805" i="4"/>
  <c r="J805" i="4"/>
  <c r="I805" i="4"/>
  <c r="H805" i="4"/>
  <c r="G805" i="4"/>
  <c r="G804" i="4"/>
  <c r="H804" i="4" s="1"/>
  <c r="I804" i="4" s="1"/>
  <c r="J804" i="4" s="1"/>
  <c r="K804" i="4" s="1"/>
  <c r="L804" i="4" s="1"/>
  <c r="M804" i="4" s="1"/>
  <c r="W803" i="4"/>
  <c r="V803" i="4"/>
  <c r="S803" i="4"/>
  <c r="G803" i="4"/>
  <c r="H803" i="4" s="1"/>
  <c r="I803" i="4" s="1"/>
  <c r="J803" i="4" s="1"/>
  <c r="K803" i="4" s="1"/>
  <c r="L803" i="4" s="1"/>
  <c r="M803" i="4" s="1"/>
  <c r="M800" i="4"/>
  <c r="L800" i="4"/>
  <c r="L799" i="4"/>
  <c r="M799" i="4" s="1"/>
  <c r="M798" i="4"/>
  <c r="L798" i="4"/>
  <c r="L797" i="4"/>
  <c r="M797" i="4" s="1"/>
  <c r="L796" i="4"/>
  <c r="L795" i="4"/>
  <c r="M794" i="4"/>
  <c r="L794" i="4"/>
  <c r="L793" i="4"/>
  <c r="U787" i="4" s="1"/>
  <c r="M792" i="4"/>
  <c r="L792" i="4"/>
  <c r="K791" i="4"/>
  <c r="J791" i="4"/>
  <c r="I791" i="4"/>
  <c r="H791" i="4"/>
  <c r="G791" i="4"/>
  <c r="K789" i="4"/>
  <c r="J789" i="4"/>
  <c r="I789" i="4"/>
  <c r="H789" i="4"/>
  <c r="G789" i="4"/>
  <c r="G788" i="4"/>
  <c r="H788" i="4" s="1"/>
  <c r="I788" i="4" s="1"/>
  <c r="J788" i="4" s="1"/>
  <c r="K788" i="4" s="1"/>
  <c r="L788" i="4" s="1"/>
  <c r="M788" i="4" s="1"/>
  <c r="W787" i="4"/>
  <c r="S787" i="4"/>
  <c r="G787" i="4"/>
  <c r="H787" i="4" s="1"/>
  <c r="I787" i="4" s="1"/>
  <c r="J787" i="4" s="1"/>
  <c r="K787" i="4" s="1"/>
  <c r="L787" i="4" s="1"/>
  <c r="M787" i="4" s="1"/>
  <c r="M784" i="4"/>
  <c r="L784" i="4"/>
  <c r="L783" i="4"/>
  <c r="M783" i="4" s="1"/>
  <c r="M782" i="4"/>
  <c r="L782" i="4"/>
  <c r="L781" i="4"/>
  <c r="M781" i="4" s="1"/>
  <c r="L780" i="4"/>
  <c r="L779" i="4"/>
  <c r="M778" i="4"/>
  <c r="L778" i="4"/>
  <c r="L777" i="4"/>
  <c r="U771" i="4" s="1"/>
  <c r="M776" i="4"/>
  <c r="L776" i="4"/>
  <c r="K775" i="4"/>
  <c r="J775" i="4"/>
  <c r="I775" i="4"/>
  <c r="H775" i="4"/>
  <c r="G775" i="4"/>
  <c r="K773" i="4"/>
  <c r="J773" i="4"/>
  <c r="I773" i="4"/>
  <c r="H773" i="4"/>
  <c r="G773" i="4"/>
  <c r="G772" i="4"/>
  <c r="H772" i="4" s="1"/>
  <c r="I772" i="4" s="1"/>
  <c r="J772" i="4" s="1"/>
  <c r="K772" i="4" s="1"/>
  <c r="L772" i="4" s="1"/>
  <c r="M772" i="4" s="1"/>
  <c r="W771" i="4"/>
  <c r="S771" i="4"/>
  <c r="G771" i="4"/>
  <c r="H771" i="4" s="1"/>
  <c r="I771" i="4" s="1"/>
  <c r="J771" i="4" s="1"/>
  <c r="K771" i="4" s="1"/>
  <c r="L771" i="4" s="1"/>
  <c r="M771" i="4" s="1"/>
  <c r="M768" i="4"/>
  <c r="L768" i="4"/>
  <c r="L767" i="4"/>
  <c r="M767" i="4" s="1"/>
  <c r="M766" i="4"/>
  <c r="L766" i="4"/>
  <c r="L765" i="4"/>
  <c r="M765" i="4" s="1"/>
  <c r="L764" i="4"/>
  <c r="L763" i="4"/>
  <c r="M762" i="4"/>
  <c r="L762" i="4"/>
  <c r="L761" i="4"/>
  <c r="M760" i="4"/>
  <c r="L760" i="4"/>
  <c r="K759" i="4"/>
  <c r="J759" i="4"/>
  <c r="I759" i="4"/>
  <c r="H759" i="4"/>
  <c r="G759" i="4"/>
  <c r="K757" i="4"/>
  <c r="J757" i="4"/>
  <c r="I757" i="4"/>
  <c r="H757" i="4"/>
  <c r="G757" i="4"/>
  <c r="G756" i="4"/>
  <c r="H756" i="4" s="1"/>
  <c r="I756" i="4" s="1"/>
  <c r="J756" i="4" s="1"/>
  <c r="K756" i="4" s="1"/>
  <c r="L756" i="4" s="1"/>
  <c r="M756" i="4" s="1"/>
  <c r="W755" i="4"/>
  <c r="S755" i="4"/>
  <c r="G755" i="4"/>
  <c r="H755" i="4" s="1"/>
  <c r="I755" i="4" s="1"/>
  <c r="J755" i="4" s="1"/>
  <c r="K755" i="4" s="1"/>
  <c r="L755" i="4" s="1"/>
  <c r="M755" i="4" s="1"/>
  <c r="M752" i="4"/>
  <c r="L752" i="4"/>
  <c r="L751" i="4"/>
  <c r="M751" i="4" s="1"/>
  <c r="M750" i="4"/>
  <c r="L750" i="4"/>
  <c r="L749" i="4"/>
  <c r="M749" i="4" s="1"/>
  <c r="L748" i="4"/>
  <c r="L747" i="4"/>
  <c r="M747" i="4" s="1"/>
  <c r="L746" i="4"/>
  <c r="M746" i="4" s="1"/>
  <c r="L745" i="4"/>
  <c r="M744" i="4"/>
  <c r="L744" i="4"/>
  <c r="K743" i="4"/>
  <c r="J743" i="4"/>
  <c r="I743" i="4"/>
  <c r="H743" i="4"/>
  <c r="G743" i="4"/>
  <c r="K741" i="4"/>
  <c r="J741" i="4"/>
  <c r="I741" i="4"/>
  <c r="H741" i="4"/>
  <c r="G741" i="4"/>
  <c r="G740" i="4"/>
  <c r="H740" i="4" s="1"/>
  <c r="I740" i="4" s="1"/>
  <c r="J740" i="4" s="1"/>
  <c r="K740" i="4" s="1"/>
  <c r="L740" i="4" s="1"/>
  <c r="M740" i="4" s="1"/>
  <c r="W739" i="4"/>
  <c r="V739" i="4"/>
  <c r="S739" i="4"/>
  <c r="G739" i="4"/>
  <c r="H739" i="4" s="1"/>
  <c r="I739" i="4" s="1"/>
  <c r="J739" i="4" s="1"/>
  <c r="K739" i="4" s="1"/>
  <c r="L739" i="4" s="1"/>
  <c r="M739" i="4" s="1"/>
  <c r="M736" i="4"/>
  <c r="L736" i="4"/>
  <c r="L735" i="4"/>
  <c r="M735" i="4" s="1"/>
  <c r="M734" i="4"/>
  <c r="L734" i="4"/>
  <c r="W723" i="4" s="1"/>
  <c r="L733" i="4"/>
  <c r="M733" i="4" s="1"/>
  <c r="L732" i="4"/>
  <c r="M732" i="4" s="1"/>
  <c r="L731" i="4"/>
  <c r="M730" i="4"/>
  <c r="L730" i="4"/>
  <c r="L729" i="4"/>
  <c r="M729" i="4" s="1"/>
  <c r="M728" i="4"/>
  <c r="L728" i="4"/>
  <c r="K727" i="4"/>
  <c r="J727" i="4"/>
  <c r="I727" i="4"/>
  <c r="H727" i="4"/>
  <c r="G727" i="4"/>
  <c r="K725" i="4"/>
  <c r="J725" i="4"/>
  <c r="I725" i="4"/>
  <c r="H725" i="4"/>
  <c r="G725" i="4"/>
  <c r="G724" i="4"/>
  <c r="H724" i="4" s="1"/>
  <c r="I724" i="4" s="1"/>
  <c r="J724" i="4" s="1"/>
  <c r="K724" i="4" s="1"/>
  <c r="L724" i="4" s="1"/>
  <c r="M724" i="4" s="1"/>
  <c r="U723" i="4"/>
  <c r="S723" i="4"/>
  <c r="G723" i="4"/>
  <c r="H723" i="4" s="1"/>
  <c r="I723" i="4" s="1"/>
  <c r="J723" i="4" s="1"/>
  <c r="K723" i="4" s="1"/>
  <c r="L723" i="4" s="1"/>
  <c r="M723" i="4" s="1"/>
  <c r="M720" i="4"/>
  <c r="L720" i="4"/>
  <c r="L719" i="4"/>
  <c r="M719" i="4" s="1"/>
  <c r="L718" i="4"/>
  <c r="W707" i="4" s="1"/>
  <c r="L717" i="4"/>
  <c r="M717" i="4" s="1"/>
  <c r="M716" i="4"/>
  <c r="L716" i="4"/>
  <c r="X707" i="4" s="1"/>
  <c r="L715" i="4"/>
  <c r="M715" i="4" s="1"/>
  <c r="L714" i="4"/>
  <c r="L713" i="4"/>
  <c r="M713" i="4" s="1"/>
  <c r="M712" i="4"/>
  <c r="L712" i="4"/>
  <c r="K711" i="4"/>
  <c r="J711" i="4"/>
  <c r="I711" i="4"/>
  <c r="H711" i="4"/>
  <c r="G711" i="4"/>
  <c r="K709" i="4"/>
  <c r="J709" i="4"/>
  <c r="I709" i="4"/>
  <c r="H709" i="4"/>
  <c r="G709" i="4"/>
  <c r="G708" i="4"/>
  <c r="H708" i="4" s="1"/>
  <c r="I708" i="4" s="1"/>
  <c r="J708" i="4" s="1"/>
  <c r="K708" i="4" s="1"/>
  <c r="L708" i="4" s="1"/>
  <c r="M708" i="4" s="1"/>
  <c r="U707" i="4"/>
  <c r="S707" i="4"/>
  <c r="G707" i="4"/>
  <c r="H707" i="4" s="1"/>
  <c r="I707" i="4" s="1"/>
  <c r="J707" i="4" s="1"/>
  <c r="K707" i="4" s="1"/>
  <c r="L707" i="4" s="1"/>
  <c r="M707" i="4" s="1"/>
  <c r="M704" i="4"/>
  <c r="L704" i="4"/>
  <c r="L703" i="4"/>
  <c r="M703" i="4" s="1"/>
  <c r="L702" i="4"/>
  <c r="L701" i="4"/>
  <c r="M701" i="4" s="1"/>
  <c r="L700" i="4"/>
  <c r="X691" i="4" s="1"/>
  <c r="L699" i="4"/>
  <c r="L698" i="4"/>
  <c r="M698" i="4" s="1"/>
  <c r="L697" i="4"/>
  <c r="M697" i="4" s="1"/>
  <c r="M696" i="4"/>
  <c r="L696" i="4"/>
  <c r="K695" i="4"/>
  <c r="J695" i="4"/>
  <c r="I695" i="4"/>
  <c r="H695" i="4"/>
  <c r="G695" i="4"/>
  <c r="K693" i="4"/>
  <c r="J693" i="4"/>
  <c r="I693" i="4"/>
  <c r="H693" i="4"/>
  <c r="G693" i="4"/>
  <c r="G692" i="4"/>
  <c r="H692" i="4" s="1"/>
  <c r="I692" i="4" s="1"/>
  <c r="J692" i="4" s="1"/>
  <c r="K692" i="4" s="1"/>
  <c r="L692" i="4" s="1"/>
  <c r="M692" i="4" s="1"/>
  <c r="U691" i="4"/>
  <c r="S691" i="4"/>
  <c r="G691" i="4"/>
  <c r="H691" i="4" s="1"/>
  <c r="I691" i="4" s="1"/>
  <c r="J691" i="4" s="1"/>
  <c r="K691" i="4" s="1"/>
  <c r="L691" i="4" s="1"/>
  <c r="M691" i="4" s="1"/>
  <c r="L688" i="4"/>
  <c r="M688" i="4" s="1"/>
  <c r="L687" i="4"/>
  <c r="M687" i="4" s="1"/>
  <c r="M686" i="4"/>
  <c r="L686" i="4"/>
  <c r="W675" i="4" s="1"/>
  <c r="L685" i="4"/>
  <c r="M685" i="4" s="1"/>
  <c r="M684" i="4"/>
  <c r="L684" i="4"/>
  <c r="X675" i="4" s="1"/>
  <c r="L683" i="4"/>
  <c r="M683" i="4" s="1"/>
  <c r="L682" i="4"/>
  <c r="L681" i="4"/>
  <c r="M681" i="4" s="1"/>
  <c r="L680" i="4"/>
  <c r="K679" i="4"/>
  <c r="J679" i="4"/>
  <c r="I679" i="4"/>
  <c r="H679" i="4"/>
  <c r="G679" i="4"/>
  <c r="K677" i="4"/>
  <c r="J677" i="4"/>
  <c r="I677" i="4"/>
  <c r="H677" i="4"/>
  <c r="G677" i="4"/>
  <c r="G676" i="4"/>
  <c r="H676" i="4" s="1"/>
  <c r="I676" i="4" s="1"/>
  <c r="J676" i="4" s="1"/>
  <c r="K676" i="4" s="1"/>
  <c r="L676" i="4" s="1"/>
  <c r="M676" i="4" s="1"/>
  <c r="S675" i="4"/>
  <c r="G675" i="4"/>
  <c r="H675" i="4" s="1"/>
  <c r="I675" i="4" s="1"/>
  <c r="J675" i="4" s="1"/>
  <c r="K675" i="4" s="1"/>
  <c r="L675" i="4" s="1"/>
  <c r="M675" i="4" s="1"/>
  <c r="M672" i="4"/>
  <c r="L672" i="4"/>
  <c r="L671" i="4"/>
  <c r="M671" i="4" s="1"/>
  <c r="M670" i="4"/>
  <c r="L670" i="4"/>
  <c r="W659" i="4" s="1"/>
  <c r="L669" i="4"/>
  <c r="M669" i="4" s="1"/>
  <c r="L668" i="4"/>
  <c r="L667" i="4"/>
  <c r="M666" i="4"/>
  <c r="L666" i="4"/>
  <c r="L665" i="4"/>
  <c r="M665" i="4" s="1"/>
  <c r="M664" i="4"/>
  <c r="L664" i="4"/>
  <c r="K663" i="4"/>
  <c r="J663" i="4"/>
  <c r="I663" i="4"/>
  <c r="H663" i="4"/>
  <c r="G663" i="4"/>
  <c r="K661" i="4"/>
  <c r="J661" i="4"/>
  <c r="I661" i="4"/>
  <c r="H661" i="4"/>
  <c r="G661" i="4"/>
  <c r="H660" i="4"/>
  <c r="I660" i="4" s="1"/>
  <c r="J660" i="4" s="1"/>
  <c r="K660" i="4" s="1"/>
  <c r="L660" i="4" s="1"/>
  <c r="M660" i="4" s="1"/>
  <c r="G660" i="4"/>
  <c r="U659" i="4"/>
  <c r="S659" i="4"/>
  <c r="G659" i="4"/>
  <c r="H659" i="4" s="1"/>
  <c r="I659" i="4" s="1"/>
  <c r="J659" i="4" s="1"/>
  <c r="K659" i="4" s="1"/>
  <c r="L659" i="4" s="1"/>
  <c r="M659" i="4" s="1"/>
  <c r="L656" i="4"/>
  <c r="M656" i="4" s="1"/>
  <c r="L655" i="4"/>
  <c r="M655" i="4" s="1"/>
  <c r="M654" i="4"/>
  <c r="L654" i="4"/>
  <c r="L653" i="4"/>
  <c r="M653" i="4" s="1"/>
  <c r="M652" i="4"/>
  <c r="L652" i="4"/>
  <c r="X643" i="4" s="1"/>
  <c r="L651" i="4"/>
  <c r="M650" i="4"/>
  <c r="L650" i="4"/>
  <c r="L649" i="4"/>
  <c r="L648" i="4"/>
  <c r="M648" i="4" s="1"/>
  <c r="L647" i="4"/>
  <c r="K647" i="4"/>
  <c r="J647" i="4"/>
  <c r="I647" i="4"/>
  <c r="H647" i="4"/>
  <c r="G647" i="4"/>
  <c r="K645" i="4"/>
  <c r="J645" i="4"/>
  <c r="I645" i="4"/>
  <c r="H645" i="4"/>
  <c r="G645" i="4"/>
  <c r="H644" i="4"/>
  <c r="I644" i="4" s="1"/>
  <c r="J644" i="4" s="1"/>
  <c r="K644" i="4" s="1"/>
  <c r="L644" i="4" s="1"/>
  <c r="M644" i="4" s="1"/>
  <c r="G644" i="4"/>
  <c r="W643" i="4"/>
  <c r="S643" i="4"/>
  <c r="I643" i="4"/>
  <c r="J643" i="4" s="1"/>
  <c r="K643" i="4" s="1"/>
  <c r="L643" i="4" s="1"/>
  <c r="M643" i="4" s="1"/>
  <c r="G643" i="4"/>
  <c r="H643" i="4" s="1"/>
  <c r="L640" i="4"/>
  <c r="M640" i="4" s="1"/>
  <c r="L639" i="4"/>
  <c r="M639" i="4" s="1"/>
  <c r="L638" i="4"/>
  <c r="M638" i="4" s="1"/>
  <c r="L637" i="4"/>
  <c r="M637" i="4" s="1"/>
  <c r="L636" i="4"/>
  <c r="L635" i="4"/>
  <c r="M634" i="4"/>
  <c r="L634" i="4"/>
  <c r="L633" i="4"/>
  <c r="L632" i="4"/>
  <c r="L631" i="4" s="1"/>
  <c r="K631" i="4"/>
  <c r="J631" i="4"/>
  <c r="I631" i="4"/>
  <c r="H631" i="4"/>
  <c r="G631" i="4"/>
  <c r="K629" i="4"/>
  <c r="J629" i="4"/>
  <c r="I629" i="4"/>
  <c r="H629" i="4"/>
  <c r="G629" i="4"/>
  <c r="G628" i="4"/>
  <c r="H628" i="4" s="1"/>
  <c r="I628" i="4" s="1"/>
  <c r="J628" i="4" s="1"/>
  <c r="K628" i="4" s="1"/>
  <c r="L628" i="4" s="1"/>
  <c r="M628" i="4" s="1"/>
  <c r="W627" i="4"/>
  <c r="S627" i="4"/>
  <c r="G627" i="4"/>
  <c r="H627" i="4" s="1"/>
  <c r="I627" i="4" s="1"/>
  <c r="J627" i="4" s="1"/>
  <c r="K627" i="4" s="1"/>
  <c r="L627" i="4" s="1"/>
  <c r="M627" i="4" s="1"/>
  <c r="M624" i="4"/>
  <c r="L624" i="4"/>
  <c r="L623" i="4"/>
  <c r="M623" i="4" s="1"/>
  <c r="L622" i="4"/>
  <c r="W611" i="4" s="1"/>
  <c r="L621" i="4"/>
  <c r="M621" i="4" s="1"/>
  <c r="L620" i="4"/>
  <c r="L619" i="4"/>
  <c r="L618" i="4"/>
  <c r="M618" i="4" s="1"/>
  <c r="L617" i="4"/>
  <c r="M616" i="4"/>
  <c r="L616" i="4"/>
  <c r="K615" i="4"/>
  <c r="J615" i="4"/>
  <c r="I615" i="4"/>
  <c r="H615" i="4"/>
  <c r="G615" i="4"/>
  <c r="K613" i="4"/>
  <c r="J613" i="4"/>
  <c r="I613" i="4"/>
  <c r="H613" i="4"/>
  <c r="G613" i="4"/>
  <c r="H612" i="4"/>
  <c r="I612" i="4" s="1"/>
  <c r="J612" i="4" s="1"/>
  <c r="K612" i="4" s="1"/>
  <c r="L612" i="4" s="1"/>
  <c r="M612" i="4" s="1"/>
  <c r="G612" i="4"/>
  <c r="S611" i="4"/>
  <c r="H611" i="4"/>
  <c r="I611" i="4" s="1"/>
  <c r="J611" i="4" s="1"/>
  <c r="K611" i="4" s="1"/>
  <c r="L611" i="4" s="1"/>
  <c r="M611" i="4" s="1"/>
  <c r="G611" i="4"/>
  <c r="M608" i="4"/>
  <c r="L608" i="4"/>
  <c r="L607" i="4"/>
  <c r="M607" i="4" s="1"/>
  <c r="L606" i="4"/>
  <c r="W595" i="4" s="1"/>
  <c r="L605" i="4"/>
  <c r="M605" i="4" s="1"/>
  <c r="M604" i="4"/>
  <c r="L604" i="4"/>
  <c r="X595" i="4" s="1"/>
  <c r="L603" i="4"/>
  <c r="L602" i="4"/>
  <c r="M602" i="4" s="1"/>
  <c r="L601" i="4"/>
  <c r="M600" i="4"/>
  <c r="L600" i="4"/>
  <c r="K599" i="4"/>
  <c r="J599" i="4"/>
  <c r="I599" i="4"/>
  <c r="H599" i="4"/>
  <c r="G599" i="4"/>
  <c r="K597" i="4"/>
  <c r="J597" i="4"/>
  <c r="I597" i="4"/>
  <c r="H597" i="4"/>
  <c r="G597" i="4"/>
  <c r="G596" i="4"/>
  <c r="H596" i="4" s="1"/>
  <c r="I596" i="4" s="1"/>
  <c r="J596" i="4" s="1"/>
  <c r="K596" i="4" s="1"/>
  <c r="L596" i="4" s="1"/>
  <c r="M596" i="4" s="1"/>
  <c r="S595" i="4"/>
  <c r="G595" i="4"/>
  <c r="H595" i="4" s="1"/>
  <c r="I595" i="4" s="1"/>
  <c r="J595" i="4" s="1"/>
  <c r="K595" i="4" s="1"/>
  <c r="L595" i="4" s="1"/>
  <c r="M595" i="4" s="1"/>
  <c r="L592" i="4"/>
  <c r="M592" i="4" s="1"/>
  <c r="L591" i="4"/>
  <c r="M591" i="4" s="1"/>
  <c r="L590" i="4"/>
  <c r="M590" i="4" s="1"/>
  <c r="L589" i="4"/>
  <c r="M589" i="4" s="1"/>
  <c r="L588" i="4"/>
  <c r="M588" i="4" s="1"/>
  <c r="L587" i="4"/>
  <c r="L586" i="4"/>
  <c r="M586" i="4" s="1"/>
  <c r="L585" i="4"/>
  <c r="L584" i="4"/>
  <c r="M584" i="4" s="1"/>
  <c r="K583" i="4"/>
  <c r="J583" i="4"/>
  <c r="I583" i="4"/>
  <c r="H583" i="4"/>
  <c r="G583" i="4"/>
  <c r="K581" i="4"/>
  <c r="J581" i="4"/>
  <c r="I581" i="4"/>
  <c r="H581" i="4"/>
  <c r="G581" i="4"/>
  <c r="G580" i="4"/>
  <c r="H580" i="4" s="1"/>
  <c r="I580" i="4" s="1"/>
  <c r="J580" i="4" s="1"/>
  <c r="K580" i="4" s="1"/>
  <c r="L580" i="4" s="1"/>
  <c r="M580" i="4" s="1"/>
  <c r="X579" i="4"/>
  <c r="W579" i="4"/>
  <c r="S579" i="4"/>
  <c r="G579" i="4"/>
  <c r="H579" i="4" s="1"/>
  <c r="I579" i="4" s="1"/>
  <c r="J579" i="4" s="1"/>
  <c r="K579" i="4" s="1"/>
  <c r="L579" i="4" s="1"/>
  <c r="M579" i="4" s="1"/>
  <c r="L576" i="4"/>
  <c r="M576" i="4" s="1"/>
  <c r="L575" i="4"/>
  <c r="M575" i="4" s="1"/>
  <c r="L574" i="4"/>
  <c r="M574" i="4" s="1"/>
  <c r="L573" i="4"/>
  <c r="M573" i="4" s="1"/>
  <c r="L572" i="4"/>
  <c r="M572" i="4" s="1"/>
  <c r="L571" i="4"/>
  <c r="L570" i="4"/>
  <c r="M570" i="4" s="1"/>
  <c r="L569" i="4"/>
  <c r="L568" i="4"/>
  <c r="K567" i="4"/>
  <c r="J567" i="4"/>
  <c r="I567" i="4"/>
  <c r="H567" i="4"/>
  <c r="G567" i="4"/>
  <c r="K565" i="4"/>
  <c r="J565" i="4"/>
  <c r="I565" i="4"/>
  <c r="H565" i="4"/>
  <c r="G565" i="4"/>
  <c r="G564" i="4"/>
  <c r="H564" i="4" s="1"/>
  <c r="I564" i="4" s="1"/>
  <c r="J564" i="4" s="1"/>
  <c r="K564" i="4" s="1"/>
  <c r="L564" i="4" s="1"/>
  <c r="M564" i="4" s="1"/>
  <c r="W563" i="4"/>
  <c r="S563" i="4"/>
  <c r="J563" i="4"/>
  <c r="K563" i="4" s="1"/>
  <c r="L563" i="4" s="1"/>
  <c r="M563" i="4" s="1"/>
  <c r="G563" i="4"/>
  <c r="H563" i="4" s="1"/>
  <c r="I563" i="4" s="1"/>
  <c r="L560" i="4"/>
  <c r="M560" i="4" s="1"/>
  <c r="L559" i="4"/>
  <c r="M559" i="4" s="1"/>
  <c r="L558" i="4"/>
  <c r="M558" i="4" s="1"/>
  <c r="L557" i="4"/>
  <c r="M557" i="4" s="1"/>
  <c r="M556" i="4"/>
  <c r="L556" i="4"/>
  <c r="L555" i="4"/>
  <c r="L554" i="4"/>
  <c r="M554" i="4" s="1"/>
  <c r="L553" i="4"/>
  <c r="L552" i="4"/>
  <c r="M552" i="4" s="1"/>
  <c r="K551" i="4"/>
  <c r="J551" i="4"/>
  <c r="I551" i="4"/>
  <c r="H551" i="4"/>
  <c r="G551" i="4"/>
  <c r="K549" i="4"/>
  <c r="J549" i="4"/>
  <c r="I549" i="4"/>
  <c r="H549" i="4"/>
  <c r="G549" i="4"/>
  <c r="G548" i="4"/>
  <c r="H548" i="4" s="1"/>
  <c r="I548" i="4" s="1"/>
  <c r="J548" i="4" s="1"/>
  <c r="K548" i="4" s="1"/>
  <c r="L548" i="4" s="1"/>
  <c r="M548" i="4" s="1"/>
  <c r="X547" i="4"/>
  <c r="W547" i="4"/>
  <c r="S547" i="4"/>
  <c r="G547" i="4"/>
  <c r="H547" i="4" s="1"/>
  <c r="I547" i="4" s="1"/>
  <c r="J547" i="4" s="1"/>
  <c r="K547" i="4" s="1"/>
  <c r="L547" i="4" s="1"/>
  <c r="M547" i="4" s="1"/>
  <c r="L544" i="4"/>
  <c r="M544" i="4" s="1"/>
  <c r="L543" i="4"/>
  <c r="M543" i="4" s="1"/>
  <c r="M542" i="4"/>
  <c r="L542" i="4"/>
  <c r="L541" i="4"/>
  <c r="M541" i="4" s="1"/>
  <c r="L540" i="4"/>
  <c r="M540" i="4" s="1"/>
  <c r="L539" i="4"/>
  <c r="L538" i="4"/>
  <c r="M538" i="4" s="1"/>
  <c r="L537" i="4"/>
  <c r="L536" i="4"/>
  <c r="M536" i="4" s="1"/>
  <c r="K535" i="4"/>
  <c r="J535" i="4"/>
  <c r="I535" i="4"/>
  <c r="H535" i="4"/>
  <c r="G535" i="4"/>
  <c r="K533" i="4"/>
  <c r="J533" i="4"/>
  <c r="I533" i="4"/>
  <c r="H533" i="4"/>
  <c r="G533" i="4"/>
  <c r="G532" i="4"/>
  <c r="H532" i="4" s="1"/>
  <c r="I532" i="4" s="1"/>
  <c r="J532" i="4" s="1"/>
  <c r="K532" i="4" s="1"/>
  <c r="L532" i="4" s="1"/>
  <c r="M532" i="4" s="1"/>
  <c r="W531" i="4"/>
  <c r="S531" i="4"/>
  <c r="G531" i="4"/>
  <c r="H531" i="4" s="1"/>
  <c r="I531" i="4" s="1"/>
  <c r="J531" i="4" s="1"/>
  <c r="K531" i="4" s="1"/>
  <c r="L531" i="4" s="1"/>
  <c r="M531" i="4" s="1"/>
  <c r="M528" i="4"/>
  <c r="L528" i="4"/>
  <c r="L527" i="4"/>
  <c r="M527" i="4" s="1"/>
  <c r="L526" i="4"/>
  <c r="M526" i="4" s="1"/>
  <c r="L525" i="4"/>
  <c r="M525" i="4" s="1"/>
  <c r="L524" i="4"/>
  <c r="L523" i="4"/>
  <c r="M523" i="4" s="1"/>
  <c r="L522" i="4"/>
  <c r="M522" i="4" s="1"/>
  <c r="L521" i="4"/>
  <c r="M520" i="4"/>
  <c r="L520" i="4"/>
  <c r="K519" i="4"/>
  <c r="J519" i="4"/>
  <c r="I519" i="4"/>
  <c r="H519" i="4"/>
  <c r="G519" i="4"/>
  <c r="K517" i="4"/>
  <c r="J517" i="4"/>
  <c r="I517" i="4"/>
  <c r="H517" i="4"/>
  <c r="G517" i="4"/>
  <c r="G516" i="4"/>
  <c r="H516" i="4" s="1"/>
  <c r="I516" i="4" s="1"/>
  <c r="J516" i="4" s="1"/>
  <c r="K516" i="4" s="1"/>
  <c r="L516" i="4" s="1"/>
  <c r="M516" i="4" s="1"/>
  <c r="W515" i="4"/>
  <c r="S515" i="4"/>
  <c r="G515" i="4"/>
  <c r="H515" i="4" s="1"/>
  <c r="I515" i="4" s="1"/>
  <c r="J515" i="4" s="1"/>
  <c r="K515" i="4" s="1"/>
  <c r="L515" i="4" s="1"/>
  <c r="M515" i="4" s="1"/>
  <c r="L512" i="4"/>
  <c r="M512" i="4" s="1"/>
  <c r="L511" i="4"/>
  <c r="M511" i="4" s="1"/>
  <c r="M510" i="4"/>
  <c r="L510" i="4"/>
  <c r="L509" i="4"/>
  <c r="M509" i="4" s="1"/>
  <c r="L508" i="4"/>
  <c r="M508" i="4" s="1"/>
  <c r="L507" i="4"/>
  <c r="M507" i="4" s="1"/>
  <c r="L506" i="4"/>
  <c r="L505" i="4"/>
  <c r="L504" i="4"/>
  <c r="M504" i="4" s="1"/>
  <c r="K503" i="4"/>
  <c r="J503" i="4"/>
  <c r="I503" i="4"/>
  <c r="H503" i="4"/>
  <c r="G503" i="4"/>
  <c r="K501" i="4"/>
  <c r="J501" i="4"/>
  <c r="I501" i="4"/>
  <c r="H501" i="4"/>
  <c r="G501" i="4"/>
  <c r="G500" i="4"/>
  <c r="H500" i="4" s="1"/>
  <c r="I500" i="4" s="1"/>
  <c r="J500" i="4" s="1"/>
  <c r="K500" i="4" s="1"/>
  <c r="L500" i="4" s="1"/>
  <c r="M500" i="4" s="1"/>
  <c r="X499" i="4"/>
  <c r="W499" i="4"/>
  <c r="S499" i="4"/>
  <c r="G499" i="4"/>
  <c r="H499" i="4" s="1"/>
  <c r="I499" i="4" s="1"/>
  <c r="J499" i="4" s="1"/>
  <c r="K499" i="4" s="1"/>
  <c r="L499" i="4" s="1"/>
  <c r="M499" i="4" s="1"/>
  <c r="L496" i="4"/>
  <c r="M496" i="4" s="1"/>
  <c r="L495" i="4"/>
  <c r="M495" i="4" s="1"/>
  <c r="L494" i="4"/>
  <c r="L493" i="4"/>
  <c r="M493" i="4" s="1"/>
  <c r="L492" i="4"/>
  <c r="M492" i="4" s="1"/>
  <c r="L491" i="4"/>
  <c r="M491" i="4" s="1"/>
  <c r="L490" i="4"/>
  <c r="M490" i="4" s="1"/>
  <c r="L489" i="4"/>
  <c r="M488" i="4"/>
  <c r="L488" i="4"/>
  <c r="K487" i="4"/>
  <c r="J487" i="4"/>
  <c r="I487" i="4"/>
  <c r="H487" i="4"/>
  <c r="G487" i="4"/>
  <c r="K485" i="4"/>
  <c r="J485" i="4"/>
  <c r="I485" i="4"/>
  <c r="H485" i="4"/>
  <c r="G485" i="4"/>
  <c r="G484" i="4"/>
  <c r="H484" i="4" s="1"/>
  <c r="I484" i="4" s="1"/>
  <c r="J484" i="4" s="1"/>
  <c r="K484" i="4" s="1"/>
  <c r="L484" i="4" s="1"/>
  <c r="M484" i="4" s="1"/>
  <c r="S483" i="4"/>
  <c r="H483" i="4"/>
  <c r="I483" i="4" s="1"/>
  <c r="J483" i="4" s="1"/>
  <c r="K483" i="4" s="1"/>
  <c r="L483" i="4" s="1"/>
  <c r="M483" i="4" s="1"/>
  <c r="G483" i="4"/>
  <c r="L480" i="4"/>
  <c r="M480" i="4" s="1"/>
  <c r="L479" i="4"/>
  <c r="M479" i="4" s="1"/>
  <c r="M478" i="4"/>
  <c r="L478" i="4"/>
  <c r="L477" i="4"/>
  <c r="M477" i="4" s="1"/>
  <c r="L476" i="4"/>
  <c r="M476" i="4" s="1"/>
  <c r="L475" i="4"/>
  <c r="M475" i="4" s="1"/>
  <c r="L474" i="4"/>
  <c r="L473" i="4"/>
  <c r="L472" i="4"/>
  <c r="M472" i="4" s="1"/>
  <c r="K471" i="4"/>
  <c r="J471" i="4"/>
  <c r="I471" i="4"/>
  <c r="H471" i="4"/>
  <c r="G471" i="4"/>
  <c r="K469" i="4"/>
  <c r="J469" i="4"/>
  <c r="I469" i="4"/>
  <c r="H469" i="4"/>
  <c r="G469" i="4"/>
  <c r="G468" i="4"/>
  <c r="H468" i="4" s="1"/>
  <c r="I468" i="4" s="1"/>
  <c r="J468" i="4" s="1"/>
  <c r="K468" i="4" s="1"/>
  <c r="L468" i="4" s="1"/>
  <c r="M468" i="4" s="1"/>
  <c r="X467" i="4"/>
  <c r="W467" i="4"/>
  <c r="S467" i="4"/>
  <c r="G467" i="4"/>
  <c r="H467" i="4" s="1"/>
  <c r="I467" i="4" s="1"/>
  <c r="J467" i="4" s="1"/>
  <c r="K467" i="4" s="1"/>
  <c r="L467" i="4" s="1"/>
  <c r="M467" i="4" s="1"/>
  <c r="L464" i="4"/>
  <c r="M464" i="4" s="1"/>
  <c r="L463" i="4"/>
  <c r="M463" i="4" s="1"/>
  <c r="L462" i="4"/>
  <c r="W451" i="4" s="1"/>
  <c r="L461" i="4"/>
  <c r="M461" i="4" s="1"/>
  <c r="L460" i="4"/>
  <c r="M460" i="4" s="1"/>
  <c r="L459" i="4"/>
  <c r="M459" i="4" s="1"/>
  <c r="L458" i="4"/>
  <c r="M458" i="4" s="1"/>
  <c r="L457" i="4"/>
  <c r="L456" i="4"/>
  <c r="M456" i="4" s="1"/>
  <c r="K455" i="4"/>
  <c r="J455" i="4"/>
  <c r="I455" i="4"/>
  <c r="H455" i="4"/>
  <c r="G455" i="4"/>
  <c r="K453" i="4"/>
  <c r="J453" i="4"/>
  <c r="I453" i="4"/>
  <c r="H453" i="4"/>
  <c r="G453" i="4"/>
  <c r="G452" i="4"/>
  <c r="H452" i="4" s="1"/>
  <c r="I452" i="4" s="1"/>
  <c r="J452" i="4" s="1"/>
  <c r="K452" i="4" s="1"/>
  <c r="L452" i="4" s="1"/>
  <c r="M452" i="4" s="1"/>
  <c r="X451" i="4"/>
  <c r="S451" i="4"/>
  <c r="H451" i="4"/>
  <c r="I451" i="4" s="1"/>
  <c r="J451" i="4" s="1"/>
  <c r="K451" i="4" s="1"/>
  <c r="L451" i="4" s="1"/>
  <c r="M451" i="4" s="1"/>
  <c r="G451" i="4"/>
  <c r="L448" i="4"/>
  <c r="M448" i="4" s="1"/>
  <c r="L447" i="4"/>
  <c r="M447" i="4" s="1"/>
  <c r="L446" i="4"/>
  <c r="M446" i="4" s="1"/>
  <c r="L445" i="4"/>
  <c r="M445" i="4" s="1"/>
  <c r="L444" i="4"/>
  <c r="M444" i="4" s="1"/>
  <c r="L443" i="4"/>
  <c r="M443" i="4" s="1"/>
  <c r="M442" i="4"/>
  <c r="L442" i="4"/>
  <c r="L441" i="4"/>
  <c r="L440" i="4"/>
  <c r="M440" i="4" s="1"/>
  <c r="K439" i="4"/>
  <c r="J439" i="4"/>
  <c r="I439" i="4"/>
  <c r="H439" i="4"/>
  <c r="G439" i="4"/>
  <c r="K437" i="4"/>
  <c r="J437" i="4"/>
  <c r="I437" i="4"/>
  <c r="H437" i="4"/>
  <c r="G437" i="4"/>
  <c r="G436" i="4"/>
  <c r="H436" i="4" s="1"/>
  <c r="I436" i="4" s="1"/>
  <c r="J436" i="4" s="1"/>
  <c r="K436" i="4" s="1"/>
  <c r="L436" i="4" s="1"/>
  <c r="M436" i="4" s="1"/>
  <c r="X435" i="4"/>
  <c r="V435" i="4"/>
  <c r="S435" i="4"/>
  <c r="G435" i="4"/>
  <c r="H435" i="4" s="1"/>
  <c r="I435" i="4" s="1"/>
  <c r="J435" i="4" s="1"/>
  <c r="K435" i="4" s="1"/>
  <c r="L435" i="4" s="1"/>
  <c r="M435" i="4" s="1"/>
  <c r="L432" i="4"/>
  <c r="M432" i="4" s="1"/>
  <c r="L431" i="4"/>
  <c r="M431" i="4" s="1"/>
  <c r="L430" i="4"/>
  <c r="M430" i="4" s="1"/>
  <c r="L429" i="4"/>
  <c r="M429" i="4" s="1"/>
  <c r="M428" i="4"/>
  <c r="L428" i="4"/>
  <c r="X419" i="4" s="1"/>
  <c r="L427" i="4"/>
  <c r="M427" i="4" s="1"/>
  <c r="L426" i="4"/>
  <c r="V419" i="4" s="1"/>
  <c r="L425" i="4"/>
  <c r="L424" i="4"/>
  <c r="M424" i="4" s="1"/>
  <c r="K423" i="4"/>
  <c r="J423" i="4"/>
  <c r="I423" i="4"/>
  <c r="H423" i="4"/>
  <c r="G423" i="4"/>
  <c r="K421" i="4"/>
  <c r="J421" i="4"/>
  <c r="I421" i="4"/>
  <c r="H421" i="4"/>
  <c r="G421" i="4"/>
  <c r="G420" i="4"/>
  <c r="H420" i="4" s="1"/>
  <c r="I420" i="4" s="1"/>
  <c r="J420" i="4" s="1"/>
  <c r="K420" i="4" s="1"/>
  <c r="L420" i="4" s="1"/>
  <c r="M420" i="4" s="1"/>
  <c r="S419" i="4"/>
  <c r="G419" i="4"/>
  <c r="H419" i="4" s="1"/>
  <c r="I419" i="4" s="1"/>
  <c r="J419" i="4" s="1"/>
  <c r="K419" i="4" s="1"/>
  <c r="L419" i="4" s="1"/>
  <c r="M419" i="4" s="1"/>
  <c r="L416" i="4"/>
  <c r="M416" i="4" s="1"/>
  <c r="L415" i="4"/>
  <c r="M415" i="4" s="1"/>
  <c r="L414" i="4"/>
  <c r="M414" i="4" s="1"/>
  <c r="L413" i="4"/>
  <c r="M413" i="4" s="1"/>
  <c r="L412" i="4"/>
  <c r="X403" i="4" s="1"/>
  <c r="L411" i="4"/>
  <c r="M411" i="4" s="1"/>
  <c r="L410" i="4"/>
  <c r="M410" i="4" s="1"/>
  <c r="L409" i="4"/>
  <c r="L408" i="4"/>
  <c r="M408" i="4" s="1"/>
  <c r="K407" i="4"/>
  <c r="J407" i="4"/>
  <c r="I407" i="4"/>
  <c r="H407" i="4"/>
  <c r="G407" i="4"/>
  <c r="K405" i="4"/>
  <c r="J405" i="4"/>
  <c r="I405" i="4"/>
  <c r="H405" i="4"/>
  <c r="G405" i="4"/>
  <c r="G404" i="4"/>
  <c r="H404" i="4" s="1"/>
  <c r="I404" i="4" s="1"/>
  <c r="J404" i="4" s="1"/>
  <c r="K404" i="4" s="1"/>
  <c r="L404" i="4" s="1"/>
  <c r="M404" i="4" s="1"/>
  <c r="V403" i="4"/>
  <c r="S403" i="4"/>
  <c r="G403" i="4"/>
  <c r="H403" i="4" s="1"/>
  <c r="I403" i="4" s="1"/>
  <c r="J403" i="4" s="1"/>
  <c r="K403" i="4" s="1"/>
  <c r="L403" i="4" s="1"/>
  <c r="M403" i="4" s="1"/>
  <c r="M400" i="4"/>
  <c r="L400" i="4"/>
  <c r="L399" i="4"/>
  <c r="M399" i="4" s="1"/>
  <c r="L398" i="4"/>
  <c r="L397" i="4"/>
  <c r="M397" i="4" s="1"/>
  <c r="L396" i="4"/>
  <c r="M396" i="4" s="1"/>
  <c r="L395" i="4"/>
  <c r="M395" i="4" s="1"/>
  <c r="L394" i="4"/>
  <c r="M394" i="4" s="1"/>
  <c r="L393" i="4"/>
  <c r="M392" i="4"/>
  <c r="L392" i="4"/>
  <c r="K391" i="4"/>
  <c r="J391" i="4"/>
  <c r="I391" i="4"/>
  <c r="H391" i="4"/>
  <c r="G391" i="4"/>
  <c r="K389" i="4"/>
  <c r="J389" i="4"/>
  <c r="I389" i="4"/>
  <c r="H389" i="4"/>
  <c r="G389" i="4"/>
  <c r="G388" i="4"/>
  <c r="H388" i="4" s="1"/>
  <c r="I388" i="4" s="1"/>
  <c r="J388" i="4" s="1"/>
  <c r="K388" i="4" s="1"/>
  <c r="L388" i="4" s="1"/>
  <c r="M388" i="4" s="1"/>
  <c r="S387" i="4"/>
  <c r="G387" i="4"/>
  <c r="H387" i="4" s="1"/>
  <c r="I387" i="4" s="1"/>
  <c r="J387" i="4" s="1"/>
  <c r="K387" i="4" s="1"/>
  <c r="L387" i="4" s="1"/>
  <c r="M387" i="4" s="1"/>
  <c r="L384" i="4"/>
  <c r="M384" i="4" s="1"/>
  <c r="L383" i="4"/>
  <c r="M383" i="4" s="1"/>
  <c r="L382" i="4"/>
  <c r="M382" i="4" s="1"/>
  <c r="L381" i="4"/>
  <c r="M381" i="4" s="1"/>
  <c r="L380" i="4"/>
  <c r="L379" i="4"/>
  <c r="M379" i="4" s="1"/>
  <c r="L378" i="4"/>
  <c r="V371" i="4" s="1"/>
  <c r="L377" i="4"/>
  <c r="M377" i="4" s="1"/>
  <c r="M376" i="4"/>
  <c r="L376" i="4"/>
  <c r="K375" i="4"/>
  <c r="J375" i="4"/>
  <c r="I375" i="4"/>
  <c r="H375" i="4"/>
  <c r="G375" i="4"/>
  <c r="K373" i="4"/>
  <c r="J373" i="4"/>
  <c r="I373" i="4"/>
  <c r="H373" i="4"/>
  <c r="G373" i="4"/>
  <c r="G372" i="4"/>
  <c r="H372" i="4" s="1"/>
  <c r="I372" i="4" s="1"/>
  <c r="J372" i="4" s="1"/>
  <c r="K372" i="4" s="1"/>
  <c r="L372" i="4" s="1"/>
  <c r="M372" i="4" s="1"/>
  <c r="W371" i="4"/>
  <c r="S371" i="4"/>
  <c r="G371" i="4"/>
  <c r="H371" i="4" s="1"/>
  <c r="I371" i="4" s="1"/>
  <c r="J371" i="4" s="1"/>
  <c r="K371" i="4" s="1"/>
  <c r="L371" i="4" s="1"/>
  <c r="M371" i="4" s="1"/>
  <c r="L368" i="4"/>
  <c r="M368" i="4" s="1"/>
  <c r="L367" i="4"/>
  <c r="M367" i="4" s="1"/>
  <c r="L366" i="4"/>
  <c r="M366" i="4" s="1"/>
  <c r="L365" i="4"/>
  <c r="M365" i="4" s="1"/>
  <c r="L364" i="4"/>
  <c r="X355" i="4" s="1"/>
  <c r="L363" i="4"/>
  <c r="M363" i="4" s="1"/>
  <c r="L362" i="4"/>
  <c r="M362" i="4" s="1"/>
  <c r="L361" i="4"/>
  <c r="M361" i="4" s="1"/>
  <c r="L360" i="4"/>
  <c r="M360" i="4" s="1"/>
  <c r="K359" i="4"/>
  <c r="J359" i="4"/>
  <c r="I359" i="4"/>
  <c r="H359" i="4"/>
  <c r="G359" i="4"/>
  <c r="K357" i="4"/>
  <c r="J357" i="4"/>
  <c r="I357" i="4"/>
  <c r="H357" i="4"/>
  <c r="G357" i="4"/>
  <c r="G356" i="4"/>
  <c r="H356" i="4" s="1"/>
  <c r="I356" i="4" s="1"/>
  <c r="J356" i="4" s="1"/>
  <c r="K356" i="4" s="1"/>
  <c r="L356" i="4" s="1"/>
  <c r="M356" i="4" s="1"/>
  <c r="S355" i="4"/>
  <c r="G355" i="4"/>
  <c r="H355" i="4" s="1"/>
  <c r="I355" i="4" s="1"/>
  <c r="J355" i="4" s="1"/>
  <c r="K355" i="4" s="1"/>
  <c r="L355" i="4" s="1"/>
  <c r="M355" i="4" s="1"/>
  <c r="L352" i="4"/>
  <c r="M352" i="4" s="1"/>
  <c r="L351" i="4"/>
  <c r="M351" i="4" s="1"/>
  <c r="L350" i="4"/>
  <c r="M350" i="4" s="1"/>
  <c r="L349" i="4"/>
  <c r="M349" i="4" s="1"/>
  <c r="L348" i="4"/>
  <c r="X339" i="4" s="1"/>
  <c r="L347" i="4"/>
  <c r="M347" i="4" s="1"/>
  <c r="L346" i="4"/>
  <c r="M346" i="4" s="1"/>
  <c r="L345" i="4"/>
  <c r="L344" i="4"/>
  <c r="M344" i="4" s="1"/>
  <c r="K343" i="4"/>
  <c r="J343" i="4"/>
  <c r="I343" i="4"/>
  <c r="H343" i="4"/>
  <c r="G343" i="4"/>
  <c r="K341" i="4"/>
  <c r="J341" i="4"/>
  <c r="I341" i="4"/>
  <c r="H341" i="4"/>
  <c r="G341" i="4"/>
  <c r="G340" i="4"/>
  <c r="H340" i="4" s="1"/>
  <c r="I340" i="4" s="1"/>
  <c r="J340" i="4" s="1"/>
  <c r="K340" i="4" s="1"/>
  <c r="L340" i="4" s="1"/>
  <c r="M340" i="4" s="1"/>
  <c r="S339" i="4"/>
  <c r="G339" i="4"/>
  <c r="H339" i="4" s="1"/>
  <c r="I339" i="4" s="1"/>
  <c r="J339" i="4" s="1"/>
  <c r="K339" i="4" s="1"/>
  <c r="L339" i="4" s="1"/>
  <c r="M339" i="4" s="1"/>
  <c r="L336" i="4"/>
  <c r="M336" i="4" s="1"/>
  <c r="L335" i="4"/>
  <c r="M335" i="4" s="1"/>
  <c r="L334" i="4"/>
  <c r="M334" i="4" s="1"/>
  <c r="L333" i="4"/>
  <c r="M333" i="4" s="1"/>
  <c r="L332" i="4"/>
  <c r="X323" i="4" s="1"/>
  <c r="L331" i="4"/>
  <c r="M331" i="4" s="1"/>
  <c r="L330" i="4"/>
  <c r="L329" i="4"/>
  <c r="L328" i="4"/>
  <c r="M328" i="4" s="1"/>
  <c r="K327" i="4"/>
  <c r="J327" i="4"/>
  <c r="I327" i="4"/>
  <c r="H327" i="4"/>
  <c r="G327" i="4"/>
  <c r="K325" i="4"/>
  <c r="J325" i="4"/>
  <c r="I325" i="4"/>
  <c r="H325" i="4"/>
  <c r="G325" i="4"/>
  <c r="G324" i="4"/>
  <c r="H324" i="4" s="1"/>
  <c r="I324" i="4" s="1"/>
  <c r="J324" i="4" s="1"/>
  <c r="K324" i="4" s="1"/>
  <c r="L324" i="4" s="1"/>
  <c r="M324" i="4" s="1"/>
  <c r="S323" i="4"/>
  <c r="G323" i="4"/>
  <c r="H323" i="4" s="1"/>
  <c r="I323" i="4" s="1"/>
  <c r="J323" i="4" s="1"/>
  <c r="K323" i="4" s="1"/>
  <c r="L323" i="4" s="1"/>
  <c r="M323" i="4" s="1"/>
  <c r="L320" i="4"/>
  <c r="M320" i="4" s="1"/>
  <c r="L319" i="4"/>
  <c r="M319" i="4" s="1"/>
  <c r="L318" i="4"/>
  <c r="M318" i="4" s="1"/>
  <c r="L317" i="4"/>
  <c r="M317" i="4" s="1"/>
  <c r="L316" i="4"/>
  <c r="L315" i="4"/>
  <c r="M315" i="4" s="1"/>
  <c r="L314" i="4"/>
  <c r="M314" i="4" s="1"/>
  <c r="L313" i="4"/>
  <c r="M313" i="4" s="1"/>
  <c r="L312" i="4"/>
  <c r="K311" i="4"/>
  <c r="J311" i="4"/>
  <c r="I311" i="4"/>
  <c r="H311" i="4"/>
  <c r="G311" i="4"/>
  <c r="K309" i="4"/>
  <c r="J309" i="4"/>
  <c r="I309" i="4"/>
  <c r="H309" i="4"/>
  <c r="G309" i="4"/>
  <c r="G308" i="4"/>
  <c r="H308" i="4" s="1"/>
  <c r="I308" i="4" s="1"/>
  <c r="J308" i="4" s="1"/>
  <c r="K308" i="4" s="1"/>
  <c r="L308" i="4" s="1"/>
  <c r="M308" i="4" s="1"/>
  <c r="W307" i="4"/>
  <c r="S307" i="4"/>
  <c r="G307" i="4"/>
  <c r="H307" i="4" s="1"/>
  <c r="I307" i="4" s="1"/>
  <c r="J307" i="4" s="1"/>
  <c r="K307" i="4" s="1"/>
  <c r="L307" i="4" s="1"/>
  <c r="M307" i="4" s="1"/>
  <c r="L304" i="4"/>
  <c r="M304" i="4" s="1"/>
  <c r="L303" i="4"/>
  <c r="M303" i="4" s="1"/>
  <c r="M302" i="4"/>
  <c r="L302" i="4"/>
  <c r="L301" i="4"/>
  <c r="M301" i="4" s="1"/>
  <c r="L300" i="4"/>
  <c r="X291" i="4" s="1"/>
  <c r="L299" i="4"/>
  <c r="M299" i="4" s="1"/>
  <c r="L298" i="4"/>
  <c r="L297" i="4"/>
  <c r="M297" i="4" s="1"/>
  <c r="L296" i="4"/>
  <c r="K295" i="4"/>
  <c r="J295" i="4"/>
  <c r="I295" i="4"/>
  <c r="H295" i="4"/>
  <c r="G295" i="4"/>
  <c r="K293" i="4"/>
  <c r="J293" i="4"/>
  <c r="I293" i="4"/>
  <c r="H293" i="4"/>
  <c r="G293" i="4"/>
  <c r="G292" i="4"/>
  <c r="H292" i="4" s="1"/>
  <c r="I292" i="4" s="1"/>
  <c r="J292" i="4" s="1"/>
  <c r="K292" i="4" s="1"/>
  <c r="L292" i="4" s="1"/>
  <c r="M292" i="4" s="1"/>
  <c r="W291" i="4"/>
  <c r="S291" i="4"/>
  <c r="G291" i="4"/>
  <c r="H291" i="4" s="1"/>
  <c r="I291" i="4" s="1"/>
  <c r="J291" i="4" s="1"/>
  <c r="K291" i="4" s="1"/>
  <c r="L291" i="4" s="1"/>
  <c r="M291" i="4" s="1"/>
  <c r="L288" i="4"/>
  <c r="M288" i="4" s="1"/>
  <c r="L287" i="4"/>
  <c r="M287" i="4" s="1"/>
  <c r="L286" i="4"/>
  <c r="M286" i="4" s="1"/>
  <c r="L285" i="4"/>
  <c r="M285" i="4" s="1"/>
  <c r="L284" i="4"/>
  <c r="M284" i="4" s="1"/>
  <c r="L283" i="4"/>
  <c r="M283" i="4" s="1"/>
  <c r="M282" i="4"/>
  <c r="L282" i="4"/>
  <c r="L281" i="4"/>
  <c r="M281" i="4" s="1"/>
  <c r="L280" i="4"/>
  <c r="M280" i="4" s="1"/>
  <c r="K279" i="4"/>
  <c r="J279" i="4"/>
  <c r="I279" i="4"/>
  <c r="H279" i="4"/>
  <c r="G279" i="4"/>
  <c r="K277" i="4"/>
  <c r="J277" i="4"/>
  <c r="I277" i="4"/>
  <c r="H277" i="4"/>
  <c r="G277" i="4"/>
  <c r="G276" i="4"/>
  <c r="H276" i="4" s="1"/>
  <c r="I276" i="4" s="1"/>
  <c r="J276" i="4" s="1"/>
  <c r="K276" i="4" s="1"/>
  <c r="L276" i="4" s="1"/>
  <c r="M276" i="4" s="1"/>
  <c r="S275" i="4"/>
  <c r="G275" i="4"/>
  <c r="H275" i="4" s="1"/>
  <c r="I275" i="4" s="1"/>
  <c r="J275" i="4" s="1"/>
  <c r="K275" i="4" s="1"/>
  <c r="L275" i="4" s="1"/>
  <c r="M275" i="4" s="1"/>
  <c r="L272" i="4"/>
  <c r="M272" i="4" s="1"/>
  <c r="L271" i="4"/>
  <c r="M271" i="4" s="1"/>
  <c r="L270" i="4"/>
  <c r="M270" i="4" s="1"/>
  <c r="L269" i="4"/>
  <c r="M269" i="4" s="1"/>
  <c r="L268" i="4"/>
  <c r="M268" i="4" s="1"/>
  <c r="L267" i="4"/>
  <c r="M267" i="4" s="1"/>
  <c r="L266" i="4"/>
  <c r="M266" i="4" s="1"/>
  <c r="L265" i="4"/>
  <c r="M265" i="4" s="1"/>
  <c r="L264" i="4"/>
  <c r="M264" i="4" s="1"/>
  <c r="K263" i="4"/>
  <c r="J263" i="4"/>
  <c r="I263" i="4"/>
  <c r="H263" i="4"/>
  <c r="G263" i="4"/>
  <c r="K261" i="4"/>
  <c r="J261" i="4"/>
  <c r="I261" i="4"/>
  <c r="H261" i="4"/>
  <c r="G261" i="4"/>
  <c r="G260" i="4"/>
  <c r="H260" i="4" s="1"/>
  <c r="I260" i="4" s="1"/>
  <c r="J260" i="4" s="1"/>
  <c r="K260" i="4" s="1"/>
  <c r="L260" i="4" s="1"/>
  <c r="M260" i="4" s="1"/>
  <c r="U259" i="4"/>
  <c r="S259" i="4"/>
  <c r="G259" i="4"/>
  <c r="H259" i="4" s="1"/>
  <c r="I259" i="4" s="1"/>
  <c r="J259" i="4" s="1"/>
  <c r="K259" i="4" s="1"/>
  <c r="L259" i="4" s="1"/>
  <c r="M259" i="4" s="1"/>
  <c r="L256" i="4"/>
  <c r="M256" i="4" s="1"/>
  <c r="L255" i="4"/>
  <c r="M255" i="4" s="1"/>
  <c r="L254" i="4"/>
  <c r="M254" i="4" s="1"/>
  <c r="L253" i="4"/>
  <c r="M253" i="4" s="1"/>
  <c r="L252" i="4"/>
  <c r="M252" i="4" s="1"/>
  <c r="L251" i="4"/>
  <c r="M251" i="4" s="1"/>
  <c r="L250" i="4"/>
  <c r="M250" i="4" s="1"/>
  <c r="L249" i="4"/>
  <c r="M249" i="4" s="1"/>
  <c r="L248" i="4"/>
  <c r="M248" i="4" s="1"/>
  <c r="K247" i="4"/>
  <c r="J247" i="4"/>
  <c r="I247" i="4"/>
  <c r="H247" i="4"/>
  <c r="G247" i="4"/>
  <c r="K245" i="4"/>
  <c r="J245" i="4"/>
  <c r="I245" i="4"/>
  <c r="H245" i="4"/>
  <c r="G245" i="4"/>
  <c r="G244" i="4"/>
  <c r="H244" i="4" s="1"/>
  <c r="I244" i="4" s="1"/>
  <c r="J244" i="4" s="1"/>
  <c r="K244" i="4" s="1"/>
  <c r="L244" i="4" s="1"/>
  <c r="M244" i="4" s="1"/>
  <c r="U243" i="4"/>
  <c r="S243" i="4"/>
  <c r="G243" i="4"/>
  <c r="H243" i="4" s="1"/>
  <c r="I243" i="4" s="1"/>
  <c r="J243" i="4" s="1"/>
  <c r="K243" i="4" s="1"/>
  <c r="L243" i="4" s="1"/>
  <c r="M243" i="4" s="1"/>
  <c r="L240" i="4"/>
  <c r="M240" i="4" s="1"/>
  <c r="L239" i="4"/>
  <c r="M239" i="4" s="1"/>
  <c r="L238" i="4"/>
  <c r="M238" i="4" s="1"/>
  <c r="L237" i="4"/>
  <c r="M237" i="4" s="1"/>
  <c r="L236" i="4"/>
  <c r="M236" i="4" s="1"/>
  <c r="L235" i="4"/>
  <c r="M235" i="4" s="1"/>
  <c r="L234" i="4"/>
  <c r="M234" i="4" s="1"/>
  <c r="L233" i="4"/>
  <c r="M233" i="4" s="1"/>
  <c r="L232" i="4"/>
  <c r="K231" i="4"/>
  <c r="J231" i="4"/>
  <c r="I231" i="4"/>
  <c r="H231" i="4"/>
  <c r="G231" i="4"/>
  <c r="K229" i="4"/>
  <c r="J229" i="4"/>
  <c r="I229" i="4"/>
  <c r="H229" i="4"/>
  <c r="G229" i="4"/>
  <c r="G228" i="4"/>
  <c r="H228" i="4" s="1"/>
  <c r="I228" i="4" s="1"/>
  <c r="J228" i="4" s="1"/>
  <c r="K228" i="4" s="1"/>
  <c r="L228" i="4" s="1"/>
  <c r="M228" i="4" s="1"/>
  <c r="S227" i="4"/>
  <c r="G227" i="4"/>
  <c r="H227" i="4" s="1"/>
  <c r="I227" i="4" s="1"/>
  <c r="J227" i="4" s="1"/>
  <c r="K227" i="4" s="1"/>
  <c r="L227" i="4" s="1"/>
  <c r="M227" i="4" s="1"/>
  <c r="L224" i="4"/>
  <c r="M224" i="4" s="1"/>
  <c r="L223" i="4"/>
  <c r="M223" i="4" s="1"/>
  <c r="L222" i="4"/>
  <c r="M222" i="4" s="1"/>
  <c r="L221" i="4"/>
  <c r="M221" i="4" s="1"/>
  <c r="L220" i="4"/>
  <c r="M220" i="4" s="1"/>
  <c r="L219" i="4"/>
  <c r="M219" i="4" s="1"/>
  <c r="L218" i="4"/>
  <c r="M218" i="4" s="1"/>
  <c r="L217" i="4"/>
  <c r="M217" i="4" s="1"/>
  <c r="L216" i="4"/>
  <c r="M216" i="4" s="1"/>
  <c r="K215" i="4"/>
  <c r="J215" i="4"/>
  <c r="I215" i="4"/>
  <c r="H215" i="4"/>
  <c r="G215" i="4"/>
  <c r="K213" i="4"/>
  <c r="J213" i="4"/>
  <c r="I213" i="4"/>
  <c r="H213" i="4"/>
  <c r="G213" i="4"/>
  <c r="G212" i="4"/>
  <c r="H212" i="4" s="1"/>
  <c r="I212" i="4" s="1"/>
  <c r="J212" i="4" s="1"/>
  <c r="K212" i="4" s="1"/>
  <c r="L212" i="4" s="1"/>
  <c r="M212" i="4" s="1"/>
  <c r="S211" i="4"/>
  <c r="G211" i="4"/>
  <c r="H211" i="4" s="1"/>
  <c r="I211" i="4" s="1"/>
  <c r="J211" i="4" s="1"/>
  <c r="K211" i="4" s="1"/>
  <c r="L211" i="4" s="1"/>
  <c r="M211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M202" i="4" s="1"/>
  <c r="L201" i="4"/>
  <c r="M201" i="4" s="1"/>
  <c r="L200" i="4"/>
  <c r="M200" i="4" s="1"/>
  <c r="K199" i="4"/>
  <c r="J199" i="4"/>
  <c r="I199" i="4"/>
  <c r="H199" i="4"/>
  <c r="G199" i="4"/>
  <c r="K197" i="4"/>
  <c r="J197" i="4"/>
  <c r="I197" i="4"/>
  <c r="H197" i="4"/>
  <c r="G197" i="4"/>
  <c r="G196" i="4"/>
  <c r="H196" i="4" s="1"/>
  <c r="I196" i="4" s="1"/>
  <c r="J196" i="4" s="1"/>
  <c r="K196" i="4" s="1"/>
  <c r="L196" i="4" s="1"/>
  <c r="M196" i="4" s="1"/>
  <c r="U195" i="4"/>
  <c r="S195" i="4"/>
  <c r="H195" i="4"/>
  <c r="I195" i="4" s="1"/>
  <c r="J195" i="4" s="1"/>
  <c r="K195" i="4" s="1"/>
  <c r="L195" i="4" s="1"/>
  <c r="M195" i="4" s="1"/>
  <c r="G195" i="4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L186" i="4"/>
  <c r="M186" i="4" s="1"/>
  <c r="L185" i="4"/>
  <c r="M185" i="4" s="1"/>
  <c r="L184" i="4"/>
  <c r="M184" i="4" s="1"/>
  <c r="K183" i="4"/>
  <c r="J183" i="4"/>
  <c r="I183" i="4"/>
  <c r="H183" i="4"/>
  <c r="G183" i="4"/>
  <c r="K181" i="4"/>
  <c r="J181" i="4"/>
  <c r="I181" i="4"/>
  <c r="H181" i="4"/>
  <c r="G181" i="4"/>
  <c r="G180" i="4"/>
  <c r="H180" i="4" s="1"/>
  <c r="I180" i="4" s="1"/>
  <c r="J180" i="4" s="1"/>
  <c r="K180" i="4" s="1"/>
  <c r="L180" i="4" s="1"/>
  <c r="M180" i="4" s="1"/>
  <c r="U179" i="4"/>
  <c r="S179" i="4"/>
  <c r="G179" i="4"/>
  <c r="H179" i="4" s="1"/>
  <c r="I179" i="4" s="1"/>
  <c r="J179" i="4" s="1"/>
  <c r="K179" i="4" s="1"/>
  <c r="L179" i="4" s="1"/>
  <c r="M179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K167" i="4"/>
  <c r="J167" i="4"/>
  <c r="I167" i="4"/>
  <c r="H167" i="4"/>
  <c r="G167" i="4"/>
  <c r="K165" i="4"/>
  <c r="J165" i="4"/>
  <c r="I165" i="4"/>
  <c r="H165" i="4"/>
  <c r="G165" i="4"/>
  <c r="G164" i="4"/>
  <c r="H164" i="4" s="1"/>
  <c r="I164" i="4" s="1"/>
  <c r="J164" i="4" s="1"/>
  <c r="K164" i="4" s="1"/>
  <c r="L164" i="4" s="1"/>
  <c r="M164" i="4" s="1"/>
  <c r="S163" i="4"/>
  <c r="G163" i="4"/>
  <c r="H163" i="4" s="1"/>
  <c r="I163" i="4" s="1"/>
  <c r="J163" i="4" s="1"/>
  <c r="K163" i="4" s="1"/>
  <c r="L163" i="4" s="1"/>
  <c r="M163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K151" i="4"/>
  <c r="J151" i="4"/>
  <c r="I151" i="4"/>
  <c r="H151" i="4"/>
  <c r="G151" i="4"/>
  <c r="K149" i="4"/>
  <c r="J149" i="4"/>
  <c r="I149" i="4"/>
  <c r="H149" i="4"/>
  <c r="G149" i="4"/>
  <c r="G148" i="4"/>
  <c r="H148" i="4" s="1"/>
  <c r="I148" i="4" s="1"/>
  <c r="J148" i="4" s="1"/>
  <c r="K148" i="4" s="1"/>
  <c r="L148" i="4" s="1"/>
  <c r="M148" i="4" s="1"/>
  <c r="S147" i="4"/>
  <c r="G147" i="4"/>
  <c r="H147" i="4" s="1"/>
  <c r="I147" i="4" s="1"/>
  <c r="J147" i="4" s="1"/>
  <c r="K147" i="4" s="1"/>
  <c r="L147" i="4" s="1"/>
  <c r="M147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U131" i="4" s="1"/>
  <c r="K135" i="4"/>
  <c r="J135" i="4"/>
  <c r="I135" i="4"/>
  <c r="H135" i="4"/>
  <c r="G135" i="4"/>
  <c r="K133" i="4"/>
  <c r="J133" i="4"/>
  <c r="I133" i="4"/>
  <c r="H133" i="4"/>
  <c r="G133" i="4"/>
  <c r="G132" i="4"/>
  <c r="H132" i="4" s="1"/>
  <c r="I132" i="4" s="1"/>
  <c r="J132" i="4" s="1"/>
  <c r="K132" i="4" s="1"/>
  <c r="L132" i="4" s="1"/>
  <c r="M132" i="4" s="1"/>
  <c r="S131" i="4"/>
  <c r="G131" i="4"/>
  <c r="H131" i="4" s="1"/>
  <c r="I131" i="4" s="1"/>
  <c r="J131" i="4" s="1"/>
  <c r="K131" i="4" s="1"/>
  <c r="L131" i="4" s="1"/>
  <c r="M131" i="4" s="1"/>
  <c r="L128" i="4"/>
  <c r="M128" i="4" s="1"/>
  <c r="L127" i="4"/>
  <c r="M127" i="4" s="1"/>
  <c r="L126" i="4"/>
  <c r="L125" i="4"/>
  <c r="M125" i="4" s="1"/>
  <c r="L124" i="4"/>
  <c r="L123" i="4"/>
  <c r="M123" i="4" s="1"/>
  <c r="L122" i="4"/>
  <c r="L121" i="4"/>
  <c r="M121" i="4" s="1"/>
  <c r="L120" i="4"/>
  <c r="K119" i="4"/>
  <c r="J119" i="4"/>
  <c r="I119" i="4"/>
  <c r="H119" i="4"/>
  <c r="G119" i="4"/>
  <c r="K117" i="4"/>
  <c r="J117" i="4"/>
  <c r="I117" i="4"/>
  <c r="H117" i="4"/>
  <c r="G117" i="4"/>
  <c r="G116" i="4"/>
  <c r="H116" i="4" s="1"/>
  <c r="I116" i="4" s="1"/>
  <c r="J116" i="4" s="1"/>
  <c r="K116" i="4" s="1"/>
  <c r="L116" i="4" s="1"/>
  <c r="M116" i="4" s="1"/>
  <c r="U115" i="4"/>
  <c r="S115" i="4"/>
  <c r="G115" i="4"/>
  <c r="H115" i="4" s="1"/>
  <c r="I115" i="4" s="1"/>
  <c r="J115" i="4" s="1"/>
  <c r="K115" i="4" s="1"/>
  <c r="L115" i="4" s="1"/>
  <c r="M115" i="4" s="1"/>
  <c r="L112" i="4"/>
  <c r="M112" i="4" s="1"/>
  <c r="L111" i="4"/>
  <c r="M111" i="4" s="1"/>
  <c r="L110" i="4"/>
  <c r="L109" i="4"/>
  <c r="M109" i="4" s="1"/>
  <c r="L108" i="4"/>
  <c r="L107" i="4"/>
  <c r="M107" i="4" s="1"/>
  <c r="L106" i="4"/>
  <c r="L105" i="4"/>
  <c r="M105" i="4" s="1"/>
  <c r="L104" i="4"/>
  <c r="K103" i="4"/>
  <c r="J103" i="4"/>
  <c r="I103" i="4"/>
  <c r="H103" i="4"/>
  <c r="G103" i="4"/>
  <c r="K101" i="4"/>
  <c r="J101" i="4"/>
  <c r="I101" i="4"/>
  <c r="H101" i="4"/>
  <c r="G101" i="4"/>
  <c r="G100" i="4"/>
  <c r="H100" i="4" s="1"/>
  <c r="I100" i="4" s="1"/>
  <c r="J100" i="4" s="1"/>
  <c r="K100" i="4" s="1"/>
  <c r="L100" i="4" s="1"/>
  <c r="M100" i="4" s="1"/>
  <c r="S99" i="4"/>
  <c r="G99" i="4"/>
  <c r="H99" i="4" s="1"/>
  <c r="I99" i="4" s="1"/>
  <c r="J99" i="4" s="1"/>
  <c r="K99" i="4" s="1"/>
  <c r="L99" i="4" s="1"/>
  <c r="M99" i="4" s="1"/>
  <c r="L96" i="4"/>
  <c r="M96" i="4" s="1"/>
  <c r="L95" i="4"/>
  <c r="M95" i="4" s="1"/>
  <c r="L94" i="4"/>
  <c r="L93" i="4"/>
  <c r="M93" i="4" s="1"/>
  <c r="L92" i="4"/>
  <c r="L91" i="4"/>
  <c r="M91" i="4" s="1"/>
  <c r="L90" i="4"/>
  <c r="L89" i="4"/>
  <c r="M89" i="4" s="1"/>
  <c r="L88" i="4"/>
  <c r="K87" i="4"/>
  <c r="J87" i="4"/>
  <c r="I87" i="4"/>
  <c r="H87" i="4"/>
  <c r="G87" i="4"/>
  <c r="K85" i="4"/>
  <c r="J85" i="4"/>
  <c r="I85" i="4"/>
  <c r="H85" i="4"/>
  <c r="G85" i="4"/>
  <c r="G84" i="4"/>
  <c r="H84" i="4" s="1"/>
  <c r="I84" i="4" s="1"/>
  <c r="J84" i="4" s="1"/>
  <c r="K84" i="4" s="1"/>
  <c r="L84" i="4" s="1"/>
  <c r="M84" i="4" s="1"/>
  <c r="S83" i="4"/>
  <c r="G83" i="4"/>
  <c r="H83" i="4" s="1"/>
  <c r="I83" i="4" s="1"/>
  <c r="J83" i="4" s="1"/>
  <c r="K83" i="4" s="1"/>
  <c r="L83" i="4" s="1"/>
  <c r="M83" i="4" s="1"/>
  <c r="L80" i="4"/>
  <c r="M80" i="4" s="1"/>
  <c r="L79" i="4"/>
  <c r="M79" i="4" s="1"/>
  <c r="L78" i="4"/>
  <c r="L77" i="4"/>
  <c r="M77" i="4" s="1"/>
  <c r="L76" i="4"/>
  <c r="L75" i="4"/>
  <c r="M75" i="4" s="1"/>
  <c r="L74" i="4"/>
  <c r="L73" i="4"/>
  <c r="M73" i="4" s="1"/>
  <c r="L72" i="4"/>
  <c r="K71" i="4"/>
  <c r="J71" i="4"/>
  <c r="I71" i="4"/>
  <c r="H71" i="4"/>
  <c r="G71" i="4"/>
  <c r="K69" i="4"/>
  <c r="J69" i="4"/>
  <c r="I69" i="4"/>
  <c r="H69" i="4"/>
  <c r="G69" i="4"/>
  <c r="G68" i="4"/>
  <c r="H68" i="4" s="1"/>
  <c r="I68" i="4" s="1"/>
  <c r="J68" i="4" s="1"/>
  <c r="K68" i="4" s="1"/>
  <c r="L68" i="4" s="1"/>
  <c r="M68" i="4" s="1"/>
  <c r="S67" i="4"/>
  <c r="G67" i="4"/>
  <c r="H67" i="4" s="1"/>
  <c r="I67" i="4" s="1"/>
  <c r="J67" i="4" s="1"/>
  <c r="K67" i="4" s="1"/>
  <c r="L67" i="4" s="1"/>
  <c r="M67" i="4" s="1"/>
  <c r="L64" i="4"/>
  <c r="M64" i="4" s="1"/>
  <c r="L63" i="4"/>
  <c r="M63" i="4" s="1"/>
  <c r="L62" i="4"/>
  <c r="L61" i="4"/>
  <c r="M61" i="4" s="1"/>
  <c r="L60" i="4"/>
  <c r="L59" i="4"/>
  <c r="M59" i="4" s="1"/>
  <c r="L58" i="4"/>
  <c r="L57" i="4"/>
  <c r="M57" i="4" s="1"/>
  <c r="L56" i="4"/>
  <c r="K55" i="4"/>
  <c r="J55" i="4"/>
  <c r="I55" i="4"/>
  <c r="H55" i="4"/>
  <c r="G55" i="4"/>
  <c r="K53" i="4"/>
  <c r="J53" i="4"/>
  <c r="I53" i="4"/>
  <c r="H53" i="4"/>
  <c r="G53" i="4"/>
  <c r="G52" i="4"/>
  <c r="H52" i="4" s="1"/>
  <c r="I52" i="4" s="1"/>
  <c r="J52" i="4" s="1"/>
  <c r="K52" i="4" s="1"/>
  <c r="L52" i="4" s="1"/>
  <c r="M52" i="4" s="1"/>
  <c r="S51" i="4"/>
  <c r="G51" i="4"/>
  <c r="H51" i="4" s="1"/>
  <c r="I51" i="4" s="1"/>
  <c r="J51" i="4" s="1"/>
  <c r="K51" i="4" s="1"/>
  <c r="L51" i="4" s="1"/>
  <c r="M51" i="4" s="1"/>
  <c r="L48" i="4"/>
  <c r="M48" i="4" s="1"/>
  <c r="L47" i="4"/>
  <c r="M47" i="4" s="1"/>
  <c r="L46" i="4"/>
  <c r="L45" i="4"/>
  <c r="M45" i="4" s="1"/>
  <c r="L44" i="4"/>
  <c r="L43" i="4"/>
  <c r="M43" i="4" s="1"/>
  <c r="L42" i="4"/>
  <c r="L41" i="4"/>
  <c r="M41" i="4" s="1"/>
  <c r="L40" i="4"/>
  <c r="K39" i="4"/>
  <c r="J39" i="4"/>
  <c r="I39" i="4"/>
  <c r="H39" i="4"/>
  <c r="G39" i="4"/>
  <c r="K37" i="4"/>
  <c r="J37" i="4"/>
  <c r="I37" i="4"/>
  <c r="H37" i="4"/>
  <c r="G37" i="4"/>
  <c r="G36" i="4"/>
  <c r="H36" i="4" s="1"/>
  <c r="I36" i="4" s="1"/>
  <c r="J36" i="4" s="1"/>
  <c r="K36" i="4" s="1"/>
  <c r="L36" i="4" s="1"/>
  <c r="M36" i="4" s="1"/>
  <c r="S35" i="4"/>
  <c r="G35" i="4"/>
  <c r="H35" i="4" s="1"/>
  <c r="I35" i="4" s="1"/>
  <c r="J35" i="4" s="1"/>
  <c r="K35" i="4" s="1"/>
  <c r="L35" i="4" s="1"/>
  <c r="M35" i="4" s="1"/>
  <c r="A35" i="4"/>
  <c r="A51" i="4" s="1"/>
  <c r="A67" i="4" s="1"/>
  <c r="A83" i="4" s="1"/>
  <c r="A99" i="4" s="1"/>
  <c r="A115" i="4" s="1"/>
  <c r="A131" i="4" s="1"/>
  <c r="A147" i="4" s="1"/>
  <c r="A163" i="4" s="1"/>
  <c r="A179" i="4" s="1"/>
  <c r="A195" i="4" s="1"/>
  <c r="A211" i="4" s="1"/>
  <c r="A227" i="4" s="1"/>
  <c r="A243" i="4" s="1"/>
  <c r="A259" i="4" s="1"/>
  <c r="A275" i="4" s="1"/>
  <c r="A291" i="4" s="1"/>
  <c r="A307" i="4" s="1"/>
  <c r="A323" i="4" s="1"/>
  <c r="A339" i="4" s="1"/>
  <c r="A355" i="4" s="1"/>
  <c r="A371" i="4" s="1"/>
  <c r="A387" i="4" s="1"/>
  <c r="A403" i="4" s="1"/>
  <c r="A419" i="4" s="1"/>
  <c r="A435" i="4" s="1"/>
  <c r="A451" i="4" s="1"/>
  <c r="A467" i="4" s="1"/>
  <c r="A483" i="4" s="1"/>
  <c r="A499" i="4" s="1"/>
  <c r="A515" i="4" s="1"/>
  <c r="A531" i="4" s="1"/>
  <c r="A547" i="4" s="1"/>
  <c r="A563" i="4" s="1"/>
  <c r="A579" i="4" s="1"/>
  <c r="A595" i="4" s="1"/>
  <c r="A611" i="4" s="1"/>
  <c r="A627" i="4" s="1"/>
  <c r="A643" i="4" s="1"/>
  <c r="A659" i="4" s="1"/>
  <c r="A675" i="4" s="1"/>
  <c r="A691" i="4" s="1"/>
  <c r="A707" i="4" s="1"/>
  <c r="A723" i="4" s="1"/>
  <c r="A739" i="4" s="1"/>
  <c r="A755" i="4" s="1"/>
  <c r="A771" i="4" s="1"/>
  <c r="A787" i="4" s="1"/>
  <c r="A803" i="4" s="1"/>
  <c r="L32" i="4"/>
  <c r="M32" i="4" s="1"/>
  <c r="L31" i="4"/>
  <c r="M31" i="4" s="1"/>
  <c r="L30" i="4"/>
  <c r="L29" i="4"/>
  <c r="M29" i="4" s="1"/>
  <c r="L28" i="4"/>
  <c r="L27" i="4"/>
  <c r="M27" i="4" s="1"/>
  <c r="L26" i="4"/>
  <c r="M26" i="4" s="1"/>
  <c r="L25" i="4"/>
  <c r="M25" i="4" s="1"/>
  <c r="L24" i="4"/>
  <c r="M24" i="4" s="1"/>
  <c r="K23" i="4"/>
  <c r="J23" i="4"/>
  <c r="I23" i="4"/>
  <c r="H23" i="4"/>
  <c r="G23" i="4"/>
  <c r="K21" i="4"/>
  <c r="J21" i="4"/>
  <c r="I21" i="4"/>
  <c r="H21" i="4"/>
  <c r="G21" i="4"/>
  <c r="G20" i="4"/>
  <c r="H20" i="4" s="1"/>
  <c r="I20" i="4" s="1"/>
  <c r="J20" i="4" s="1"/>
  <c r="K20" i="4" s="1"/>
  <c r="L20" i="4" s="1"/>
  <c r="M20" i="4" s="1"/>
  <c r="C20" i="4"/>
  <c r="C36" i="4" s="1"/>
  <c r="C52" i="4" s="1"/>
  <c r="C68" i="4" s="1"/>
  <c r="C84" i="4" s="1"/>
  <c r="C100" i="4" s="1"/>
  <c r="C116" i="4" s="1"/>
  <c r="C132" i="4" s="1"/>
  <c r="C148" i="4" s="1"/>
  <c r="C164" i="4" s="1"/>
  <c r="C180" i="4" s="1"/>
  <c r="C196" i="4" s="1"/>
  <c r="C212" i="4" s="1"/>
  <c r="C228" i="4" s="1"/>
  <c r="C244" i="4" s="1"/>
  <c r="C260" i="4" s="1"/>
  <c r="C276" i="4" s="1"/>
  <c r="C292" i="4" s="1"/>
  <c r="C308" i="4" s="1"/>
  <c r="C324" i="4" s="1"/>
  <c r="C340" i="4" s="1"/>
  <c r="C356" i="4" s="1"/>
  <c r="C372" i="4" s="1"/>
  <c r="C388" i="4" s="1"/>
  <c r="C404" i="4" s="1"/>
  <c r="C420" i="4" s="1"/>
  <c r="C436" i="4" s="1"/>
  <c r="C452" i="4" s="1"/>
  <c r="C468" i="4" s="1"/>
  <c r="C484" i="4" s="1"/>
  <c r="C500" i="4" s="1"/>
  <c r="C516" i="4" s="1"/>
  <c r="C532" i="4" s="1"/>
  <c r="C548" i="4" s="1"/>
  <c r="C564" i="4" s="1"/>
  <c r="C580" i="4" s="1"/>
  <c r="C596" i="4" s="1"/>
  <c r="C612" i="4" s="1"/>
  <c r="C628" i="4" s="1"/>
  <c r="C644" i="4" s="1"/>
  <c r="C660" i="4" s="1"/>
  <c r="C676" i="4" s="1"/>
  <c r="C692" i="4" s="1"/>
  <c r="C708" i="4" s="1"/>
  <c r="C724" i="4" s="1"/>
  <c r="C740" i="4" s="1"/>
  <c r="C756" i="4" s="1"/>
  <c r="C772" i="4" s="1"/>
  <c r="C788" i="4" s="1"/>
  <c r="C804" i="4" s="1"/>
  <c r="V19" i="4"/>
  <c r="S19" i="4"/>
  <c r="G19" i="4"/>
  <c r="H19" i="4" s="1"/>
  <c r="I19" i="4" s="1"/>
  <c r="J19" i="4" s="1"/>
  <c r="K19" i="4" s="1"/>
  <c r="L19" i="4" s="1"/>
  <c r="M19" i="4" s="1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H4" i="4"/>
  <c r="I4" i="4" s="1"/>
  <c r="J4" i="4" s="1"/>
  <c r="K4" i="4" s="1"/>
  <c r="L4" i="4" s="1"/>
  <c r="M4" i="4" s="1"/>
  <c r="S3" i="4"/>
  <c r="H3" i="4"/>
  <c r="I3" i="4" s="1"/>
  <c r="J3" i="4" s="1"/>
  <c r="K3" i="4" s="1"/>
  <c r="L3" i="4" s="1"/>
  <c r="M3" i="4" s="1"/>
  <c r="X1" i="4"/>
  <c r="T1" i="4"/>
  <c r="L816" i="3"/>
  <c r="M816" i="3" s="1"/>
  <c r="L815" i="3"/>
  <c r="M815" i="3" s="1"/>
  <c r="L814" i="3"/>
  <c r="W803" i="3" s="1"/>
  <c r="L813" i="3"/>
  <c r="M813" i="3" s="1"/>
  <c r="M812" i="3"/>
  <c r="L812" i="3"/>
  <c r="X803" i="3" s="1"/>
  <c r="L811" i="3"/>
  <c r="M811" i="3" s="1"/>
  <c r="M810" i="3"/>
  <c r="L810" i="3"/>
  <c r="V803" i="3" s="1"/>
  <c r="L809" i="3"/>
  <c r="L808" i="3"/>
  <c r="K807" i="3"/>
  <c r="J807" i="3"/>
  <c r="I807" i="3"/>
  <c r="H807" i="3"/>
  <c r="G807" i="3"/>
  <c r="K805" i="3"/>
  <c r="J805" i="3"/>
  <c r="I805" i="3"/>
  <c r="H805" i="3"/>
  <c r="G805" i="3"/>
  <c r="G804" i="3"/>
  <c r="H804" i="3" s="1"/>
  <c r="I804" i="3" s="1"/>
  <c r="J804" i="3" s="1"/>
  <c r="K804" i="3" s="1"/>
  <c r="L804" i="3" s="1"/>
  <c r="M804" i="3" s="1"/>
  <c r="S803" i="3"/>
  <c r="G803" i="3"/>
  <c r="H803" i="3" s="1"/>
  <c r="I803" i="3" s="1"/>
  <c r="J803" i="3" s="1"/>
  <c r="K803" i="3" s="1"/>
  <c r="L803" i="3" s="1"/>
  <c r="M803" i="3" s="1"/>
  <c r="L800" i="3"/>
  <c r="M800" i="3" s="1"/>
  <c r="L799" i="3"/>
  <c r="M799" i="3" s="1"/>
  <c r="L798" i="3"/>
  <c r="W787" i="3" s="1"/>
  <c r="L797" i="3"/>
  <c r="M797" i="3" s="1"/>
  <c r="M796" i="3"/>
  <c r="L796" i="3"/>
  <c r="X787" i="3" s="1"/>
  <c r="L795" i="3"/>
  <c r="M795" i="3" s="1"/>
  <c r="M794" i="3"/>
  <c r="L794" i="3"/>
  <c r="V787" i="3" s="1"/>
  <c r="L793" i="3"/>
  <c r="L792" i="3"/>
  <c r="K791" i="3"/>
  <c r="J791" i="3"/>
  <c r="I791" i="3"/>
  <c r="H791" i="3"/>
  <c r="G791" i="3"/>
  <c r="K789" i="3"/>
  <c r="J789" i="3"/>
  <c r="I789" i="3"/>
  <c r="H789" i="3"/>
  <c r="G789" i="3"/>
  <c r="G788" i="3"/>
  <c r="H788" i="3" s="1"/>
  <c r="I788" i="3" s="1"/>
  <c r="J788" i="3" s="1"/>
  <c r="K788" i="3" s="1"/>
  <c r="L788" i="3" s="1"/>
  <c r="M788" i="3" s="1"/>
  <c r="S787" i="3"/>
  <c r="G787" i="3"/>
  <c r="H787" i="3" s="1"/>
  <c r="I787" i="3" s="1"/>
  <c r="J787" i="3" s="1"/>
  <c r="K787" i="3" s="1"/>
  <c r="L787" i="3" s="1"/>
  <c r="M787" i="3" s="1"/>
  <c r="L784" i="3"/>
  <c r="M784" i="3" s="1"/>
  <c r="L783" i="3"/>
  <c r="M783" i="3" s="1"/>
  <c r="L782" i="3"/>
  <c r="W771" i="3" s="1"/>
  <c r="L781" i="3"/>
  <c r="M781" i="3" s="1"/>
  <c r="M780" i="3"/>
  <c r="L780" i="3"/>
  <c r="X771" i="3" s="1"/>
  <c r="L779" i="3"/>
  <c r="M779" i="3" s="1"/>
  <c r="M778" i="3"/>
  <c r="L778" i="3"/>
  <c r="V771" i="3" s="1"/>
  <c r="L777" i="3"/>
  <c r="L776" i="3"/>
  <c r="K775" i="3"/>
  <c r="J775" i="3"/>
  <c r="I775" i="3"/>
  <c r="H775" i="3"/>
  <c r="G775" i="3"/>
  <c r="K773" i="3"/>
  <c r="J773" i="3"/>
  <c r="I773" i="3"/>
  <c r="H773" i="3"/>
  <c r="G773" i="3"/>
  <c r="G772" i="3"/>
  <c r="H772" i="3" s="1"/>
  <c r="I772" i="3" s="1"/>
  <c r="J772" i="3" s="1"/>
  <c r="K772" i="3" s="1"/>
  <c r="L772" i="3" s="1"/>
  <c r="M772" i="3" s="1"/>
  <c r="S771" i="3"/>
  <c r="G771" i="3"/>
  <c r="H771" i="3" s="1"/>
  <c r="I771" i="3" s="1"/>
  <c r="J771" i="3" s="1"/>
  <c r="K771" i="3" s="1"/>
  <c r="L771" i="3" s="1"/>
  <c r="M771" i="3" s="1"/>
  <c r="L768" i="3"/>
  <c r="M768" i="3" s="1"/>
  <c r="L767" i="3"/>
  <c r="M767" i="3" s="1"/>
  <c r="L766" i="3"/>
  <c r="W755" i="3" s="1"/>
  <c r="L765" i="3"/>
  <c r="M765" i="3" s="1"/>
  <c r="M764" i="3"/>
  <c r="L764" i="3"/>
  <c r="X755" i="3" s="1"/>
  <c r="L763" i="3"/>
  <c r="M763" i="3" s="1"/>
  <c r="M762" i="3"/>
  <c r="L762" i="3"/>
  <c r="V755" i="3" s="1"/>
  <c r="L761" i="3"/>
  <c r="L760" i="3"/>
  <c r="K759" i="3"/>
  <c r="J759" i="3"/>
  <c r="I759" i="3"/>
  <c r="H759" i="3"/>
  <c r="G759" i="3"/>
  <c r="K757" i="3"/>
  <c r="J757" i="3"/>
  <c r="I757" i="3"/>
  <c r="H757" i="3"/>
  <c r="G757" i="3"/>
  <c r="G756" i="3"/>
  <c r="H756" i="3" s="1"/>
  <c r="I756" i="3" s="1"/>
  <c r="J756" i="3" s="1"/>
  <c r="K756" i="3" s="1"/>
  <c r="L756" i="3" s="1"/>
  <c r="M756" i="3" s="1"/>
  <c r="S755" i="3"/>
  <c r="G755" i="3"/>
  <c r="H755" i="3" s="1"/>
  <c r="I755" i="3" s="1"/>
  <c r="J755" i="3" s="1"/>
  <c r="K755" i="3" s="1"/>
  <c r="L755" i="3" s="1"/>
  <c r="M755" i="3" s="1"/>
  <c r="L752" i="3"/>
  <c r="M752" i="3" s="1"/>
  <c r="L751" i="3"/>
  <c r="M751" i="3" s="1"/>
  <c r="L750" i="3"/>
  <c r="W739" i="3" s="1"/>
  <c r="L749" i="3"/>
  <c r="M749" i="3" s="1"/>
  <c r="M748" i="3"/>
  <c r="L748" i="3"/>
  <c r="X739" i="3" s="1"/>
  <c r="L747" i="3"/>
  <c r="M747" i="3" s="1"/>
  <c r="M746" i="3"/>
  <c r="L746" i="3"/>
  <c r="V739" i="3" s="1"/>
  <c r="L745" i="3"/>
  <c r="L744" i="3"/>
  <c r="K743" i="3"/>
  <c r="J743" i="3"/>
  <c r="I743" i="3"/>
  <c r="H743" i="3"/>
  <c r="G743" i="3"/>
  <c r="K741" i="3"/>
  <c r="J741" i="3"/>
  <c r="I741" i="3"/>
  <c r="H741" i="3"/>
  <c r="G741" i="3"/>
  <c r="G740" i="3"/>
  <c r="H740" i="3" s="1"/>
  <c r="I740" i="3" s="1"/>
  <c r="J740" i="3" s="1"/>
  <c r="K740" i="3" s="1"/>
  <c r="L740" i="3" s="1"/>
  <c r="M740" i="3" s="1"/>
  <c r="S739" i="3"/>
  <c r="G739" i="3"/>
  <c r="H739" i="3" s="1"/>
  <c r="I739" i="3" s="1"/>
  <c r="J739" i="3" s="1"/>
  <c r="K739" i="3" s="1"/>
  <c r="L739" i="3" s="1"/>
  <c r="M739" i="3" s="1"/>
  <c r="L736" i="3"/>
  <c r="M736" i="3" s="1"/>
  <c r="L735" i="3"/>
  <c r="M735" i="3" s="1"/>
  <c r="L734" i="3"/>
  <c r="W723" i="3" s="1"/>
  <c r="L733" i="3"/>
  <c r="M733" i="3" s="1"/>
  <c r="M732" i="3"/>
  <c r="L732" i="3"/>
  <c r="X723" i="3" s="1"/>
  <c r="L731" i="3"/>
  <c r="M731" i="3" s="1"/>
  <c r="M730" i="3"/>
  <c r="L730" i="3"/>
  <c r="V723" i="3" s="1"/>
  <c r="L729" i="3"/>
  <c r="L728" i="3"/>
  <c r="K727" i="3"/>
  <c r="J727" i="3"/>
  <c r="I727" i="3"/>
  <c r="H727" i="3"/>
  <c r="G727" i="3"/>
  <c r="K725" i="3"/>
  <c r="J725" i="3"/>
  <c r="I725" i="3"/>
  <c r="H725" i="3"/>
  <c r="G725" i="3"/>
  <c r="G724" i="3"/>
  <c r="H724" i="3" s="1"/>
  <c r="I724" i="3" s="1"/>
  <c r="J724" i="3" s="1"/>
  <c r="K724" i="3" s="1"/>
  <c r="L724" i="3" s="1"/>
  <c r="M724" i="3" s="1"/>
  <c r="S723" i="3"/>
  <c r="G723" i="3"/>
  <c r="H723" i="3" s="1"/>
  <c r="I723" i="3" s="1"/>
  <c r="J723" i="3" s="1"/>
  <c r="K723" i="3" s="1"/>
  <c r="L723" i="3" s="1"/>
  <c r="M723" i="3" s="1"/>
  <c r="L720" i="3"/>
  <c r="M720" i="3" s="1"/>
  <c r="L719" i="3"/>
  <c r="M719" i="3" s="1"/>
  <c r="L718" i="3"/>
  <c r="W707" i="3" s="1"/>
  <c r="L717" i="3"/>
  <c r="M717" i="3" s="1"/>
  <c r="M716" i="3"/>
  <c r="L716" i="3"/>
  <c r="X707" i="3" s="1"/>
  <c r="L715" i="3"/>
  <c r="M715" i="3" s="1"/>
  <c r="M714" i="3"/>
  <c r="L714" i="3"/>
  <c r="V707" i="3" s="1"/>
  <c r="L713" i="3"/>
  <c r="L712" i="3"/>
  <c r="K711" i="3"/>
  <c r="J711" i="3"/>
  <c r="I711" i="3"/>
  <c r="H711" i="3"/>
  <c r="G711" i="3"/>
  <c r="K709" i="3"/>
  <c r="J709" i="3"/>
  <c r="I709" i="3"/>
  <c r="H709" i="3"/>
  <c r="G709" i="3"/>
  <c r="G708" i="3"/>
  <c r="H708" i="3" s="1"/>
  <c r="I708" i="3" s="1"/>
  <c r="J708" i="3" s="1"/>
  <c r="K708" i="3" s="1"/>
  <c r="L708" i="3" s="1"/>
  <c r="M708" i="3" s="1"/>
  <c r="S707" i="3"/>
  <c r="G707" i="3"/>
  <c r="H707" i="3" s="1"/>
  <c r="I707" i="3" s="1"/>
  <c r="J707" i="3" s="1"/>
  <c r="K707" i="3" s="1"/>
  <c r="L707" i="3" s="1"/>
  <c r="M707" i="3" s="1"/>
  <c r="L704" i="3"/>
  <c r="M704" i="3" s="1"/>
  <c r="L703" i="3"/>
  <c r="M703" i="3" s="1"/>
  <c r="L702" i="3"/>
  <c r="W691" i="3" s="1"/>
  <c r="L701" i="3"/>
  <c r="M701" i="3" s="1"/>
  <c r="M700" i="3"/>
  <c r="L700" i="3"/>
  <c r="X691" i="3" s="1"/>
  <c r="L699" i="3"/>
  <c r="M699" i="3" s="1"/>
  <c r="M698" i="3"/>
  <c r="L698" i="3"/>
  <c r="V691" i="3" s="1"/>
  <c r="L697" i="3"/>
  <c r="M697" i="3" s="1"/>
  <c r="L696" i="3"/>
  <c r="K695" i="3"/>
  <c r="J695" i="3"/>
  <c r="I695" i="3"/>
  <c r="H695" i="3"/>
  <c r="G695" i="3"/>
  <c r="K693" i="3"/>
  <c r="J693" i="3"/>
  <c r="I693" i="3"/>
  <c r="H693" i="3"/>
  <c r="G693" i="3"/>
  <c r="G692" i="3"/>
  <c r="H692" i="3" s="1"/>
  <c r="I692" i="3" s="1"/>
  <c r="J692" i="3" s="1"/>
  <c r="K692" i="3" s="1"/>
  <c r="L692" i="3" s="1"/>
  <c r="M692" i="3" s="1"/>
  <c r="S691" i="3"/>
  <c r="G691" i="3"/>
  <c r="H691" i="3" s="1"/>
  <c r="I691" i="3" s="1"/>
  <c r="J691" i="3" s="1"/>
  <c r="K691" i="3" s="1"/>
  <c r="L691" i="3" s="1"/>
  <c r="M691" i="3" s="1"/>
  <c r="M688" i="3"/>
  <c r="L688" i="3"/>
  <c r="L687" i="3"/>
  <c r="M687" i="3" s="1"/>
  <c r="L686" i="3"/>
  <c r="L685" i="3"/>
  <c r="M685" i="3" s="1"/>
  <c r="L684" i="3"/>
  <c r="X675" i="3" s="1"/>
  <c r="L683" i="3"/>
  <c r="M682" i="3"/>
  <c r="L682" i="3"/>
  <c r="L681" i="3"/>
  <c r="M681" i="3" s="1"/>
  <c r="M680" i="3"/>
  <c r="L680" i="3"/>
  <c r="K679" i="3"/>
  <c r="J679" i="3"/>
  <c r="I679" i="3"/>
  <c r="H679" i="3"/>
  <c r="G679" i="3"/>
  <c r="K677" i="3"/>
  <c r="J677" i="3"/>
  <c r="I677" i="3"/>
  <c r="H677" i="3"/>
  <c r="G677" i="3"/>
  <c r="G676" i="3"/>
  <c r="H676" i="3" s="1"/>
  <c r="I676" i="3" s="1"/>
  <c r="J676" i="3" s="1"/>
  <c r="K676" i="3" s="1"/>
  <c r="L676" i="3" s="1"/>
  <c r="M676" i="3" s="1"/>
  <c r="U675" i="3"/>
  <c r="S675" i="3"/>
  <c r="G675" i="3"/>
  <c r="H675" i="3" s="1"/>
  <c r="I675" i="3" s="1"/>
  <c r="J675" i="3" s="1"/>
  <c r="K675" i="3" s="1"/>
  <c r="L675" i="3" s="1"/>
  <c r="M675" i="3" s="1"/>
  <c r="M672" i="3"/>
  <c r="L672" i="3"/>
  <c r="L671" i="3"/>
  <c r="M671" i="3" s="1"/>
  <c r="M670" i="3"/>
  <c r="L670" i="3"/>
  <c r="L669" i="3"/>
  <c r="M669" i="3" s="1"/>
  <c r="L668" i="3"/>
  <c r="L667" i="3"/>
  <c r="M667" i="3" s="1"/>
  <c r="L666" i="3"/>
  <c r="M666" i="3" s="1"/>
  <c r="L665" i="3"/>
  <c r="M664" i="3"/>
  <c r="L664" i="3"/>
  <c r="K663" i="3"/>
  <c r="J663" i="3"/>
  <c r="I663" i="3"/>
  <c r="H663" i="3"/>
  <c r="G663" i="3"/>
  <c r="K661" i="3"/>
  <c r="J661" i="3"/>
  <c r="I661" i="3"/>
  <c r="H661" i="3"/>
  <c r="G661" i="3"/>
  <c r="G660" i="3"/>
  <c r="H660" i="3" s="1"/>
  <c r="I660" i="3" s="1"/>
  <c r="J660" i="3" s="1"/>
  <c r="K660" i="3" s="1"/>
  <c r="L660" i="3" s="1"/>
  <c r="M660" i="3" s="1"/>
  <c r="W659" i="3"/>
  <c r="V659" i="3"/>
  <c r="S659" i="3"/>
  <c r="G659" i="3"/>
  <c r="H659" i="3" s="1"/>
  <c r="I659" i="3" s="1"/>
  <c r="J659" i="3" s="1"/>
  <c r="K659" i="3" s="1"/>
  <c r="L659" i="3" s="1"/>
  <c r="M659" i="3" s="1"/>
  <c r="L656" i="3"/>
  <c r="M656" i="3" s="1"/>
  <c r="L655" i="3"/>
  <c r="M655" i="3" s="1"/>
  <c r="M654" i="3"/>
  <c r="L654" i="3"/>
  <c r="L653" i="3"/>
  <c r="M653" i="3" s="1"/>
  <c r="M652" i="3"/>
  <c r="L652" i="3"/>
  <c r="X643" i="3" s="1"/>
  <c r="L651" i="3"/>
  <c r="M651" i="3" s="1"/>
  <c r="L650" i="3"/>
  <c r="M650" i="3" s="1"/>
  <c r="L649" i="3"/>
  <c r="M649" i="3" s="1"/>
  <c r="L648" i="3"/>
  <c r="K647" i="3"/>
  <c r="J647" i="3"/>
  <c r="I647" i="3"/>
  <c r="H647" i="3"/>
  <c r="G647" i="3"/>
  <c r="K645" i="3"/>
  <c r="J645" i="3"/>
  <c r="I645" i="3"/>
  <c r="H645" i="3"/>
  <c r="G645" i="3"/>
  <c r="G644" i="3"/>
  <c r="H644" i="3" s="1"/>
  <c r="I644" i="3" s="1"/>
  <c r="J644" i="3" s="1"/>
  <c r="K644" i="3" s="1"/>
  <c r="L644" i="3" s="1"/>
  <c r="M644" i="3" s="1"/>
  <c r="W643" i="3"/>
  <c r="S643" i="3"/>
  <c r="G643" i="3"/>
  <c r="H643" i="3" s="1"/>
  <c r="I643" i="3" s="1"/>
  <c r="J643" i="3" s="1"/>
  <c r="K643" i="3" s="1"/>
  <c r="L643" i="3" s="1"/>
  <c r="M643" i="3" s="1"/>
  <c r="L640" i="3"/>
  <c r="M640" i="3" s="1"/>
  <c r="L639" i="3"/>
  <c r="M639" i="3" s="1"/>
  <c r="L638" i="3"/>
  <c r="M638" i="3" s="1"/>
  <c r="L637" i="3"/>
  <c r="M637" i="3" s="1"/>
  <c r="M636" i="3"/>
  <c r="L636" i="3"/>
  <c r="X627" i="3" s="1"/>
  <c r="L635" i="3"/>
  <c r="M635" i="3" s="1"/>
  <c r="L634" i="3"/>
  <c r="L631" i="3" s="1"/>
  <c r="M631" i="3" s="1"/>
  <c r="L633" i="3"/>
  <c r="M633" i="3" s="1"/>
  <c r="L632" i="3"/>
  <c r="M632" i="3" s="1"/>
  <c r="K631" i="3"/>
  <c r="J631" i="3"/>
  <c r="I631" i="3"/>
  <c r="H631" i="3"/>
  <c r="G631" i="3"/>
  <c r="K629" i="3"/>
  <c r="J629" i="3"/>
  <c r="I629" i="3"/>
  <c r="H629" i="3"/>
  <c r="G629" i="3"/>
  <c r="G628" i="3"/>
  <c r="H628" i="3" s="1"/>
  <c r="I628" i="3" s="1"/>
  <c r="J628" i="3" s="1"/>
  <c r="K628" i="3" s="1"/>
  <c r="L628" i="3" s="1"/>
  <c r="M628" i="3" s="1"/>
  <c r="W627" i="3"/>
  <c r="S627" i="3"/>
  <c r="G627" i="3"/>
  <c r="H627" i="3" s="1"/>
  <c r="I627" i="3" s="1"/>
  <c r="J627" i="3" s="1"/>
  <c r="K627" i="3" s="1"/>
  <c r="L627" i="3" s="1"/>
  <c r="M627" i="3" s="1"/>
  <c r="L624" i="3"/>
  <c r="M624" i="3" s="1"/>
  <c r="L623" i="3"/>
  <c r="M623" i="3" s="1"/>
  <c r="L622" i="3"/>
  <c r="M622" i="3" s="1"/>
  <c r="L621" i="3"/>
  <c r="M621" i="3" s="1"/>
  <c r="L620" i="3"/>
  <c r="X611" i="3" s="1"/>
  <c r="L619" i="3"/>
  <c r="M619" i="3" s="1"/>
  <c r="L618" i="3"/>
  <c r="M618" i="3" s="1"/>
  <c r="L617" i="3"/>
  <c r="M617" i="3" s="1"/>
  <c r="L616" i="3"/>
  <c r="K615" i="3"/>
  <c r="J615" i="3"/>
  <c r="I615" i="3"/>
  <c r="H615" i="3"/>
  <c r="G615" i="3"/>
  <c r="K613" i="3"/>
  <c r="J613" i="3"/>
  <c r="I613" i="3"/>
  <c r="H613" i="3"/>
  <c r="G613" i="3"/>
  <c r="G612" i="3"/>
  <c r="H612" i="3" s="1"/>
  <c r="I612" i="3" s="1"/>
  <c r="J612" i="3" s="1"/>
  <c r="K612" i="3" s="1"/>
  <c r="L612" i="3" s="1"/>
  <c r="M612" i="3" s="1"/>
  <c r="W611" i="3"/>
  <c r="S611" i="3"/>
  <c r="H611" i="3"/>
  <c r="I611" i="3" s="1"/>
  <c r="J611" i="3" s="1"/>
  <c r="K611" i="3" s="1"/>
  <c r="L611" i="3" s="1"/>
  <c r="M611" i="3" s="1"/>
  <c r="G611" i="3"/>
  <c r="L608" i="3"/>
  <c r="M608" i="3" s="1"/>
  <c r="L607" i="3"/>
  <c r="M607" i="3" s="1"/>
  <c r="L606" i="3"/>
  <c r="M606" i="3" s="1"/>
  <c r="L605" i="3"/>
  <c r="M605" i="3" s="1"/>
  <c r="L604" i="3"/>
  <c r="X595" i="3" s="1"/>
  <c r="L603" i="3"/>
  <c r="M603" i="3" s="1"/>
  <c r="L602" i="3"/>
  <c r="M602" i="3" s="1"/>
  <c r="L601" i="3"/>
  <c r="M601" i="3" s="1"/>
  <c r="L600" i="3"/>
  <c r="K599" i="3"/>
  <c r="J599" i="3"/>
  <c r="I599" i="3"/>
  <c r="H599" i="3"/>
  <c r="G599" i="3"/>
  <c r="K597" i="3"/>
  <c r="J597" i="3"/>
  <c r="I597" i="3"/>
  <c r="H597" i="3"/>
  <c r="G597" i="3"/>
  <c r="G596" i="3"/>
  <c r="H596" i="3" s="1"/>
  <c r="I596" i="3" s="1"/>
  <c r="J596" i="3" s="1"/>
  <c r="K596" i="3" s="1"/>
  <c r="L596" i="3" s="1"/>
  <c r="M596" i="3" s="1"/>
  <c r="W595" i="3"/>
  <c r="S595" i="3"/>
  <c r="G595" i="3"/>
  <c r="H595" i="3" s="1"/>
  <c r="I595" i="3" s="1"/>
  <c r="J595" i="3" s="1"/>
  <c r="K595" i="3" s="1"/>
  <c r="L595" i="3" s="1"/>
  <c r="M595" i="3" s="1"/>
  <c r="L592" i="3"/>
  <c r="M592" i="3" s="1"/>
  <c r="L591" i="3"/>
  <c r="M591" i="3" s="1"/>
  <c r="L590" i="3"/>
  <c r="M590" i="3" s="1"/>
  <c r="L589" i="3"/>
  <c r="M589" i="3" s="1"/>
  <c r="L588" i="3"/>
  <c r="X579" i="3" s="1"/>
  <c r="L587" i="3"/>
  <c r="M587" i="3" s="1"/>
  <c r="L586" i="3"/>
  <c r="M586" i="3" s="1"/>
  <c r="L585" i="3"/>
  <c r="M585" i="3" s="1"/>
  <c r="L584" i="3"/>
  <c r="K583" i="3"/>
  <c r="J583" i="3"/>
  <c r="I583" i="3"/>
  <c r="H583" i="3"/>
  <c r="G583" i="3"/>
  <c r="K581" i="3"/>
  <c r="J581" i="3"/>
  <c r="I581" i="3"/>
  <c r="H581" i="3"/>
  <c r="G581" i="3"/>
  <c r="G580" i="3"/>
  <c r="H580" i="3" s="1"/>
  <c r="I580" i="3" s="1"/>
  <c r="J580" i="3" s="1"/>
  <c r="K580" i="3" s="1"/>
  <c r="L580" i="3" s="1"/>
  <c r="M580" i="3" s="1"/>
  <c r="W579" i="3"/>
  <c r="S579" i="3"/>
  <c r="H579" i="3"/>
  <c r="I579" i="3" s="1"/>
  <c r="J579" i="3" s="1"/>
  <c r="K579" i="3" s="1"/>
  <c r="L579" i="3" s="1"/>
  <c r="M579" i="3" s="1"/>
  <c r="G579" i="3"/>
  <c r="L576" i="3"/>
  <c r="M576" i="3" s="1"/>
  <c r="L575" i="3"/>
  <c r="M575" i="3" s="1"/>
  <c r="L574" i="3"/>
  <c r="M574" i="3" s="1"/>
  <c r="L573" i="3"/>
  <c r="M573" i="3" s="1"/>
  <c r="L572" i="3"/>
  <c r="X563" i="3" s="1"/>
  <c r="L571" i="3"/>
  <c r="M571" i="3" s="1"/>
  <c r="L570" i="3"/>
  <c r="M570" i="3" s="1"/>
  <c r="L569" i="3"/>
  <c r="M569" i="3" s="1"/>
  <c r="L568" i="3"/>
  <c r="K567" i="3"/>
  <c r="J567" i="3"/>
  <c r="I567" i="3"/>
  <c r="H567" i="3"/>
  <c r="G567" i="3"/>
  <c r="K565" i="3"/>
  <c r="J565" i="3"/>
  <c r="I565" i="3"/>
  <c r="H565" i="3"/>
  <c r="G565" i="3"/>
  <c r="G564" i="3"/>
  <c r="H564" i="3" s="1"/>
  <c r="I564" i="3" s="1"/>
  <c r="J564" i="3" s="1"/>
  <c r="K564" i="3" s="1"/>
  <c r="L564" i="3" s="1"/>
  <c r="M564" i="3" s="1"/>
  <c r="W563" i="3"/>
  <c r="S563" i="3"/>
  <c r="G563" i="3"/>
  <c r="H563" i="3" s="1"/>
  <c r="I563" i="3" s="1"/>
  <c r="J563" i="3" s="1"/>
  <c r="K563" i="3" s="1"/>
  <c r="L563" i="3" s="1"/>
  <c r="M563" i="3" s="1"/>
  <c r="L560" i="3"/>
  <c r="M560" i="3" s="1"/>
  <c r="L559" i="3"/>
  <c r="M559" i="3" s="1"/>
  <c r="L558" i="3"/>
  <c r="M558" i="3" s="1"/>
  <c r="L557" i="3"/>
  <c r="M557" i="3" s="1"/>
  <c r="L556" i="3"/>
  <c r="X547" i="3" s="1"/>
  <c r="L555" i="3"/>
  <c r="M555" i="3" s="1"/>
  <c r="L554" i="3"/>
  <c r="M554" i="3" s="1"/>
  <c r="L553" i="3"/>
  <c r="M553" i="3" s="1"/>
  <c r="L552" i="3"/>
  <c r="K551" i="3"/>
  <c r="J551" i="3"/>
  <c r="I551" i="3"/>
  <c r="H551" i="3"/>
  <c r="G551" i="3"/>
  <c r="K549" i="3"/>
  <c r="J549" i="3"/>
  <c r="I549" i="3"/>
  <c r="H549" i="3"/>
  <c r="G549" i="3"/>
  <c r="G548" i="3"/>
  <c r="H548" i="3" s="1"/>
  <c r="I548" i="3" s="1"/>
  <c r="J548" i="3" s="1"/>
  <c r="K548" i="3" s="1"/>
  <c r="L548" i="3" s="1"/>
  <c r="M548" i="3" s="1"/>
  <c r="W547" i="3"/>
  <c r="S547" i="3"/>
  <c r="H547" i="3"/>
  <c r="I547" i="3" s="1"/>
  <c r="J547" i="3" s="1"/>
  <c r="K547" i="3" s="1"/>
  <c r="L547" i="3" s="1"/>
  <c r="M547" i="3" s="1"/>
  <c r="G547" i="3"/>
  <c r="L544" i="3"/>
  <c r="M544" i="3" s="1"/>
  <c r="L543" i="3"/>
  <c r="M543" i="3" s="1"/>
  <c r="L542" i="3"/>
  <c r="M542" i="3" s="1"/>
  <c r="L541" i="3"/>
  <c r="M541" i="3" s="1"/>
  <c r="M540" i="3"/>
  <c r="L540" i="3"/>
  <c r="X531" i="3" s="1"/>
  <c r="L539" i="3"/>
  <c r="M539" i="3" s="1"/>
  <c r="L538" i="3"/>
  <c r="M538" i="3" s="1"/>
  <c r="L537" i="3"/>
  <c r="M537" i="3" s="1"/>
  <c r="L536" i="3"/>
  <c r="U531" i="3" s="1"/>
  <c r="K535" i="3"/>
  <c r="J535" i="3"/>
  <c r="I535" i="3"/>
  <c r="H535" i="3"/>
  <c r="G535" i="3"/>
  <c r="K533" i="3"/>
  <c r="J533" i="3"/>
  <c r="I533" i="3"/>
  <c r="H533" i="3"/>
  <c r="G533" i="3"/>
  <c r="G532" i="3"/>
  <c r="H532" i="3" s="1"/>
  <c r="I532" i="3" s="1"/>
  <c r="J532" i="3" s="1"/>
  <c r="K532" i="3" s="1"/>
  <c r="L532" i="3" s="1"/>
  <c r="M532" i="3" s="1"/>
  <c r="S531" i="3"/>
  <c r="G531" i="3"/>
  <c r="H531" i="3" s="1"/>
  <c r="I531" i="3" s="1"/>
  <c r="J531" i="3" s="1"/>
  <c r="K531" i="3" s="1"/>
  <c r="L531" i="3" s="1"/>
  <c r="M531" i="3" s="1"/>
  <c r="L528" i="3"/>
  <c r="M528" i="3" s="1"/>
  <c r="L527" i="3"/>
  <c r="M527" i="3" s="1"/>
  <c r="L526" i="3"/>
  <c r="M526" i="3" s="1"/>
  <c r="L525" i="3"/>
  <c r="M525" i="3" s="1"/>
  <c r="M524" i="3"/>
  <c r="L524" i="3"/>
  <c r="X515" i="3" s="1"/>
  <c r="L523" i="3"/>
  <c r="M523" i="3" s="1"/>
  <c r="L522" i="3"/>
  <c r="L521" i="3"/>
  <c r="M521" i="3" s="1"/>
  <c r="L520" i="3"/>
  <c r="K519" i="3"/>
  <c r="J519" i="3"/>
  <c r="I519" i="3"/>
  <c r="H519" i="3"/>
  <c r="G519" i="3"/>
  <c r="K517" i="3"/>
  <c r="J517" i="3"/>
  <c r="I517" i="3"/>
  <c r="H517" i="3"/>
  <c r="G517" i="3"/>
  <c r="G516" i="3"/>
  <c r="H516" i="3" s="1"/>
  <c r="I516" i="3" s="1"/>
  <c r="J516" i="3" s="1"/>
  <c r="K516" i="3" s="1"/>
  <c r="L516" i="3" s="1"/>
  <c r="M516" i="3" s="1"/>
  <c r="W515" i="3"/>
  <c r="S515" i="3"/>
  <c r="G515" i="3"/>
  <c r="H515" i="3" s="1"/>
  <c r="I515" i="3" s="1"/>
  <c r="J515" i="3" s="1"/>
  <c r="K515" i="3" s="1"/>
  <c r="L515" i="3" s="1"/>
  <c r="M515" i="3" s="1"/>
  <c r="L512" i="3"/>
  <c r="M512" i="3" s="1"/>
  <c r="L511" i="3"/>
  <c r="M511" i="3" s="1"/>
  <c r="L510" i="3"/>
  <c r="M510" i="3" s="1"/>
  <c r="L509" i="3"/>
  <c r="M509" i="3" s="1"/>
  <c r="L508" i="3"/>
  <c r="X499" i="3" s="1"/>
  <c r="L507" i="3"/>
  <c r="M507" i="3" s="1"/>
  <c r="L506" i="3"/>
  <c r="M506" i="3" s="1"/>
  <c r="L505" i="3"/>
  <c r="M505" i="3" s="1"/>
  <c r="L504" i="3"/>
  <c r="M504" i="3" s="1"/>
  <c r="K503" i="3"/>
  <c r="J503" i="3"/>
  <c r="I503" i="3"/>
  <c r="H503" i="3"/>
  <c r="G503" i="3"/>
  <c r="K501" i="3"/>
  <c r="J501" i="3"/>
  <c r="I501" i="3"/>
  <c r="H501" i="3"/>
  <c r="G501" i="3"/>
  <c r="G500" i="3"/>
  <c r="H500" i="3" s="1"/>
  <c r="I500" i="3" s="1"/>
  <c r="J500" i="3" s="1"/>
  <c r="K500" i="3" s="1"/>
  <c r="L500" i="3" s="1"/>
  <c r="M500" i="3" s="1"/>
  <c r="W499" i="3"/>
  <c r="U499" i="3"/>
  <c r="S499" i="3"/>
  <c r="G499" i="3"/>
  <c r="H499" i="3" s="1"/>
  <c r="I499" i="3" s="1"/>
  <c r="J499" i="3" s="1"/>
  <c r="K499" i="3" s="1"/>
  <c r="L499" i="3" s="1"/>
  <c r="M499" i="3" s="1"/>
  <c r="L496" i="3"/>
  <c r="M496" i="3" s="1"/>
  <c r="L495" i="3"/>
  <c r="M495" i="3" s="1"/>
  <c r="L494" i="3"/>
  <c r="M494" i="3" s="1"/>
  <c r="L493" i="3"/>
  <c r="M493" i="3" s="1"/>
  <c r="L492" i="3"/>
  <c r="X483" i="3" s="1"/>
  <c r="L491" i="3"/>
  <c r="M491" i="3" s="1"/>
  <c r="L490" i="3"/>
  <c r="M490" i="3" s="1"/>
  <c r="L489" i="3"/>
  <c r="M489" i="3" s="1"/>
  <c r="L488" i="3"/>
  <c r="K487" i="3"/>
  <c r="J487" i="3"/>
  <c r="I487" i="3"/>
  <c r="H487" i="3"/>
  <c r="G487" i="3"/>
  <c r="K485" i="3"/>
  <c r="J485" i="3"/>
  <c r="I485" i="3"/>
  <c r="H485" i="3"/>
  <c r="G485" i="3"/>
  <c r="G484" i="3"/>
  <c r="H484" i="3" s="1"/>
  <c r="I484" i="3" s="1"/>
  <c r="J484" i="3" s="1"/>
  <c r="K484" i="3" s="1"/>
  <c r="L484" i="3" s="1"/>
  <c r="M484" i="3" s="1"/>
  <c r="W483" i="3"/>
  <c r="S483" i="3"/>
  <c r="H483" i="3"/>
  <c r="I483" i="3" s="1"/>
  <c r="J483" i="3" s="1"/>
  <c r="K483" i="3" s="1"/>
  <c r="L483" i="3" s="1"/>
  <c r="M483" i="3" s="1"/>
  <c r="G483" i="3"/>
  <c r="L480" i="3"/>
  <c r="M480" i="3" s="1"/>
  <c r="L479" i="3"/>
  <c r="M479" i="3" s="1"/>
  <c r="L478" i="3"/>
  <c r="M478" i="3" s="1"/>
  <c r="L477" i="3"/>
  <c r="M477" i="3" s="1"/>
  <c r="L476" i="3"/>
  <c r="X467" i="3" s="1"/>
  <c r="L475" i="3"/>
  <c r="M475" i="3" s="1"/>
  <c r="L474" i="3"/>
  <c r="L473" i="3"/>
  <c r="M473" i="3" s="1"/>
  <c r="L472" i="3"/>
  <c r="M472" i="3" s="1"/>
  <c r="K471" i="3"/>
  <c r="J471" i="3"/>
  <c r="I471" i="3"/>
  <c r="H471" i="3"/>
  <c r="G471" i="3"/>
  <c r="K469" i="3"/>
  <c r="J469" i="3"/>
  <c r="I469" i="3"/>
  <c r="H469" i="3"/>
  <c r="G469" i="3"/>
  <c r="G468" i="3"/>
  <c r="H468" i="3" s="1"/>
  <c r="I468" i="3" s="1"/>
  <c r="J468" i="3" s="1"/>
  <c r="K468" i="3" s="1"/>
  <c r="L468" i="3" s="1"/>
  <c r="M468" i="3" s="1"/>
  <c r="U467" i="3"/>
  <c r="S467" i="3"/>
  <c r="G467" i="3"/>
  <c r="H467" i="3" s="1"/>
  <c r="I467" i="3" s="1"/>
  <c r="J467" i="3" s="1"/>
  <c r="K467" i="3" s="1"/>
  <c r="L467" i="3" s="1"/>
  <c r="M467" i="3" s="1"/>
  <c r="L464" i="3"/>
  <c r="M464" i="3" s="1"/>
  <c r="L463" i="3"/>
  <c r="M463" i="3" s="1"/>
  <c r="L462" i="3"/>
  <c r="M462" i="3" s="1"/>
  <c r="L461" i="3"/>
  <c r="M461" i="3" s="1"/>
  <c r="L460" i="3"/>
  <c r="X451" i="3" s="1"/>
  <c r="L459" i="3"/>
  <c r="M459" i="3" s="1"/>
  <c r="L458" i="3"/>
  <c r="M458" i="3" s="1"/>
  <c r="L457" i="3"/>
  <c r="M457" i="3" s="1"/>
  <c r="L456" i="3"/>
  <c r="M456" i="3" s="1"/>
  <c r="K455" i="3"/>
  <c r="J455" i="3"/>
  <c r="I455" i="3"/>
  <c r="H455" i="3"/>
  <c r="G455" i="3"/>
  <c r="K453" i="3"/>
  <c r="J453" i="3"/>
  <c r="I453" i="3"/>
  <c r="H453" i="3"/>
  <c r="G453" i="3"/>
  <c r="G452" i="3"/>
  <c r="H452" i="3" s="1"/>
  <c r="I452" i="3" s="1"/>
  <c r="J452" i="3" s="1"/>
  <c r="K452" i="3" s="1"/>
  <c r="L452" i="3" s="1"/>
  <c r="M452" i="3" s="1"/>
  <c r="W451" i="3"/>
  <c r="U451" i="3"/>
  <c r="S451" i="3"/>
  <c r="G451" i="3"/>
  <c r="H451" i="3" s="1"/>
  <c r="I451" i="3" s="1"/>
  <c r="J451" i="3" s="1"/>
  <c r="K451" i="3" s="1"/>
  <c r="L451" i="3" s="1"/>
  <c r="M451" i="3" s="1"/>
  <c r="L448" i="3"/>
  <c r="M448" i="3" s="1"/>
  <c r="L447" i="3"/>
  <c r="M447" i="3" s="1"/>
  <c r="L446" i="3"/>
  <c r="M446" i="3" s="1"/>
  <c r="L445" i="3"/>
  <c r="M445" i="3" s="1"/>
  <c r="L444" i="3"/>
  <c r="X435" i="3" s="1"/>
  <c r="L443" i="3"/>
  <c r="M443" i="3" s="1"/>
  <c r="L442" i="3"/>
  <c r="M442" i="3" s="1"/>
  <c r="L441" i="3"/>
  <c r="M441" i="3" s="1"/>
  <c r="L440" i="3"/>
  <c r="K439" i="3"/>
  <c r="J439" i="3"/>
  <c r="I439" i="3"/>
  <c r="H439" i="3"/>
  <c r="G439" i="3"/>
  <c r="K437" i="3"/>
  <c r="J437" i="3"/>
  <c r="I437" i="3"/>
  <c r="H437" i="3"/>
  <c r="G437" i="3"/>
  <c r="G436" i="3"/>
  <c r="H436" i="3" s="1"/>
  <c r="I436" i="3" s="1"/>
  <c r="J436" i="3" s="1"/>
  <c r="K436" i="3" s="1"/>
  <c r="L436" i="3" s="1"/>
  <c r="M436" i="3" s="1"/>
  <c r="W435" i="3"/>
  <c r="S435" i="3"/>
  <c r="G435" i="3"/>
  <c r="H435" i="3" s="1"/>
  <c r="I435" i="3" s="1"/>
  <c r="J435" i="3" s="1"/>
  <c r="K435" i="3" s="1"/>
  <c r="L435" i="3" s="1"/>
  <c r="M435" i="3" s="1"/>
  <c r="L432" i="3"/>
  <c r="M432" i="3" s="1"/>
  <c r="L431" i="3"/>
  <c r="M431" i="3" s="1"/>
  <c r="L430" i="3"/>
  <c r="M430" i="3" s="1"/>
  <c r="L429" i="3"/>
  <c r="M429" i="3" s="1"/>
  <c r="L428" i="3"/>
  <c r="X419" i="3" s="1"/>
  <c r="L427" i="3"/>
  <c r="M427" i="3" s="1"/>
  <c r="L426" i="3"/>
  <c r="M426" i="3" s="1"/>
  <c r="L425" i="3"/>
  <c r="L423" i="3" s="1"/>
  <c r="M423" i="3" s="1"/>
  <c r="L424" i="3"/>
  <c r="M424" i="3" s="1"/>
  <c r="K423" i="3"/>
  <c r="J423" i="3"/>
  <c r="I423" i="3"/>
  <c r="H423" i="3"/>
  <c r="G423" i="3"/>
  <c r="K421" i="3"/>
  <c r="J421" i="3"/>
  <c r="I421" i="3"/>
  <c r="H421" i="3"/>
  <c r="G421" i="3"/>
  <c r="G420" i="3"/>
  <c r="H420" i="3" s="1"/>
  <c r="I420" i="3" s="1"/>
  <c r="J420" i="3" s="1"/>
  <c r="K420" i="3" s="1"/>
  <c r="L420" i="3" s="1"/>
  <c r="M420" i="3" s="1"/>
  <c r="W419" i="3"/>
  <c r="S419" i="3"/>
  <c r="G419" i="3"/>
  <c r="H419" i="3" s="1"/>
  <c r="I419" i="3" s="1"/>
  <c r="J419" i="3" s="1"/>
  <c r="K419" i="3" s="1"/>
  <c r="L419" i="3" s="1"/>
  <c r="M419" i="3" s="1"/>
  <c r="L416" i="3"/>
  <c r="M416" i="3" s="1"/>
  <c r="L415" i="3"/>
  <c r="M415" i="3" s="1"/>
  <c r="L414" i="3"/>
  <c r="M414" i="3" s="1"/>
  <c r="L413" i="3"/>
  <c r="M413" i="3" s="1"/>
  <c r="L412" i="3"/>
  <c r="X403" i="3" s="1"/>
  <c r="L411" i="3"/>
  <c r="M411" i="3" s="1"/>
  <c r="L410" i="3"/>
  <c r="M410" i="3" s="1"/>
  <c r="L409" i="3"/>
  <c r="L408" i="3"/>
  <c r="M408" i="3" s="1"/>
  <c r="K407" i="3"/>
  <c r="J407" i="3"/>
  <c r="I407" i="3"/>
  <c r="H407" i="3"/>
  <c r="G407" i="3"/>
  <c r="K405" i="3"/>
  <c r="J405" i="3"/>
  <c r="I405" i="3"/>
  <c r="H405" i="3"/>
  <c r="G405" i="3"/>
  <c r="G404" i="3"/>
  <c r="H404" i="3" s="1"/>
  <c r="I404" i="3" s="1"/>
  <c r="J404" i="3" s="1"/>
  <c r="K404" i="3" s="1"/>
  <c r="L404" i="3" s="1"/>
  <c r="M404" i="3" s="1"/>
  <c r="S403" i="3"/>
  <c r="H403" i="3"/>
  <c r="I403" i="3" s="1"/>
  <c r="J403" i="3" s="1"/>
  <c r="K403" i="3" s="1"/>
  <c r="L403" i="3" s="1"/>
  <c r="M403" i="3" s="1"/>
  <c r="G403" i="3"/>
  <c r="L400" i="3"/>
  <c r="M400" i="3" s="1"/>
  <c r="L399" i="3"/>
  <c r="M399" i="3" s="1"/>
  <c r="L398" i="3"/>
  <c r="M398" i="3" s="1"/>
  <c r="L397" i="3"/>
  <c r="M397" i="3" s="1"/>
  <c r="L396" i="3"/>
  <c r="X387" i="3" s="1"/>
  <c r="L395" i="3"/>
  <c r="M395" i="3" s="1"/>
  <c r="L394" i="3"/>
  <c r="M394" i="3" s="1"/>
  <c r="L393" i="3"/>
  <c r="L392" i="3"/>
  <c r="M392" i="3" s="1"/>
  <c r="L391" i="3"/>
  <c r="M391" i="3" s="1"/>
  <c r="K391" i="3"/>
  <c r="J391" i="3"/>
  <c r="I391" i="3"/>
  <c r="H391" i="3"/>
  <c r="G391" i="3"/>
  <c r="K389" i="3"/>
  <c r="J389" i="3"/>
  <c r="I389" i="3"/>
  <c r="H389" i="3"/>
  <c r="G389" i="3"/>
  <c r="G388" i="3"/>
  <c r="H388" i="3" s="1"/>
  <c r="I388" i="3" s="1"/>
  <c r="J388" i="3" s="1"/>
  <c r="K388" i="3" s="1"/>
  <c r="L388" i="3" s="1"/>
  <c r="M388" i="3" s="1"/>
  <c r="W387" i="3"/>
  <c r="S387" i="3"/>
  <c r="G387" i="3"/>
  <c r="H387" i="3" s="1"/>
  <c r="I387" i="3" s="1"/>
  <c r="J387" i="3" s="1"/>
  <c r="K387" i="3" s="1"/>
  <c r="L387" i="3" s="1"/>
  <c r="M387" i="3" s="1"/>
  <c r="L384" i="3"/>
  <c r="M384" i="3" s="1"/>
  <c r="L383" i="3"/>
  <c r="M383" i="3" s="1"/>
  <c r="L382" i="3"/>
  <c r="M382" i="3" s="1"/>
  <c r="L381" i="3"/>
  <c r="M381" i="3" s="1"/>
  <c r="L380" i="3"/>
  <c r="X371" i="3" s="1"/>
  <c r="L379" i="3"/>
  <c r="M379" i="3" s="1"/>
  <c r="L378" i="3"/>
  <c r="M378" i="3" s="1"/>
  <c r="L377" i="3"/>
  <c r="L376" i="3"/>
  <c r="M376" i="3" s="1"/>
  <c r="K375" i="3"/>
  <c r="J375" i="3"/>
  <c r="I375" i="3"/>
  <c r="H375" i="3"/>
  <c r="G375" i="3"/>
  <c r="K373" i="3"/>
  <c r="J373" i="3"/>
  <c r="I373" i="3"/>
  <c r="H373" i="3"/>
  <c r="G373" i="3"/>
  <c r="G372" i="3"/>
  <c r="H372" i="3" s="1"/>
  <c r="I372" i="3" s="1"/>
  <c r="J372" i="3" s="1"/>
  <c r="K372" i="3" s="1"/>
  <c r="L372" i="3" s="1"/>
  <c r="M372" i="3" s="1"/>
  <c r="W371" i="3"/>
  <c r="S371" i="3"/>
  <c r="G371" i="3"/>
  <c r="H371" i="3" s="1"/>
  <c r="I371" i="3" s="1"/>
  <c r="J371" i="3" s="1"/>
  <c r="K371" i="3" s="1"/>
  <c r="L371" i="3" s="1"/>
  <c r="M371" i="3" s="1"/>
  <c r="L368" i="3"/>
  <c r="M368" i="3" s="1"/>
  <c r="L367" i="3"/>
  <c r="M367" i="3" s="1"/>
  <c r="L366" i="3"/>
  <c r="M366" i="3" s="1"/>
  <c r="L365" i="3"/>
  <c r="M365" i="3" s="1"/>
  <c r="L364" i="3"/>
  <c r="X355" i="3" s="1"/>
  <c r="L363" i="3"/>
  <c r="M363" i="3" s="1"/>
  <c r="L362" i="3"/>
  <c r="M362" i="3" s="1"/>
  <c r="L361" i="3"/>
  <c r="L360" i="3"/>
  <c r="M360" i="3" s="1"/>
  <c r="L359" i="3"/>
  <c r="M359" i="3" s="1"/>
  <c r="K359" i="3"/>
  <c r="J359" i="3"/>
  <c r="I359" i="3"/>
  <c r="H359" i="3"/>
  <c r="G359" i="3"/>
  <c r="K357" i="3"/>
  <c r="J357" i="3"/>
  <c r="I357" i="3"/>
  <c r="H357" i="3"/>
  <c r="G357" i="3"/>
  <c r="G356" i="3"/>
  <c r="H356" i="3" s="1"/>
  <c r="I356" i="3" s="1"/>
  <c r="J356" i="3" s="1"/>
  <c r="K356" i="3" s="1"/>
  <c r="L356" i="3" s="1"/>
  <c r="M356" i="3" s="1"/>
  <c r="W355" i="3"/>
  <c r="S355" i="3"/>
  <c r="G355" i="3"/>
  <c r="H355" i="3" s="1"/>
  <c r="I355" i="3" s="1"/>
  <c r="J355" i="3" s="1"/>
  <c r="K355" i="3" s="1"/>
  <c r="L355" i="3" s="1"/>
  <c r="M355" i="3" s="1"/>
  <c r="L352" i="3"/>
  <c r="M352" i="3" s="1"/>
  <c r="L351" i="3"/>
  <c r="M351" i="3" s="1"/>
  <c r="L350" i="3"/>
  <c r="M350" i="3" s="1"/>
  <c r="L349" i="3"/>
  <c r="M349" i="3" s="1"/>
  <c r="L348" i="3"/>
  <c r="X339" i="3" s="1"/>
  <c r="L347" i="3"/>
  <c r="M347" i="3" s="1"/>
  <c r="L346" i="3"/>
  <c r="M346" i="3" s="1"/>
  <c r="L345" i="3"/>
  <c r="L344" i="3"/>
  <c r="M344" i="3" s="1"/>
  <c r="K343" i="3"/>
  <c r="J343" i="3"/>
  <c r="I343" i="3"/>
  <c r="H343" i="3"/>
  <c r="G343" i="3"/>
  <c r="K341" i="3"/>
  <c r="J341" i="3"/>
  <c r="I341" i="3"/>
  <c r="H341" i="3"/>
  <c r="G341" i="3"/>
  <c r="G340" i="3"/>
  <c r="H340" i="3" s="1"/>
  <c r="I340" i="3" s="1"/>
  <c r="J340" i="3" s="1"/>
  <c r="K340" i="3" s="1"/>
  <c r="L340" i="3" s="1"/>
  <c r="M340" i="3" s="1"/>
  <c r="W339" i="3"/>
  <c r="S339" i="3"/>
  <c r="G339" i="3"/>
  <c r="H339" i="3" s="1"/>
  <c r="I339" i="3" s="1"/>
  <c r="J339" i="3" s="1"/>
  <c r="K339" i="3" s="1"/>
  <c r="L339" i="3" s="1"/>
  <c r="M339" i="3" s="1"/>
  <c r="L336" i="3"/>
  <c r="M336" i="3" s="1"/>
  <c r="L335" i="3"/>
  <c r="M335" i="3" s="1"/>
  <c r="L334" i="3"/>
  <c r="M334" i="3" s="1"/>
  <c r="L333" i="3"/>
  <c r="M333" i="3" s="1"/>
  <c r="L332" i="3"/>
  <c r="X323" i="3" s="1"/>
  <c r="L331" i="3"/>
  <c r="M331" i="3" s="1"/>
  <c r="L330" i="3"/>
  <c r="M330" i="3" s="1"/>
  <c r="L329" i="3"/>
  <c r="M329" i="3" s="1"/>
  <c r="L328" i="3"/>
  <c r="K327" i="3"/>
  <c r="J327" i="3"/>
  <c r="I327" i="3"/>
  <c r="H327" i="3"/>
  <c r="G327" i="3"/>
  <c r="K325" i="3"/>
  <c r="J325" i="3"/>
  <c r="I325" i="3"/>
  <c r="H325" i="3"/>
  <c r="G325" i="3"/>
  <c r="G324" i="3"/>
  <c r="H324" i="3" s="1"/>
  <c r="I324" i="3" s="1"/>
  <c r="J324" i="3" s="1"/>
  <c r="K324" i="3" s="1"/>
  <c r="L324" i="3" s="1"/>
  <c r="M324" i="3" s="1"/>
  <c r="W323" i="3"/>
  <c r="S323" i="3"/>
  <c r="H323" i="3"/>
  <c r="I323" i="3" s="1"/>
  <c r="J323" i="3" s="1"/>
  <c r="K323" i="3" s="1"/>
  <c r="L323" i="3" s="1"/>
  <c r="M323" i="3" s="1"/>
  <c r="G323" i="3"/>
  <c r="L320" i="3"/>
  <c r="M320" i="3" s="1"/>
  <c r="L319" i="3"/>
  <c r="M319" i="3" s="1"/>
  <c r="L318" i="3"/>
  <c r="M318" i="3" s="1"/>
  <c r="L317" i="3"/>
  <c r="M317" i="3" s="1"/>
  <c r="L316" i="3"/>
  <c r="L315" i="3"/>
  <c r="M315" i="3" s="1"/>
  <c r="L314" i="3"/>
  <c r="L313" i="3"/>
  <c r="M313" i="3" s="1"/>
  <c r="L312" i="3"/>
  <c r="M312" i="3" s="1"/>
  <c r="L311" i="3"/>
  <c r="K311" i="3"/>
  <c r="J311" i="3"/>
  <c r="I311" i="3"/>
  <c r="H311" i="3"/>
  <c r="G311" i="3"/>
  <c r="K309" i="3"/>
  <c r="J309" i="3"/>
  <c r="I309" i="3"/>
  <c r="H309" i="3"/>
  <c r="G309" i="3"/>
  <c r="H308" i="3"/>
  <c r="I308" i="3" s="1"/>
  <c r="J308" i="3" s="1"/>
  <c r="K308" i="3" s="1"/>
  <c r="L308" i="3" s="1"/>
  <c r="M308" i="3" s="1"/>
  <c r="G308" i="3"/>
  <c r="S307" i="3"/>
  <c r="H307" i="3"/>
  <c r="I307" i="3" s="1"/>
  <c r="J307" i="3" s="1"/>
  <c r="K307" i="3" s="1"/>
  <c r="L307" i="3" s="1"/>
  <c r="M307" i="3" s="1"/>
  <c r="G307" i="3"/>
  <c r="L304" i="3"/>
  <c r="M304" i="3" s="1"/>
  <c r="L303" i="3"/>
  <c r="M303" i="3" s="1"/>
  <c r="L302" i="3"/>
  <c r="M302" i="3" s="1"/>
  <c r="L301" i="3"/>
  <c r="M301" i="3" s="1"/>
  <c r="L300" i="3"/>
  <c r="L299" i="3"/>
  <c r="M299" i="3" s="1"/>
  <c r="L298" i="3"/>
  <c r="L297" i="3"/>
  <c r="M297" i="3" s="1"/>
  <c r="L296" i="3"/>
  <c r="M296" i="3" s="1"/>
  <c r="K295" i="3"/>
  <c r="J295" i="3"/>
  <c r="I295" i="3"/>
  <c r="H295" i="3"/>
  <c r="G295" i="3"/>
  <c r="K293" i="3"/>
  <c r="J293" i="3"/>
  <c r="I293" i="3"/>
  <c r="H293" i="3"/>
  <c r="G293" i="3"/>
  <c r="G292" i="3"/>
  <c r="H292" i="3" s="1"/>
  <c r="I292" i="3" s="1"/>
  <c r="J292" i="3" s="1"/>
  <c r="K292" i="3" s="1"/>
  <c r="L292" i="3" s="1"/>
  <c r="M292" i="3" s="1"/>
  <c r="S291" i="3"/>
  <c r="G291" i="3"/>
  <c r="H291" i="3" s="1"/>
  <c r="I291" i="3" s="1"/>
  <c r="J291" i="3" s="1"/>
  <c r="K291" i="3" s="1"/>
  <c r="L291" i="3" s="1"/>
  <c r="M291" i="3" s="1"/>
  <c r="L288" i="3"/>
  <c r="M288" i="3" s="1"/>
  <c r="L287" i="3"/>
  <c r="M287" i="3" s="1"/>
  <c r="L286" i="3"/>
  <c r="M286" i="3" s="1"/>
  <c r="L285" i="3"/>
  <c r="M285" i="3" s="1"/>
  <c r="L284" i="3"/>
  <c r="L283" i="3"/>
  <c r="M283" i="3" s="1"/>
  <c r="L282" i="3"/>
  <c r="L281" i="3"/>
  <c r="M281" i="3" s="1"/>
  <c r="L280" i="3"/>
  <c r="M280" i="3" s="1"/>
  <c r="K279" i="3"/>
  <c r="J279" i="3"/>
  <c r="I279" i="3"/>
  <c r="H279" i="3"/>
  <c r="G279" i="3"/>
  <c r="K277" i="3"/>
  <c r="J277" i="3"/>
  <c r="I277" i="3"/>
  <c r="H277" i="3"/>
  <c r="G277" i="3"/>
  <c r="G276" i="3"/>
  <c r="H276" i="3" s="1"/>
  <c r="I276" i="3" s="1"/>
  <c r="J276" i="3" s="1"/>
  <c r="K276" i="3" s="1"/>
  <c r="L276" i="3" s="1"/>
  <c r="M276" i="3" s="1"/>
  <c r="W275" i="3"/>
  <c r="S275" i="3"/>
  <c r="G275" i="3"/>
  <c r="H275" i="3" s="1"/>
  <c r="I275" i="3" s="1"/>
  <c r="J275" i="3" s="1"/>
  <c r="K275" i="3" s="1"/>
  <c r="L275" i="3" s="1"/>
  <c r="M275" i="3" s="1"/>
  <c r="L272" i="3"/>
  <c r="M272" i="3" s="1"/>
  <c r="L271" i="3"/>
  <c r="M271" i="3" s="1"/>
  <c r="L270" i="3"/>
  <c r="M270" i="3" s="1"/>
  <c r="L269" i="3"/>
  <c r="M269" i="3" s="1"/>
  <c r="L268" i="3"/>
  <c r="L267" i="3"/>
  <c r="M267" i="3" s="1"/>
  <c r="L266" i="3"/>
  <c r="L265" i="3"/>
  <c r="M265" i="3" s="1"/>
  <c r="L264" i="3"/>
  <c r="K263" i="3"/>
  <c r="J263" i="3"/>
  <c r="I263" i="3"/>
  <c r="H263" i="3"/>
  <c r="G263" i="3"/>
  <c r="K261" i="3"/>
  <c r="J261" i="3"/>
  <c r="I261" i="3"/>
  <c r="H261" i="3"/>
  <c r="G261" i="3"/>
  <c r="G260" i="3"/>
  <c r="H260" i="3" s="1"/>
  <c r="I260" i="3" s="1"/>
  <c r="J260" i="3" s="1"/>
  <c r="K260" i="3" s="1"/>
  <c r="L260" i="3" s="1"/>
  <c r="M260" i="3" s="1"/>
  <c r="S259" i="3"/>
  <c r="G259" i="3"/>
  <c r="H259" i="3" s="1"/>
  <c r="I259" i="3" s="1"/>
  <c r="J259" i="3" s="1"/>
  <c r="K259" i="3" s="1"/>
  <c r="L259" i="3" s="1"/>
  <c r="M259" i="3" s="1"/>
  <c r="L256" i="3"/>
  <c r="M256" i="3" s="1"/>
  <c r="L255" i="3"/>
  <c r="M255" i="3" s="1"/>
  <c r="L254" i="3"/>
  <c r="M254" i="3" s="1"/>
  <c r="L253" i="3"/>
  <c r="M253" i="3" s="1"/>
  <c r="L252" i="3"/>
  <c r="L251" i="3"/>
  <c r="M251" i="3" s="1"/>
  <c r="L250" i="3"/>
  <c r="M250" i="3" s="1"/>
  <c r="L249" i="3"/>
  <c r="M249" i="3" s="1"/>
  <c r="L248" i="3"/>
  <c r="M248" i="3" s="1"/>
  <c r="K247" i="3"/>
  <c r="J247" i="3"/>
  <c r="I247" i="3"/>
  <c r="H247" i="3"/>
  <c r="G247" i="3"/>
  <c r="K245" i="3"/>
  <c r="J245" i="3"/>
  <c r="I245" i="3"/>
  <c r="H245" i="3"/>
  <c r="G245" i="3"/>
  <c r="G244" i="3"/>
  <c r="H244" i="3" s="1"/>
  <c r="I244" i="3" s="1"/>
  <c r="J244" i="3" s="1"/>
  <c r="K244" i="3" s="1"/>
  <c r="L244" i="3" s="1"/>
  <c r="M244" i="3" s="1"/>
  <c r="W243" i="3"/>
  <c r="S243" i="3"/>
  <c r="G243" i="3"/>
  <c r="H243" i="3" s="1"/>
  <c r="I243" i="3" s="1"/>
  <c r="J243" i="3" s="1"/>
  <c r="K243" i="3" s="1"/>
  <c r="L243" i="3" s="1"/>
  <c r="M243" i="3" s="1"/>
  <c r="L240" i="3"/>
  <c r="M240" i="3" s="1"/>
  <c r="L239" i="3"/>
  <c r="M239" i="3" s="1"/>
  <c r="L238" i="3"/>
  <c r="M238" i="3" s="1"/>
  <c r="L237" i="3"/>
  <c r="M237" i="3" s="1"/>
  <c r="M236" i="3"/>
  <c r="L236" i="3"/>
  <c r="X227" i="3" s="1"/>
  <c r="L235" i="3"/>
  <c r="M235" i="3" s="1"/>
  <c r="M234" i="3"/>
  <c r="L234" i="3"/>
  <c r="L233" i="3"/>
  <c r="L232" i="3"/>
  <c r="K231" i="3"/>
  <c r="J231" i="3"/>
  <c r="I231" i="3"/>
  <c r="H231" i="3"/>
  <c r="G231" i="3"/>
  <c r="K229" i="3"/>
  <c r="J229" i="3"/>
  <c r="I229" i="3"/>
  <c r="H229" i="3"/>
  <c r="G229" i="3"/>
  <c r="G228" i="3"/>
  <c r="H228" i="3" s="1"/>
  <c r="I228" i="3" s="1"/>
  <c r="J228" i="3" s="1"/>
  <c r="K228" i="3" s="1"/>
  <c r="L228" i="3" s="1"/>
  <c r="M228" i="3" s="1"/>
  <c r="V227" i="3"/>
  <c r="S227" i="3"/>
  <c r="G227" i="3"/>
  <c r="H227" i="3" s="1"/>
  <c r="I227" i="3" s="1"/>
  <c r="J227" i="3" s="1"/>
  <c r="K227" i="3" s="1"/>
  <c r="L227" i="3" s="1"/>
  <c r="M227" i="3" s="1"/>
  <c r="L224" i="3"/>
  <c r="M224" i="3" s="1"/>
  <c r="L223" i="3"/>
  <c r="M223" i="3" s="1"/>
  <c r="L222" i="3"/>
  <c r="M222" i="3" s="1"/>
  <c r="L221" i="3"/>
  <c r="M221" i="3" s="1"/>
  <c r="M220" i="3"/>
  <c r="L220" i="3"/>
  <c r="L219" i="3"/>
  <c r="M219" i="3" s="1"/>
  <c r="L218" i="3"/>
  <c r="L217" i="3"/>
  <c r="L216" i="3"/>
  <c r="M216" i="3" s="1"/>
  <c r="K215" i="3"/>
  <c r="J215" i="3"/>
  <c r="I215" i="3"/>
  <c r="H215" i="3"/>
  <c r="G215" i="3"/>
  <c r="K213" i="3"/>
  <c r="J213" i="3"/>
  <c r="I213" i="3"/>
  <c r="H213" i="3"/>
  <c r="G213" i="3"/>
  <c r="G212" i="3"/>
  <c r="H212" i="3" s="1"/>
  <c r="I212" i="3" s="1"/>
  <c r="J212" i="3" s="1"/>
  <c r="K212" i="3" s="1"/>
  <c r="L212" i="3" s="1"/>
  <c r="M212" i="3" s="1"/>
  <c r="X211" i="3"/>
  <c r="W211" i="3"/>
  <c r="S211" i="3"/>
  <c r="G211" i="3"/>
  <c r="H211" i="3" s="1"/>
  <c r="I211" i="3" s="1"/>
  <c r="J211" i="3" s="1"/>
  <c r="K211" i="3" s="1"/>
  <c r="L211" i="3" s="1"/>
  <c r="M211" i="3" s="1"/>
  <c r="L208" i="3"/>
  <c r="M208" i="3" s="1"/>
  <c r="L207" i="3"/>
  <c r="M207" i="3" s="1"/>
  <c r="M206" i="3"/>
  <c r="L206" i="3"/>
  <c r="L205" i="3"/>
  <c r="M205" i="3" s="1"/>
  <c r="L204" i="3"/>
  <c r="L203" i="3"/>
  <c r="M203" i="3" s="1"/>
  <c r="L202" i="3"/>
  <c r="L201" i="3"/>
  <c r="L200" i="3"/>
  <c r="M200" i="3" s="1"/>
  <c r="K199" i="3"/>
  <c r="J199" i="3"/>
  <c r="I199" i="3"/>
  <c r="H199" i="3"/>
  <c r="G199" i="3"/>
  <c r="K197" i="3"/>
  <c r="J197" i="3"/>
  <c r="I197" i="3"/>
  <c r="H197" i="3"/>
  <c r="G197" i="3"/>
  <c r="G196" i="3"/>
  <c r="H196" i="3" s="1"/>
  <c r="I196" i="3" s="1"/>
  <c r="J196" i="3" s="1"/>
  <c r="K196" i="3" s="1"/>
  <c r="L196" i="3" s="1"/>
  <c r="M196" i="3" s="1"/>
  <c r="W195" i="3"/>
  <c r="S195" i="3"/>
  <c r="G195" i="3"/>
  <c r="H195" i="3" s="1"/>
  <c r="I195" i="3" s="1"/>
  <c r="J195" i="3" s="1"/>
  <c r="K195" i="3" s="1"/>
  <c r="L195" i="3" s="1"/>
  <c r="M195" i="3" s="1"/>
  <c r="M192" i="3"/>
  <c r="L192" i="3"/>
  <c r="L191" i="3"/>
  <c r="M191" i="3" s="1"/>
  <c r="L190" i="3"/>
  <c r="L189" i="3"/>
  <c r="M189" i="3" s="1"/>
  <c r="L188" i="3"/>
  <c r="M188" i="3" s="1"/>
  <c r="L187" i="3"/>
  <c r="M187" i="3" s="1"/>
  <c r="L186" i="3"/>
  <c r="M186" i="3" s="1"/>
  <c r="L185" i="3"/>
  <c r="U179" i="3" s="1"/>
  <c r="M184" i="3"/>
  <c r="L184" i="3"/>
  <c r="K183" i="3"/>
  <c r="J183" i="3"/>
  <c r="I183" i="3"/>
  <c r="H183" i="3"/>
  <c r="G183" i="3"/>
  <c r="K181" i="3"/>
  <c r="J181" i="3"/>
  <c r="I181" i="3"/>
  <c r="H181" i="3"/>
  <c r="G181" i="3"/>
  <c r="G180" i="3"/>
  <c r="H180" i="3" s="1"/>
  <c r="I180" i="3" s="1"/>
  <c r="J180" i="3" s="1"/>
  <c r="K180" i="3" s="1"/>
  <c r="L180" i="3" s="1"/>
  <c r="M180" i="3" s="1"/>
  <c r="S179" i="3"/>
  <c r="G179" i="3"/>
  <c r="H179" i="3" s="1"/>
  <c r="I179" i="3" s="1"/>
  <c r="J179" i="3" s="1"/>
  <c r="K179" i="3" s="1"/>
  <c r="L179" i="3" s="1"/>
  <c r="M179" i="3" s="1"/>
  <c r="L176" i="3"/>
  <c r="M176" i="3" s="1"/>
  <c r="L175" i="3"/>
  <c r="M175" i="3" s="1"/>
  <c r="L174" i="3"/>
  <c r="M174" i="3" s="1"/>
  <c r="L173" i="3"/>
  <c r="M173" i="3" s="1"/>
  <c r="M172" i="3"/>
  <c r="L172" i="3"/>
  <c r="L171" i="3"/>
  <c r="M171" i="3" s="1"/>
  <c r="M170" i="3"/>
  <c r="L170" i="3"/>
  <c r="L169" i="3"/>
  <c r="L168" i="3"/>
  <c r="K167" i="3"/>
  <c r="J167" i="3"/>
  <c r="I167" i="3"/>
  <c r="H167" i="3"/>
  <c r="G167" i="3"/>
  <c r="K165" i="3"/>
  <c r="J165" i="3"/>
  <c r="I165" i="3"/>
  <c r="H165" i="3"/>
  <c r="G165" i="3"/>
  <c r="G164" i="3"/>
  <c r="H164" i="3" s="1"/>
  <c r="I164" i="3" s="1"/>
  <c r="J164" i="3" s="1"/>
  <c r="K164" i="3" s="1"/>
  <c r="L164" i="3" s="1"/>
  <c r="M164" i="3" s="1"/>
  <c r="X163" i="3"/>
  <c r="V163" i="3"/>
  <c r="S163" i="3"/>
  <c r="G163" i="3"/>
  <c r="H163" i="3" s="1"/>
  <c r="I163" i="3" s="1"/>
  <c r="J163" i="3" s="1"/>
  <c r="K163" i="3" s="1"/>
  <c r="L163" i="3" s="1"/>
  <c r="M163" i="3" s="1"/>
  <c r="L160" i="3"/>
  <c r="M160" i="3" s="1"/>
  <c r="L159" i="3"/>
  <c r="M159" i="3" s="1"/>
  <c r="L158" i="3"/>
  <c r="M158" i="3" s="1"/>
  <c r="L157" i="3"/>
  <c r="M157" i="3" s="1"/>
  <c r="M156" i="3"/>
  <c r="L156" i="3"/>
  <c r="L155" i="3"/>
  <c r="M155" i="3" s="1"/>
  <c r="L154" i="3"/>
  <c r="L153" i="3"/>
  <c r="L151" i="3" s="1"/>
  <c r="M151" i="3" s="1"/>
  <c r="L152" i="3"/>
  <c r="M152" i="3" s="1"/>
  <c r="K151" i="3"/>
  <c r="J151" i="3"/>
  <c r="I151" i="3"/>
  <c r="H151" i="3"/>
  <c r="G151" i="3"/>
  <c r="K149" i="3"/>
  <c r="J149" i="3"/>
  <c r="I149" i="3"/>
  <c r="H149" i="3"/>
  <c r="G149" i="3"/>
  <c r="G148" i="3"/>
  <c r="H148" i="3" s="1"/>
  <c r="I148" i="3" s="1"/>
  <c r="J148" i="3" s="1"/>
  <c r="K148" i="3" s="1"/>
  <c r="L148" i="3" s="1"/>
  <c r="M148" i="3" s="1"/>
  <c r="X147" i="3"/>
  <c r="W147" i="3"/>
  <c r="S147" i="3"/>
  <c r="G147" i="3"/>
  <c r="H147" i="3" s="1"/>
  <c r="I147" i="3" s="1"/>
  <c r="J147" i="3" s="1"/>
  <c r="K147" i="3" s="1"/>
  <c r="L147" i="3" s="1"/>
  <c r="M147" i="3" s="1"/>
  <c r="L144" i="3"/>
  <c r="M144" i="3" s="1"/>
  <c r="L143" i="3"/>
  <c r="M143" i="3" s="1"/>
  <c r="L142" i="3"/>
  <c r="M142" i="3" s="1"/>
  <c r="L141" i="3"/>
  <c r="M141" i="3" s="1"/>
  <c r="L140" i="3"/>
  <c r="L139" i="3"/>
  <c r="M139" i="3" s="1"/>
  <c r="L138" i="3"/>
  <c r="V131" i="3" s="1"/>
  <c r="L137" i="3"/>
  <c r="M136" i="3"/>
  <c r="L136" i="3"/>
  <c r="K135" i="3"/>
  <c r="J135" i="3"/>
  <c r="I135" i="3"/>
  <c r="H135" i="3"/>
  <c r="G135" i="3"/>
  <c r="K133" i="3"/>
  <c r="J133" i="3"/>
  <c r="I133" i="3"/>
  <c r="H133" i="3"/>
  <c r="G133" i="3"/>
  <c r="G132" i="3"/>
  <c r="H132" i="3" s="1"/>
  <c r="I132" i="3" s="1"/>
  <c r="J132" i="3" s="1"/>
  <c r="K132" i="3" s="1"/>
  <c r="L132" i="3" s="1"/>
  <c r="M132" i="3" s="1"/>
  <c r="W131" i="3"/>
  <c r="S131" i="3"/>
  <c r="G131" i="3"/>
  <c r="H131" i="3" s="1"/>
  <c r="I131" i="3" s="1"/>
  <c r="J131" i="3" s="1"/>
  <c r="K131" i="3" s="1"/>
  <c r="L131" i="3" s="1"/>
  <c r="M131" i="3" s="1"/>
  <c r="M128" i="3"/>
  <c r="L128" i="3"/>
  <c r="L127" i="3"/>
  <c r="M127" i="3" s="1"/>
  <c r="L126" i="3"/>
  <c r="L125" i="3"/>
  <c r="M125" i="3" s="1"/>
  <c r="L124" i="3"/>
  <c r="M124" i="3" s="1"/>
  <c r="L123" i="3"/>
  <c r="M123" i="3" s="1"/>
  <c r="L122" i="3"/>
  <c r="M122" i="3" s="1"/>
  <c r="L121" i="3"/>
  <c r="L120" i="3"/>
  <c r="M120" i="3" s="1"/>
  <c r="K119" i="3"/>
  <c r="J119" i="3"/>
  <c r="I119" i="3"/>
  <c r="H119" i="3"/>
  <c r="G119" i="3"/>
  <c r="K117" i="3"/>
  <c r="J117" i="3"/>
  <c r="I117" i="3"/>
  <c r="H117" i="3"/>
  <c r="G117" i="3"/>
  <c r="G116" i="3"/>
  <c r="H116" i="3" s="1"/>
  <c r="I116" i="3" s="1"/>
  <c r="J116" i="3" s="1"/>
  <c r="K116" i="3" s="1"/>
  <c r="L116" i="3" s="1"/>
  <c r="M116" i="3" s="1"/>
  <c r="S115" i="3"/>
  <c r="G115" i="3"/>
  <c r="H115" i="3" s="1"/>
  <c r="I115" i="3" s="1"/>
  <c r="J115" i="3" s="1"/>
  <c r="K115" i="3" s="1"/>
  <c r="L115" i="3" s="1"/>
  <c r="M115" i="3" s="1"/>
  <c r="L112" i="3"/>
  <c r="M112" i="3" s="1"/>
  <c r="L111" i="3"/>
  <c r="M111" i="3" s="1"/>
  <c r="L110" i="3"/>
  <c r="M110" i="3" s="1"/>
  <c r="L109" i="3"/>
  <c r="M109" i="3" s="1"/>
  <c r="M108" i="3"/>
  <c r="L108" i="3"/>
  <c r="L107" i="3"/>
  <c r="M107" i="3" s="1"/>
  <c r="M106" i="3"/>
  <c r="L106" i="3"/>
  <c r="L105" i="3"/>
  <c r="L104" i="3"/>
  <c r="K103" i="3"/>
  <c r="J103" i="3"/>
  <c r="I103" i="3"/>
  <c r="H103" i="3"/>
  <c r="G103" i="3"/>
  <c r="K101" i="3"/>
  <c r="J101" i="3"/>
  <c r="I101" i="3"/>
  <c r="H101" i="3"/>
  <c r="G101" i="3"/>
  <c r="G100" i="3"/>
  <c r="H100" i="3" s="1"/>
  <c r="I100" i="3" s="1"/>
  <c r="J100" i="3" s="1"/>
  <c r="K100" i="3" s="1"/>
  <c r="L100" i="3" s="1"/>
  <c r="M100" i="3" s="1"/>
  <c r="X99" i="3"/>
  <c r="V99" i="3"/>
  <c r="S99" i="3"/>
  <c r="G99" i="3"/>
  <c r="H99" i="3" s="1"/>
  <c r="I99" i="3" s="1"/>
  <c r="J99" i="3" s="1"/>
  <c r="K99" i="3" s="1"/>
  <c r="L99" i="3" s="1"/>
  <c r="M99" i="3" s="1"/>
  <c r="L96" i="3"/>
  <c r="M96" i="3" s="1"/>
  <c r="L95" i="3"/>
  <c r="M95" i="3" s="1"/>
  <c r="M94" i="3"/>
  <c r="L94" i="3"/>
  <c r="L93" i="3"/>
  <c r="M93" i="3" s="1"/>
  <c r="M92" i="3"/>
  <c r="L92" i="3"/>
  <c r="L91" i="3"/>
  <c r="M91" i="3" s="1"/>
  <c r="L90" i="3"/>
  <c r="L89" i="3"/>
  <c r="L88" i="3"/>
  <c r="M88" i="3" s="1"/>
  <c r="K87" i="3"/>
  <c r="J87" i="3"/>
  <c r="I87" i="3"/>
  <c r="H87" i="3"/>
  <c r="G87" i="3"/>
  <c r="K85" i="3"/>
  <c r="J85" i="3"/>
  <c r="I85" i="3"/>
  <c r="H85" i="3"/>
  <c r="G85" i="3"/>
  <c r="G84" i="3"/>
  <c r="H84" i="3" s="1"/>
  <c r="I84" i="3" s="1"/>
  <c r="J84" i="3" s="1"/>
  <c r="K84" i="3" s="1"/>
  <c r="L84" i="3" s="1"/>
  <c r="M84" i="3" s="1"/>
  <c r="X83" i="3"/>
  <c r="W83" i="3"/>
  <c r="S83" i="3"/>
  <c r="G83" i="3"/>
  <c r="H83" i="3" s="1"/>
  <c r="I83" i="3" s="1"/>
  <c r="J83" i="3" s="1"/>
  <c r="K83" i="3" s="1"/>
  <c r="L83" i="3" s="1"/>
  <c r="M83" i="3" s="1"/>
  <c r="L80" i="3"/>
  <c r="M80" i="3" s="1"/>
  <c r="L79" i="3"/>
  <c r="M79" i="3" s="1"/>
  <c r="M78" i="3"/>
  <c r="L78" i="3"/>
  <c r="L77" i="3"/>
  <c r="M77" i="3" s="1"/>
  <c r="L76" i="3"/>
  <c r="L75" i="3"/>
  <c r="M75" i="3" s="1"/>
  <c r="L74" i="3"/>
  <c r="L73" i="3"/>
  <c r="L72" i="3"/>
  <c r="M72" i="3" s="1"/>
  <c r="K71" i="3"/>
  <c r="J71" i="3"/>
  <c r="I71" i="3"/>
  <c r="H71" i="3"/>
  <c r="G71" i="3"/>
  <c r="K69" i="3"/>
  <c r="J69" i="3"/>
  <c r="I69" i="3"/>
  <c r="H69" i="3"/>
  <c r="G69" i="3"/>
  <c r="G68" i="3"/>
  <c r="H68" i="3" s="1"/>
  <c r="I68" i="3" s="1"/>
  <c r="J68" i="3" s="1"/>
  <c r="K68" i="3" s="1"/>
  <c r="L68" i="3" s="1"/>
  <c r="M68" i="3" s="1"/>
  <c r="W67" i="3"/>
  <c r="S67" i="3"/>
  <c r="G67" i="3"/>
  <c r="H67" i="3" s="1"/>
  <c r="I67" i="3" s="1"/>
  <c r="J67" i="3" s="1"/>
  <c r="K67" i="3" s="1"/>
  <c r="L67" i="3" s="1"/>
  <c r="M67" i="3" s="1"/>
  <c r="L64" i="3"/>
  <c r="M64" i="3" s="1"/>
  <c r="L63" i="3"/>
  <c r="M63" i="3" s="1"/>
  <c r="L62" i="3"/>
  <c r="L61" i="3"/>
  <c r="M61" i="3" s="1"/>
  <c r="L60" i="3"/>
  <c r="M60" i="3" s="1"/>
  <c r="L59" i="3"/>
  <c r="M59" i="3" s="1"/>
  <c r="L58" i="3"/>
  <c r="M58" i="3" s="1"/>
  <c r="L57" i="3"/>
  <c r="U51" i="3" s="1"/>
  <c r="M56" i="3"/>
  <c r="L56" i="3"/>
  <c r="K55" i="3"/>
  <c r="J55" i="3"/>
  <c r="I55" i="3"/>
  <c r="H55" i="3"/>
  <c r="G55" i="3"/>
  <c r="K53" i="3"/>
  <c r="J53" i="3"/>
  <c r="I53" i="3"/>
  <c r="H53" i="3"/>
  <c r="G53" i="3"/>
  <c r="G52" i="3"/>
  <c r="H52" i="3" s="1"/>
  <c r="I52" i="3" s="1"/>
  <c r="J52" i="3" s="1"/>
  <c r="K52" i="3" s="1"/>
  <c r="L52" i="3" s="1"/>
  <c r="M52" i="3" s="1"/>
  <c r="S51" i="3"/>
  <c r="G51" i="3"/>
  <c r="H51" i="3" s="1"/>
  <c r="I51" i="3" s="1"/>
  <c r="J51" i="3" s="1"/>
  <c r="K51" i="3" s="1"/>
  <c r="L51" i="3" s="1"/>
  <c r="M51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L40" i="3"/>
  <c r="K39" i="3"/>
  <c r="J39" i="3"/>
  <c r="I39" i="3"/>
  <c r="H39" i="3"/>
  <c r="G39" i="3"/>
  <c r="K37" i="3"/>
  <c r="J37" i="3"/>
  <c r="I37" i="3"/>
  <c r="H37" i="3"/>
  <c r="G37" i="3"/>
  <c r="G36" i="3"/>
  <c r="H36" i="3" s="1"/>
  <c r="I36" i="3" s="1"/>
  <c r="J36" i="3" s="1"/>
  <c r="K36" i="3" s="1"/>
  <c r="L36" i="3" s="1"/>
  <c r="M36" i="3" s="1"/>
  <c r="X35" i="3"/>
  <c r="V35" i="3"/>
  <c r="S35" i="3"/>
  <c r="G35" i="3"/>
  <c r="H35" i="3" s="1"/>
  <c r="I35" i="3" s="1"/>
  <c r="J35" i="3" s="1"/>
  <c r="K35" i="3" s="1"/>
  <c r="L35" i="3" s="1"/>
  <c r="M35" i="3" s="1"/>
  <c r="A35" i="3"/>
  <c r="A51" i="3" s="1"/>
  <c r="A67" i="3" s="1"/>
  <c r="A83" i="3" s="1"/>
  <c r="A99" i="3" s="1"/>
  <c r="A115" i="3" s="1"/>
  <c r="A131" i="3" s="1"/>
  <c r="A147" i="3" s="1"/>
  <c r="A163" i="3" s="1"/>
  <c r="A179" i="3" s="1"/>
  <c r="A195" i="3" s="1"/>
  <c r="A211" i="3" s="1"/>
  <c r="A227" i="3" s="1"/>
  <c r="A243" i="3" s="1"/>
  <c r="A259" i="3" s="1"/>
  <c r="A275" i="3" s="1"/>
  <c r="A291" i="3" s="1"/>
  <c r="A307" i="3" s="1"/>
  <c r="A323" i="3" s="1"/>
  <c r="A339" i="3" s="1"/>
  <c r="A355" i="3" s="1"/>
  <c r="A371" i="3" s="1"/>
  <c r="A387" i="3" s="1"/>
  <c r="A403" i="3" s="1"/>
  <c r="A419" i="3" s="1"/>
  <c r="A435" i="3" s="1"/>
  <c r="A451" i="3" s="1"/>
  <c r="A467" i="3" s="1"/>
  <c r="A483" i="3" s="1"/>
  <c r="A499" i="3" s="1"/>
  <c r="A515" i="3" s="1"/>
  <c r="A531" i="3" s="1"/>
  <c r="A547" i="3" s="1"/>
  <c r="A563" i="3" s="1"/>
  <c r="A579" i="3" s="1"/>
  <c r="A595" i="3" s="1"/>
  <c r="A611" i="3" s="1"/>
  <c r="A627" i="3" s="1"/>
  <c r="A643" i="3" s="1"/>
  <c r="A659" i="3" s="1"/>
  <c r="A675" i="3" s="1"/>
  <c r="A691" i="3" s="1"/>
  <c r="A707" i="3" s="1"/>
  <c r="A723" i="3" s="1"/>
  <c r="A739" i="3" s="1"/>
  <c r="A755" i="3" s="1"/>
  <c r="A771" i="3" s="1"/>
  <c r="A787" i="3" s="1"/>
  <c r="A803" i="3" s="1"/>
  <c r="L32" i="3"/>
  <c r="M32" i="3" s="1"/>
  <c r="L31" i="3"/>
  <c r="M31" i="3" s="1"/>
  <c r="L30" i="3"/>
  <c r="W19" i="3" s="1"/>
  <c r="L29" i="3"/>
  <c r="M29" i="3" s="1"/>
  <c r="M28" i="3"/>
  <c r="L28" i="3"/>
  <c r="L27" i="3"/>
  <c r="M27" i="3" s="1"/>
  <c r="L26" i="3"/>
  <c r="V19" i="3" s="1"/>
  <c r="L25" i="3"/>
  <c r="L24" i="3"/>
  <c r="M24" i="3" s="1"/>
  <c r="K23" i="3"/>
  <c r="J23" i="3"/>
  <c r="I23" i="3"/>
  <c r="H23" i="3"/>
  <c r="G23" i="3"/>
  <c r="K21" i="3"/>
  <c r="J21" i="3"/>
  <c r="I21" i="3"/>
  <c r="H21" i="3"/>
  <c r="G21" i="3"/>
  <c r="G20" i="3"/>
  <c r="H20" i="3" s="1"/>
  <c r="I20" i="3" s="1"/>
  <c r="J20" i="3" s="1"/>
  <c r="K20" i="3" s="1"/>
  <c r="L20" i="3" s="1"/>
  <c r="M20" i="3" s="1"/>
  <c r="C20" i="3"/>
  <c r="C36" i="3" s="1"/>
  <c r="C52" i="3" s="1"/>
  <c r="C68" i="3" s="1"/>
  <c r="C84" i="3" s="1"/>
  <c r="C100" i="3" s="1"/>
  <c r="C116" i="3" s="1"/>
  <c r="C132" i="3" s="1"/>
  <c r="C148" i="3" s="1"/>
  <c r="C164" i="3" s="1"/>
  <c r="C180" i="3" s="1"/>
  <c r="C196" i="3" s="1"/>
  <c r="C212" i="3" s="1"/>
  <c r="C228" i="3" s="1"/>
  <c r="C244" i="3" s="1"/>
  <c r="C260" i="3" s="1"/>
  <c r="C276" i="3" s="1"/>
  <c r="C292" i="3" s="1"/>
  <c r="C308" i="3" s="1"/>
  <c r="C324" i="3" s="1"/>
  <c r="C340" i="3" s="1"/>
  <c r="C356" i="3" s="1"/>
  <c r="C372" i="3" s="1"/>
  <c r="C388" i="3" s="1"/>
  <c r="C404" i="3" s="1"/>
  <c r="C420" i="3" s="1"/>
  <c r="C436" i="3" s="1"/>
  <c r="C452" i="3" s="1"/>
  <c r="C468" i="3" s="1"/>
  <c r="C484" i="3" s="1"/>
  <c r="C500" i="3" s="1"/>
  <c r="C516" i="3" s="1"/>
  <c r="C532" i="3" s="1"/>
  <c r="C548" i="3" s="1"/>
  <c r="C564" i="3" s="1"/>
  <c r="C580" i="3" s="1"/>
  <c r="C596" i="3" s="1"/>
  <c r="C612" i="3" s="1"/>
  <c r="C628" i="3" s="1"/>
  <c r="C644" i="3" s="1"/>
  <c r="C660" i="3" s="1"/>
  <c r="C676" i="3" s="1"/>
  <c r="C692" i="3" s="1"/>
  <c r="C708" i="3" s="1"/>
  <c r="C724" i="3" s="1"/>
  <c r="C740" i="3" s="1"/>
  <c r="C756" i="3" s="1"/>
  <c r="C772" i="3" s="1"/>
  <c r="C788" i="3" s="1"/>
  <c r="C804" i="3" s="1"/>
  <c r="X19" i="3"/>
  <c r="S19" i="3"/>
  <c r="G19" i="3"/>
  <c r="H19" i="3" s="1"/>
  <c r="I19" i="3" s="1"/>
  <c r="J19" i="3" s="1"/>
  <c r="K19" i="3" s="1"/>
  <c r="L19" i="3" s="1"/>
  <c r="M19" i="3" s="1"/>
  <c r="K16" i="3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I4" i="3"/>
  <c r="J4" i="3" s="1"/>
  <c r="K4" i="3" s="1"/>
  <c r="L4" i="3" s="1"/>
  <c r="M4" i="3" s="1"/>
  <c r="H4" i="3"/>
  <c r="S3" i="3"/>
  <c r="I3" i="3"/>
  <c r="J3" i="3" s="1"/>
  <c r="K3" i="3" s="1"/>
  <c r="L3" i="3" s="1"/>
  <c r="M3" i="3" s="1"/>
  <c r="H3" i="3"/>
  <c r="X1" i="3"/>
  <c r="T1" i="3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L810" i="2"/>
  <c r="M810" i="2" s="1"/>
  <c r="L809" i="2"/>
  <c r="L808" i="2"/>
  <c r="M808" i="2" s="1"/>
  <c r="K807" i="2"/>
  <c r="J807" i="2"/>
  <c r="I807" i="2"/>
  <c r="H807" i="2"/>
  <c r="G807" i="2"/>
  <c r="K805" i="2"/>
  <c r="J805" i="2"/>
  <c r="I805" i="2"/>
  <c r="H805" i="2"/>
  <c r="G805" i="2"/>
  <c r="G804" i="2"/>
  <c r="H804" i="2" s="1"/>
  <c r="I804" i="2" s="1"/>
  <c r="J804" i="2" s="1"/>
  <c r="K804" i="2" s="1"/>
  <c r="L804" i="2" s="1"/>
  <c r="M804" i="2" s="1"/>
  <c r="W803" i="2"/>
  <c r="S803" i="2"/>
  <c r="G803" i="2"/>
  <c r="H803" i="2" s="1"/>
  <c r="I803" i="2" s="1"/>
  <c r="J803" i="2" s="1"/>
  <c r="K803" i="2" s="1"/>
  <c r="L803" i="2" s="1"/>
  <c r="M803" i="2" s="1"/>
  <c r="L800" i="2"/>
  <c r="M800" i="2" s="1"/>
  <c r="L799" i="2"/>
  <c r="M799" i="2" s="1"/>
  <c r="L798" i="2"/>
  <c r="L797" i="2"/>
  <c r="M797" i="2" s="1"/>
  <c r="L796" i="2"/>
  <c r="M796" i="2" s="1"/>
  <c r="L795" i="2"/>
  <c r="M795" i="2" s="1"/>
  <c r="L794" i="2"/>
  <c r="L793" i="2"/>
  <c r="L792" i="2"/>
  <c r="M792" i="2" s="1"/>
  <c r="K791" i="2"/>
  <c r="J791" i="2"/>
  <c r="I791" i="2"/>
  <c r="H791" i="2"/>
  <c r="G791" i="2"/>
  <c r="K789" i="2"/>
  <c r="J789" i="2"/>
  <c r="I789" i="2"/>
  <c r="H789" i="2"/>
  <c r="G789" i="2"/>
  <c r="G788" i="2"/>
  <c r="H788" i="2" s="1"/>
  <c r="I788" i="2" s="1"/>
  <c r="J788" i="2" s="1"/>
  <c r="K788" i="2" s="1"/>
  <c r="L788" i="2" s="1"/>
  <c r="M788" i="2" s="1"/>
  <c r="S787" i="2"/>
  <c r="G787" i="2"/>
  <c r="H787" i="2" s="1"/>
  <c r="I787" i="2" s="1"/>
  <c r="J787" i="2" s="1"/>
  <c r="K787" i="2" s="1"/>
  <c r="L787" i="2" s="1"/>
  <c r="M787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L776" i="2"/>
  <c r="M776" i="2" s="1"/>
  <c r="K775" i="2"/>
  <c r="J775" i="2"/>
  <c r="I775" i="2"/>
  <c r="H775" i="2"/>
  <c r="G775" i="2"/>
  <c r="K773" i="2"/>
  <c r="J773" i="2"/>
  <c r="I773" i="2"/>
  <c r="H773" i="2"/>
  <c r="G773" i="2"/>
  <c r="G772" i="2"/>
  <c r="H772" i="2" s="1"/>
  <c r="I772" i="2" s="1"/>
  <c r="J772" i="2" s="1"/>
  <c r="K772" i="2" s="1"/>
  <c r="L772" i="2" s="1"/>
  <c r="M772" i="2" s="1"/>
  <c r="W771" i="2"/>
  <c r="S771" i="2"/>
  <c r="G771" i="2"/>
  <c r="H771" i="2" s="1"/>
  <c r="I771" i="2" s="1"/>
  <c r="J771" i="2" s="1"/>
  <c r="K771" i="2" s="1"/>
  <c r="L771" i="2" s="1"/>
  <c r="M771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L760" i="2"/>
  <c r="M760" i="2" s="1"/>
  <c r="K759" i="2"/>
  <c r="J759" i="2"/>
  <c r="I759" i="2"/>
  <c r="H759" i="2"/>
  <c r="G759" i="2"/>
  <c r="K757" i="2"/>
  <c r="J757" i="2"/>
  <c r="I757" i="2"/>
  <c r="H757" i="2"/>
  <c r="G757" i="2"/>
  <c r="G756" i="2"/>
  <c r="H756" i="2" s="1"/>
  <c r="I756" i="2" s="1"/>
  <c r="J756" i="2" s="1"/>
  <c r="K756" i="2" s="1"/>
  <c r="L756" i="2" s="1"/>
  <c r="M756" i="2" s="1"/>
  <c r="W755" i="2"/>
  <c r="S755" i="2"/>
  <c r="G755" i="2"/>
  <c r="H755" i="2" s="1"/>
  <c r="I755" i="2" s="1"/>
  <c r="J755" i="2" s="1"/>
  <c r="K755" i="2" s="1"/>
  <c r="L755" i="2" s="1"/>
  <c r="M755" i="2" s="1"/>
  <c r="L752" i="2"/>
  <c r="M752" i="2" s="1"/>
  <c r="L751" i="2"/>
  <c r="M751" i="2" s="1"/>
  <c r="L750" i="2"/>
  <c r="L749" i="2"/>
  <c r="M749" i="2" s="1"/>
  <c r="L748" i="2"/>
  <c r="M748" i="2" s="1"/>
  <c r="L747" i="2"/>
  <c r="M747" i="2" s="1"/>
  <c r="L746" i="2"/>
  <c r="M746" i="2" s="1"/>
  <c r="L745" i="2"/>
  <c r="L744" i="2"/>
  <c r="M744" i="2" s="1"/>
  <c r="K743" i="2"/>
  <c r="J743" i="2"/>
  <c r="I743" i="2"/>
  <c r="H743" i="2"/>
  <c r="G743" i="2"/>
  <c r="K741" i="2"/>
  <c r="J741" i="2"/>
  <c r="I741" i="2"/>
  <c r="H741" i="2"/>
  <c r="G741" i="2"/>
  <c r="G740" i="2"/>
  <c r="H740" i="2" s="1"/>
  <c r="I740" i="2" s="1"/>
  <c r="J740" i="2" s="1"/>
  <c r="K740" i="2" s="1"/>
  <c r="L740" i="2" s="1"/>
  <c r="M740" i="2" s="1"/>
  <c r="S739" i="2"/>
  <c r="G739" i="2"/>
  <c r="H739" i="2" s="1"/>
  <c r="I739" i="2" s="1"/>
  <c r="J739" i="2" s="1"/>
  <c r="K739" i="2" s="1"/>
  <c r="L739" i="2" s="1"/>
  <c r="M739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L728" i="2"/>
  <c r="M728" i="2" s="1"/>
  <c r="K727" i="2"/>
  <c r="J727" i="2"/>
  <c r="I727" i="2"/>
  <c r="H727" i="2"/>
  <c r="G727" i="2"/>
  <c r="K725" i="2"/>
  <c r="J725" i="2"/>
  <c r="I725" i="2"/>
  <c r="H725" i="2"/>
  <c r="G725" i="2"/>
  <c r="G724" i="2"/>
  <c r="H724" i="2" s="1"/>
  <c r="I724" i="2" s="1"/>
  <c r="J724" i="2" s="1"/>
  <c r="K724" i="2" s="1"/>
  <c r="L724" i="2" s="1"/>
  <c r="M724" i="2" s="1"/>
  <c r="W723" i="2"/>
  <c r="S723" i="2"/>
  <c r="H723" i="2"/>
  <c r="I723" i="2" s="1"/>
  <c r="J723" i="2" s="1"/>
  <c r="K723" i="2" s="1"/>
  <c r="L723" i="2" s="1"/>
  <c r="M723" i="2" s="1"/>
  <c r="G723" i="2"/>
  <c r="L720" i="2"/>
  <c r="M720" i="2" s="1"/>
  <c r="L719" i="2"/>
  <c r="M719" i="2" s="1"/>
  <c r="L718" i="2"/>
  <c r="L717" i="2"/>
  <c r="M717" i="2" s="1"/>
  <c r="L716" i="2"/>
  <c r="M716" i="2" s="1"/>
  <c r="L715" i="2"/>
  <c r="M715" i="2" s="1"/>
  <c r="L714" i="2"/>
  <c r="L713" i="2"/>
  <c r="M713" i="2" s="1"/>
  <c r="L712" i="2"/>
  <c r="M712" i="2" s="1"/>
  <c r="K711" i="2"/>
  <c r="J711" i="2"/>
  <c r="I711" i="2"/>
  <c r="H711" i="2"/>
  <c r="G711" i="2"/>
  <c r="K709" i="2"/>
  <c r="J709" i="2"/>
  <c r="I709" i="2"/>
  <c r="H709" i="2"/>
  <c r="G709" i="2"/>
  <c r="G708" i="2"/>
  <c r="H708" i="2" s="1"/>
  <c r="I708" i="2" s="1"/>
  <c r="J708" i="2" s="1"/>
  <c r="K708" i="2" s="1"/>
  <c r="L708" i="2" s="1"/>
  <c r="M708" i="2" s="1"/>
  <c r="S707" i="2"/>
  <c r="H707" i="2"/>
  <c r="I707" i="2" s="1"/>
  <c r="J707" i="2" s="1"/>
  <c r="K707" i="2" s="1"/>
  <c r="L707" i="2" s="1"/>
  <c r="M707" i="2" s="1"/>
  <c r="G707" i="2"/>
  <c r="L704" i="2"/>
  <c r="M704" i="2" s="1"/>
  <c r="L703" i="2"/>
  <c r="M703" i="2" s="1"/>
  <c r="L702" i="2"/>
  <c r="M702" i="2" s="1"/>
  <c r="L701" i="2"/>
  <c r="M701" i="2" s="1"/>
  <c r="L700" i="2"/>
  <c r="L699" i="2"/>
  <c r="M699" i="2" s="1"/>
  <c r="L698" i="2"/>
  <c r="L697" i="2"/>
  <c r="M697" i="2" s="1"/>
  <c r="L696" i="2"/>
  <c r="K695" i="2"/>
  <c r="J695" i="2"/>
  <c r="I695" i="2"/>
  <c r="H695" i="2"/>
  <c r="G695" i="2"/>
  <c r="K693" i="2"/>
  <c r="J693" i="2"/>
  <c r="I693" i="2"/>
  <c r="H693" i="2"/>
  <c r="G693" i="2"/>
  <c r="G692" i="2"/>
  <c r="H692" i="2" s="1"/>
  <c r="I692" i="2" s="1"/>
  <c r="J692" i="2" s="1"/>
  <c r="K692" i="2" s="1"/>
  <c r="L692" i="2" s="1"/>
  <c r="M692" i="2" s="1"/>
  <c r="S691" i="2"/>
  <c r="H691" i="2"/>
  <c r="I691" i="2" s="1"/>
  <c r="J691" i="2" s="1"/>
  <c r="K691" i="2" s="1"/>
  <c r="L691" i="2" s="1"/>
  <c r="M691" i="2" s="1"/>
  <c r="G691" i="2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L680" i="2"/>
  <c r="M680" i="2" s="1"/>
  <c r="K679" i="2"/>
  <c r="J679" i="2"/>
  <c r="I679" i="2"/>
  <c r="H679" i="2"/>
  <c r="G679" i="2"/>
  <c r="K677" i="2"/>
  <c r="J677" i="2"/>
  <c r="I677" i="2"/>
  <c r="H677" i="2"/>
  <c r="G677" i="2"/>
  <c r="G676" i="2"/>
  <c r="H676" i="2" s="1"/>
  <c r="I676" i="2" s="1"/>
  <c r="J676" i="2" s="1"/>
  <c r="K676" i="2" s="1"/>
  <c r="L676" i="2" s="1"/>
  <c r="M676" i="2" s="1"/>
  <c r="X675" i="2"/>
  <c r="W675" i="2"/>
  <c r="S675" i="2"/>
  <c r="H675" i="2"/>
  <c r="I675" i="2" s="1"/>
  <c r="J675" i="2" s="1"/>
  <c r="K675" i="2" s="1"/>
  <c r="L675" i="2" s="1"/>
  <c r="M675" i="2" s="1"/>
  <c r="G675" i="2"/>
  <c r="L672" i="2"/>
  <c r="M672" i="2" s="1"/>
  <c r="L671" i="2"/>
  <c r="M671" i="2" s="1"/>
  <c r="L670" i="2"/>
  <c r="L669" i="2"/>
  <c r="M669" i="2" s="1"/>
  <c r="L668" i="2"/>
  <c r="L667" i="2"/>
  <c r="M667" i="2" s="1"/>
  <c r="L666" i="2"/>
  <c r="L665" i="2"/>
  <c r="M665" i="2" s="1"/>
  <c r="L664" i="2"/>
  <c r="K663" i="2"/>
  <c r="J663" i="2"/>
  <c r="I663" i="2"/>
  <c r="H663" i="2"/>
  <c r="G663" i="2"/>
  <c r="K661" i="2"/>
  <c r="J661" i="2"/>
  <c r="I661" i="2"/>
  <c r="H661" i="2"/>
  <c r="G661" i="2"/>
  <c r="G660" i="2"/>
  <c r="H660" i="2" s="1"/>
  <c r="I660" i="2" s="1"/>
  <c r="J660" i="2" s="1"/>
  <c r="K660" i="2" s="1"/>
  <c r="L660" i="2" s="1"/>
  <c r="M660" i="2" s="1"/>
  <c r="U659" i="2"/>
  <c r="S659" i="2"/>
  <c r="H659" i="2"/>
  <c r="I659" i="2" s="1"/>
  <c r="J659" i="2" s="1"/>
  <c r="K659" i="2" s="1"/>
  <c r="L659" i="2" s="1"/>
  <c r="M659" i="2" s="1"/>
  <c r="G659" i="2"/>
  <c r="L656" i="2"/>
  <c r="M656" i="2" s="1"/>
  <c r="L655" i="2"/>
  <c r="M655" i="2" s="1"/>
  <c r="L654" i="2"/>
  <c r="L653" i="2"/>
  <c r="M653" i="2" s="1"/>
  <c r="L652" i="2"/>
  <c r="L651" i="2"/>
  <c r="M651" i="2" s="1"/>
  <c r="L650" i="2"/>
  <c r="L649" i="2"/>
  <c r="M649" i="2" s="1"/>
  <c r="L648" i="2"/>
  <c r="K647" i="2"/>
  <c r="J647" i="2"/>
  <c r="I647" i="2"/>
  <c r="H647" i="2"/>
  <c r="G647" i="2"/>
  <c r="K645" i="2"/>
  <c r="J645" i="2"/>
  <c r="I645" i="2"/>
  <c r="H645" i="2"/>
  <c r="G645" i="2"/>
  <c r="G644" i="2"/>
  <c r="H644" i="2" s="1"/>
  <c r="I644" i="2" s="1"/>
  <c r="J644" i="2" s="1"/>
  <c r="K644" i="2" s="1"/>
  <c r="L644" i="2" s="1"/>
  <c r="M644" i="2" s="1"/>
  <c r="U643" i="2"/>
  <c r="S643" i="2"/>
  <c r="G643" i="2"/>
  <c r="H643" i="2" s="1"/>
  <c r="I643" i="2" s="1"/>
  <c r="J643" i="2" s="1"/>
  <c r="K643" i="2" s="1"/>
  <c r="L643" i="2" s="1"/>
  <c r="M643" i="2" s="1"/>
  <c r="L640" i="2"/>
  <c r="M640" i="2" s="1"/>
  <c r="L639" i="2"/>
  <c r="M639" i="2" s="1"/>
  <c r="L638" i="2"/>
  <c r="L637" i="2"/>
  <c r="M637" i="2" s="1"/>
  <c r="L636" i="2"/>
  <c r="L635" i="2"/>
  <c r="M635" i="2" s="1"/>
  <c r="L634" i="2"/>
  <c r="L633" i="2"/>
  <c r="M633" i="2" s="1"/>
  <c r="L632" i="2"/>
  <c r="K631" i="2"/>
  <c r="J631" i="2"/>
  <c r="I631" i="2"/>
  <c r="H631" i="2"/>
  <c r="G631" i="2"/>
  <c r="K629" i="2"/>
  <c r="J629" i="2"/>
  <c r="I629" i="2"/>
  <c r="H629" i="2"/>
  <c r="G629" i="2"/>
  <c r="G628" i="2"/>
  <c r="H628" i="2" s="1"/>
  <c r="I628" i="2" s="1"/>
  <c r="J628" i="2" s="1"/>
  <c r="K628" i="2" s="1"/>
  <c r="L628" i="2" s="1"/>
  <c r="M628" i="2" s="1"/>
  <c r="S627" i="2"/>
  <c r="G627" i="2"/>
  <c r="H627" i="2" s="1"/>
  <c r="I627" i="2" s="1"/>
  <c r="J627" i="2" s="1"/>
  <c r="K627" i="2" s="1"/>
  <c r="L627" i="2" s="1"/>
  <c r="M627" i="2" s="1"/>
  <c r="L624" i="2"/>
  <c r="M624" i="2" s="1"/>
  <c r="L623" i="2"/>
  <c r="M623" i="2" s="1"/>
  <c r="L622" i="2"/>
  <c r="L621" i="2"/>
  <c r="M621" i="2" s="1"/>
  <c r="L620" i="2"/>
  <c r="L619" i="2"/>
  <c r="M619" i="2" s="1"/>
  <c r="L618" i="2"/>
  <c r="L617" i="2"/>
  <c r="M617" i="2" s="1"/>
  <c r="L616" i="2"/>
  <c r="K615" i="2"/>
  <c r="J615" i="2"/>
  <c r="I615" i="2"/>
  <c r="H615" i="2"/>
  <c r="G615" i="2"/>
  <c r="K613" i="2"/>
  <c r="J613" i="2"/>
  <c r="I613" i="2"/>
  <c r="H613" i="2"/>
  <c r="G613" i="2"/>
  <c r="G612" i="2"/>
  <c r="H612" i="2" s="1"/>
  <c r="I612" i="2" s="1"/>
  <c r="J612" i="2" s="1"/>
  <c r="K612" i="2" s="1"/>
  <c r="L612" i="2" s="1"/>
  <c r="M612" i="2" s="1"/>
  <c r="S611" i="2"/>
  <c r="G611" i="2"/>
  <c r="H611" i="2" s="1"/>
  <c r="I611" i="2" s="1"/>
  <c r="J611" i="2" s="1"/>
  <c r="K611" i="2" s="1"/>
  <c r="L611" i="2" s="1"/>
  <c r="M611" i="2" s="1"/>
  <c r="L608" i="2"/>
  <c r="M608" i="2" s="1"/>
  <c r="L607" i="2"/>
  <c r="M607" i="2" s="1"/>
  <c r="L606" i="2"/>
  <c r="L605" i="2"/>
  <c r="M605" i="2" s="1"/>
  <c r="L604" i="2"/>
  <c r="L603" i="2"/>
  <c r="M603" i="2" s="1"/>
  <c r="L602" i="2"/>
  <c r="L601" i="2"/>
  <c r="M601" i="2" s="1"/>
  <c r="L600" i="2"/>
  <c r="K599" i="2"/>
  <c r="J599" i="2"/>
  <c r="I599" i="2"/>
  <c r="H599" i="2"/>
  <c r="G599" i="2"/>
  <c r="K597" i="2"/>
  <c r="J597" i="2"/>
  <c r="I597" i="2"/>
  <c r="H597" i="2"/>
  <c r="G597" i="2"/>
  <c r="G596" i="2"/>
  <c r="H596" i="2" s="1"/>
  <c r="I596" i="2" s="1"/>
  <c r="J596" i="2" s="1"/>
  <c r="K596" i="2" s="1"/>
  <c r="L596" i="2" s="1"/>
  <c r="M596" i="2" s="1"/>
  <c r="S595" i="2"/>
  <c r="G595" i="2"/>
  <c r="H595" i="2" s="1"/>
  <c r="I595" i="2" s="1"/>
  <c r="J595" i="2" s="1"/>
  <c r="K595" i="2" s="1"/>
  <c r="L595" i="2" s="1"/>
  <c r="M595" i="2" s="1"/>
  <c r="L592" i="2"/>
  <c r="M592" i="2" s="1"/>
  <c r="L591" i="2"/>
  <c r="M591" i="2" s="1"/>
  <c r="L590" i="2"/>
  <c r="L589" i="2"/>
  <c r="M589" i="2" s="1"/>
  <c r="L588" i="2"/>
  <c r="L587" i="2"/>
  <c r="M587" i="2" s="1"/>
  <c r="L586" i="2"/>
  <c r="L585" i="2"/>
  <c r="M585" i="2" s="1"/>
  <c r="L584" i="2"/>
  <c r="M584" i="2" s="1"/>
  <c r="K583" i="2"/>
  <c r="J583" i="2"/>
  <c r="I583" i="2"/>
  <c r="H583" i="2"/>
  <c r="G583" i="2"/>
  <c r="K581" i="2"/>
  <c r="J581" i="2"/>
  <c r="I581" i="2"/>
  <c r="H581" i="2"/>
  <c r="G581" i="2"/>
  <c r="G580" i="2"/>
  <c r="H580" i="2" s="1"/>
  <c r="I580" i="2" s="1"/>
  <c r="J580" i="2" s="1"/>
  <c r="K580" i="2" s="1"/>
  <c r="L580" i="2" s="1"/>
  <c r="M580" i="2" s="1"/>
  <c r="S579" i="2"/>
  <c r="G579" i="2"/>
  <c r="H579" i="2" s="1"/>
  <c r="I579" i="2" s="1"/>
  <c r="J579" i="2" s="1"/>
  <c r="K579" i="2" s="1"/>
  <c r="L579" i="2" s="1"/>
  <c r="M579" i="2" s="1"/>
  <c r="L576" i="2"/>
  <c r="M576" i="2" s="1"/>
  <c r="L575" i="2"/>
  <c r="M575" i="2" s="1"/>
  <c r="L574" i="2"/>
  <c r="M574" i="2" s="1"/>
  <c r="L573" i="2"/>
  <c r="M573" i="2" s="1"/>
  <c r="L572" i="2"/>
  <c r="L571" i="2"/>
  <c r="L570" i="2"/>
  <c r="M570" i="2" s="1"/>
  <c r="L569" i="2"/>
  <c r="M569" i="2" s="1"/>
  <c r="L568" i="2"/>
  <c r="K567" i="2"/>
  <c r="J567" i="2"/>
  <c r="I567" i="2"/>
  <c r="H567" i="2"/>
  <c r="G567" i="2"/>
  <c r="K565" i="2"/>
  <c r="J565" i="2"/>
  <c r="I565" i="2"/>
  <c r="H565" i="2"/>
  <c r="G565" i="2"/>
  <c r="G564" i="2"/>
  <c r="H564" i="2" s="1"/>
  <c r="I564" i="2" s="1"/>
  <c r="J564" i="2" s="1"/>
  <c r="K564" i="2" s="1"/>
  <c r="L564" i="2" s="1"/>
  <c r="M564" i="2" s="1"/>
  <c r="W563" i="2"/>
  <c r="U563" i="2"/>
  <c r="S563" i="2"/>
  <c r="G563" i="2"/>
  <c r="H563" i="2" s="1"/>
  <c r="I563" i="2" s="1"/>
  <c r="J563" i="2" s="1"/>
  <c r="K563" i="2" s="1"/>
  <c r="L563" i="2" s="1"/>
  <c r="M563" i="2" s="1"/>
  <c r="L560" i="2"/>
  <c r="M560" i="2" s="1"/>
  <c r="L559" i="2"/>
  <c r="M559" i="2" s="1"/>
  <c r="L558" i="2"/>
  <c r="W547" i="2" s="1"/>
  <c r="L557" i="2"/>
  <c r="M557" i="2" s="1"/>
  <c r="L556" i="2"/>
  <c r="M556" i="2" s="1"/>
  <c r="L555" i="2"/>
  <c r="L554" i="2"/>
  <c r="M554" i="2" s="1"/>
  <c r="L553" i="2"/>
  <c r="M553" i="2" s="1"/>
  <c r="L552" i="2"/>
  <c r="K551" i="2"/>
  <c r="J551" i="2"/>
  <c r="I551" i="2"/>
  <c r="H551" i="2"/>
  <c r="G551" i="2"/>
  <c r="K549" i="2"/>
  <c r="J549" i="2"/>
  <c r="I549" i="2"/>
  <c r="H549" i="2"/>
  <c r="G549" i="2"/>
  <c r="G548" i="2"/>
  <c r="H548" i="2" s="1"/>
  <c r="I548" i="2" s="1"/>
  <c r="J548" i="2" s="1"/>
  <c r="K548" i="2" s="1"/>
  <c r="L548" i="2" s="1"/>
  <c r="M548" i="2" s="1"/>
  <c r="X547" i="2"/>
  <c r="S547" i="2"/>
  <c r="G547" i="2"/>
  <c r="H547" i="2" s="1"/>
  <c r="I547" i="2" s="1"/>
  <c r="J547" i="2" s="1"/>
  <c r="K547" i="2" s="1"/>
  <c r="L547" i="2" s="1"/>
  <c r="M547" i="2" s="1"/>
  <c r="L544" i="2"/>
  <c r="M544" i="2" s="1"/>
  <c r="L543" i="2"/>
  <c r="M543" i="2" s="1"/>
  <c r="L542" i="2"/>
  <c r="M542" i="2" s="1"/>
  <c r="L541" i="2"/>
  <c r="M541" i="2" s="1"/>
  <c r="L540" i="2"/>
  <c r="L539" i="2"/>
  <c r="M539" i="2" s="1"/>
  <c r="L538" i="2"/>
  <c r="M538" i="2" s="1"/>
  <c r="L537" i="2"/>
  <c r="M537" i="2" s="1"/>
  <c r="L536" i="2"/>
  <c r="L535" i="2" s="1"/>
  <c r="K535" i="2"/>
  <c r="J535" i="2"/>
  <c r="I535" i="2"/>
  <c r="H535" i="2"/>
  <c r="G535" i="2"/>
  <c r="K533" i="2"/>
  <c r="J533" i="2"/>
  <c r="I533" i="2"/>
  <c r="H533" i="2"/>
  <c r="G533" i="2"/>
  <c r="G532" i="2"/>
  <c r="H532" i="2" s="1"/>
  <c r="I532" i="2" s="1"/>
  <c r="J532" i="2" s="1"/>
  <c r="K532" i="2" s="1"/>
  <c r="L532" i="2" s="1"/>
  <c r="M532" i="2" s="1"/>
  <c r="W531" i="2"/>
  <c r="V531" i="2"/>
  <c r="U531" i="2"/>
  <c r="S531" i="2"/>
  <c r="G531" i="2"/>
  <c r="H531" i="2" s="1"/>
  <c r="I531" i="2" s="1"/>
  <c r="J531" i="2" s="1"/>
  <c r="K531" i="2" s="1"/>
  <c r="L531" i="2" s="1"/>
  <c r="M531" i="2" s="1"/>
  <c r="M528" i="2"/>
  <c r="L528" i="2"/>
  <c r="L527" i="2"/>
  <c r="M527" i="2" s="1"/>
  <c r="M526" i="2"/>
  <c r="L526" i="2"/>
  <c r="L525" i="2"/>
  <c r="M525" i="2" s="1"/>
  <c r="L524" i="2"/>
  <c r="L523" i="2"/>
  <c r="M523" i="2" s="1"/>
  <c r="L522" i="2"/>
  <c r="M522" i="2" s="1"/>
  <c r="L521" i="2"/>
  <c r="M520" i="2"/>
  <c r="L520" i="2"/>
  <c r="K519" i="2"/>
  <c r="J519" i="2"/>
  <c r="I519" i="2"/>
  <c r="H519" i="2"/>
  <c r="G519" i="2"/>
  <c r="K517" i="2"/>
  <c r="J517" i="2"/>
  <c r="I517" i="2"/>
  <c r="H517" i="2"/>
  <c r="G517" i="2"/>
  <c r="G516" i="2"/>
  <c r="H516" i="2" s="1"/>
  <c r="I516" i="2" s="1"/>
  <c r="J516" i="2" s="1"/>
  <c r="K516" i="2" s="1"/>
  <c r="L516" i="2" s="1"/>
  <c r="M516" i="2" s="1"/>
  <c r="W515" i="2"/>
  <c r="V515" i="2"/>
  <c r="S515" i="2"/>
  <c r="G515" i="2"/>
  <c r="H515" i="2" s="1"/>
  <c r="I515" i="2" s="1"/>
  <c r="J515" i="2" s="1"/>
  <c r="K515" i="2" s="1"/>
  <c r="L515" i="2" s="1"/>
  <c r="M515" i="2" s="1"/>
  <c r="M512" i="2"/>
  <c r="L512" i="2"/>
  <c r="L511" i="2"/>
  <c r="M511" i="2" s="1"/>
  <c r="L510" i="2"/>
  <c r="L509" i="2"/>
  <c r="M509" i="2" s="1"/>
  <c r="L508" i="2"/>
  <c r="M508" i="2" s="1"/>
  <c r="L507" i="2"/>
  <c r="V499" i="2" s="1"/>
  <c r="M506" i="2"/>
  <c r="L506" i="2"/>
  <c r="L505" i="2"/>
  <c r="U499" i="2" s="1"/>
  <c r="M504" i="2"/>
  <c r="L504" i="2"/>
  <c r="K503" i="2"/>
  <c r="J503" i="2"/>
  <c r="I503" i="2"/>
  <c r="H503" i="2"/>
  <c r="G503" i="2"/>
  <c r="K501" i="2"/>
  <c r="J501" i="2"/>
  <c r="I501" i="2"/>
  <c r="H501" i="2"/>
  <c r="G501" i="2"/>
  <c r="G500" i="2"/>
  <c r="H500" i="2" s="1"/>
  <c r="I500" i="2" s="1"/>
  <c r="J500" i="2" s="1"/>
  <c r="K500" i="2" s="1"/>
  <c r="L500" i="2" s="1"/>
  <c r="M500" i="2" s="1"/>
  <c r="S499" i="2"/>
  <c r="G499" i="2"/>
  <c r="H499" i="2" s="1"/>
  <c r="I499" i="2" s="1"/>
  <c r="J499" i="2" s="1"/>
  <c r="K499" i="2" s="1"/>
  <c r="L499" i="2" s="1"/>
  <c r="M499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L489" i="2"/>
  <c r="M489" i="2" s="1"/>
  <c r="L488" i="2"/>
  <c r="L487" i="2" s="1"/>
  <c r="K487" i="2"/>
  <c r="J487" i="2"/>
  <c r="I487" i="2"/>
  <c r="H487" i="2"/>
  <c r="G487" i="2"/>
  <c r="K485" i="2"/>
  <c r="J485" i="2"/>
  <c r="I485" i="2"/>
  <c r="H485" i="2"/>
  <c r="G485" i="2"/>
  <c r="G484" i="2"/>
  <c r="H484" i="2" s="1"/>
  <c r="I484" i="2" s="1"/>
  <c r="J484" i="2" s="1"/>
  <c r="K484" i="2" s="1"/>
  <c r="L484" i="2" s="1"/>
  <c r="M484" i="2" s="1"/>
  <c r="W483" i="2"/>
  <c r="S483" i="2"/>
  <c r="G483" i="2"/>
  <c r="H483" i="2" s="1"/>
  <c r="I483" i="2" s="1"/>
  <c r="J483" i="2" s="1"/>
  <c r="K483" i="2" s="1"/>
  <c r="L483" i="2" s="1"/>
  <c r="M483" i="2" s="1"/>
  <c r="M480" i="2"/>
  <c r="L480" i="2"/>
  <c r="L479" i="2"/>
  <c r="M479" i="2" s="1"/>
  <c r="M478" i="2"/>
  <c r="L478" i="2"/>
  <c r="L477" i="2"/>
  <c r="M477" i="2" s="1"/>
  <c r="M476" i="2"/>
  <c r="L476" i="2"/>
  <c r="L475" i="2"/>
  <c r="V467" i="2" s="1"/>
  <c r="M474" i="2"/>
  <c r="L474" i="2"/>
  <c r="L473" i="2"/>
  <c r="U467" i="2" s="1"/>
  <c r="M472" i="2"/>
  <c r="L472" i="2"/>
  <c r="L471" i="2"/>
  <c r="M471" i="2" s="1"/>
  <c r="K471" i="2"/>
  <c r="J471" i="2"/>
  <c r="I471" i="2"/>
  <c r="H471" i="2"/>
  <c r="G471" i="2"/>
  <c r="K469" i="2"/>
  <c r="J469" i="2"/>
  <c r="I469" i="2"/>
  <c r="H469" i="2"/>
  <c r="G469" i="2"/>
  <c r="G468" i="2"/>
  <c r="H468" i="2" s="1"/>
  <c r="I468" i="2" s="1"/>
  <c r="J468" i="2" s="1"/>
  <c r="K468" i="2" s="1"/>
  <c r="L468" i="2" s="1"/>
  <c r="M468" i="2" s="1"/>
  <c r="X467" i="2"/>
  <c r="W467" i="2"/>
  <c r="S467" i="2"/>
  <c r="G467" i="2"/>
  <c r="H467" i="2" s="1"/>
  <c r="I467" i="2" s="1"/>
  <c r="J467" i="2" s="1"/>
  <c r="K467" i="2" s="1"/>
  <c r="L467" i="2" s="1"/>
  <c r="M467" i="2" s="1"/>
  <c r="M464" i="2"/>
  <c r="L464" i="2"/>
  <c r="L463" i="2"/>
  <c r="M463" i="2" s="1"/>
  <c r="M462" i="2"/>
  <c r="L462" i="2"/>
  <c r="L461" i="2"/>
  <c r="M461" i="2" s="1"/>
  <c r="L460" i="2"/>
  <c r="L459" i="2"/>
  <c r="M459" i="2" s="1"/>
  <c r="L458" i="2"/>
  <c r="V451" i="2" s="1"/>
  <c r="L457" i="2"/>
  <c r="U451" i="2" s="1"/>
  <c r="M456" i="2"/>
  <c r="L456" i="2"/>
  <c r="K455" i="2"/>
  <c r="J455" i="2"/>
  <c r="I455" i="2"/>
  <c r="H455" i="2"/>
  <c r="G455" i="2"/>
  <c r="K453" i="2"/>
  <c r="J453" i="2"/>
  <c r="I453" i="2"/>
  <c r="H453" i="2"/>
  <c r="G453" i="2"/>
  <c r="G452" i="2"/>
  <c r="H452" i="2" s="1"/>
  <c r="I452" i="2" s="1"/>
  <c r="J452" i="2" s="1"/>
  <c r="K452" i="2" s="1"/>
  <c r="L452" i="2" s="1"/>
  <c r="M452" i="2" s="1"/>
  <c r="W451" i="2"/>
  <c r="S451" i="2"/>
  <c r="I451" i="2"/>
  <c r="J451" i="2" s="1"/>
  <c r="K451" i="2" s="1"/>
  <c r="L451" i="2" s="1"/>
  <c r="M451" i="2" s="1"/>
  <c r="G451" i="2"/>
  <c r="H451" i="2" s="1"/>
  <c r="L448" i="2"/>
  <c r="M448" i="2" s="1"/>
  <c r="L447" i="2"/>
  <c r="M447" i="2" s="1"/>
  <c r="L446" i="2"/>
  <c r="L445" i="2"/>
  <c r="M445" i="2" s="1"/>
  <c r="L444" i="2"/>
  <c r="M444" i="2" s="1"/>
  <c r="L443" i="2"/>
  <c r="M443" i="2" s="1"/>
  <c r="L442" i="2"/>
  <c r="L441" i="2"/>
  <c r="M441" i="2" s="1"/>
  <c r="L440" i="2"/>
  <c r="M440" i="2" s="1"/>
  <c r="K439" i="2"/>
  <c r="J439" i="2"/>
  <c r="I439" i="2"/>
  <c r="H439" i="2"/>
  <c r="G439" i="2"/>
  <c r="K437" i="2"/>
  <c r="J437" i="2"/>
  <c r="I437" i="2"/>
  <c r="H437" i="2"/>
  <c r="G437" i="2"/>
  <c r="G436" i="2"/>
  <c r="H436" i="2" s="1"/>
  <c r="I436" i="2" s="1"/>
  <c r="J436" i="2" s="1"/>
  <c r="K436" i="2" s="1"/>
  <c r="L436" i="2" s="1"/>
  <c r="M436" i="2" s="1"/>
  <c r="X435" i="2"/>
  <c r="S435" i="2"/>
  <c r="G435" i="2"/>
  <c r="H435" i="2" s="1"/>
  <c r="I435" i="2" s="1"/>
  <c r="J435" i="2" s="1"/>
  <c r="K435" i="2" s="1"/>
  <c r="L435" i="2" s="1"/>
  <c r="M435" i="2" s="1"/>
  <c r="L432" i="2"/>
  <c r="M432" i="2" s="1"/>
  <c r="L431" i="2"/>
  <c r="M431" i="2" s="1"/>
  <c r="L430" i="2"/>
  <c r="M429" i="2"/>
  <c r="L429" i="2"/>
  <c r="L428" i="2"/>
  <c r="M428" i="2" s="1"/>
  <c r="M427" i="2"/>
  <c r="L427" i="2"/>
  <c r="L426" i="2"/>
  <c r="M426" i="2" s="1"/>
  <c r="L425" i="2"/>
  <c r="L424" i="2"/>
  <c r="K423" i="2"/>
  <c r="J423" i="2"/>
  <c r="I423" i="2"/>
  <c r="H423" i="2"/>
  <c r="G423" i="2"/>
  <c r="K421" i="2"/>
  <c r="J421" i="2"/>
  <c r="I421" i="2"/>
  <c r="H421" i="2"/>
  <c r="G421" i="2"/>
  <c r="K420" i="2"/>
  <c r="L420" i="2" s="1"/>
  <c r="M420" i="2" s="1"/>
  <c r="G420" i="2"/>
  <c r="H420" i="2" s="1"/>
  <c r="I420" i="2" s="1"/>
  <c r="J420" i="2" s="1"/>
  <c r="V419" i="2"/>
  <c r="S419" i="2"/>
  <c r="G419" i="2"/>
  <c r="H419" i="2" s="1"/>
  <c r="I419" i="2" s="1"/>
  <c r="J419" i="2" s="1"/>
  <c r="K419" i="2" s="1"/>
  <c r="L419" i="2" s="1"/>
  <c r="M419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V403" i="2" s="1"/>
  <c r="L409" i="2"/>
  <c r="M409" i="2" s="1"/>
  <c r="L408" i="2"/>
  <c r="K407" i="2"/>
  <c r="J407" i="2"/>
  <c r="I407" i="2"/>
  <c r="H407" i="2"/>
  <c r="G407" i="2"/>
  <c r="K405" i="2"/>
  <c r="J405" i="2"/>
  <c r="I405" i="2"/>
  <c r="H405" i="2"/>
  <c r="G405" i="2"/>
  <c r="K404" i="2"/>
  <c r="L404" i="2" s="1"/>
  <c r="M404" i="2" s="1"/>
  <c r="G404" i="2"/>
  <c r="H404" i="2" s="1"/>
  <c r="I404" i="2" s="1"/>
  <c r="J404" i="2" s="1"/>
  <c r="S403" i="2"/>
  <c r="G403" i="2"/>
  <c r="H403" i="2" s="1"/>
  <c r="I403" i="2" s="1"/>
  <c r="J403" i="2" s="1"/>
  <c r="K403" i="2" s="1"/>
  <c r="L403" i="2" s="1"/>
  <c r="M403" i="2" s="1"/>
  <c r="L400" i="2"/>
  <c r="M400" i="2" s="1"/>
  <c r="M399" i="2"/>
  <c r="L399" i="2"/>
  <c r="L398" i="2"/>
  <c r="M398" i="2" s="1"/>
  <c r="L397" i="2"/>
  <c r="M397" i="2" s="1"/>
  <c r="L396" i="2"/>
  <c r="M396" i="2" s="1"/>
  <c r="L395" i="2"/>
  <c r="M395" i="2" s="1"/>
  <c r="L394" i="2"/>
  <c r="M393" i="2"/>
  <c r="L393" i="2"/>
  <c r="L392" i="2"/>
  <c r="K391" i="2"/>
  <c r="J391" i="2"/>
  <c r="I391" i="2"/>
  <c r="H391" i="2"/>
  <c r="G391" i="2"/>
  <c r="K389" i="2"/>
  <c r="J389" i="2"/>
  <c r="I389" i="2"/>
  <c r="H389" i="2"/>
  <c r="G389" i="2"/>
  <c r="G388" i="2"/>
  <c r="H388" i="2" s="1"/>
  <c r="I388" i="2" s="1"/>
  <c r="J388" i="2" s="1"/>
  <c r="K388" i="2" s="1"/>
  <c r="L388" i="2" s="1"/>
  <c r="M388" i="2" s="1"/>
  <c r="X387" i="2"/>
  <c r="W387" i="2"/>
  <c r="U387" i="2"/>
  <c r="S387" i="2"/>
  <c r="G387" i="2"/>
  <c r="H387" i="2" s="1"/>
  <c r="I387" i="2" s="1"/>
  <c r="J387" i="2" s="1"/>
  <c r="K387" i="2" s="1"/>
  <c r="L387" i="2" s="1"/>
  <c r="M387" i="2" s="1"/>
  <c r="L384" i="2"/>
  <c r="M384" i="2" s="1"/>
  <c r="L383" i="2"/>
  <c r="M383" i="2" s="1"/>
  <c r="L382" i="2"/>
  <c r="M382" i="2" s="1"/>
  <c r="L381" i="2"/>
  <c r="M381" i="2" s="1"/>
  <c r="L380" i="2"/>
  <c r="M379" i="2"/>
  <c r="L379" i="2"/>
  <c r="L378" i="2"/>
  <c r="M378" i="2" s="1"/>
  <c r="M377" i="2"/>
  <c r="L377" i="2"/>
  <c r="L376" i="2"/>
  <c r="K375" i="2"/>
  <c r="J375" i="2"/>
  <c r="I375" i="2"/>
  <c r="H375" i="2"/>
  <c r="G375" i="2"/>
  <c r="K373" i="2"/>
  <c r="J373" i="2"/>
  <c r="I373" i="2"/>
  <c r="H373" i="2"/>
  <c r="G373" i="2"/>
  <c r="G372" i="2"/>
  <c r="H372" i="2" s="1"/>
  <c r="I372" i="2" s="1"/>
  <c r="J372" i="2" s="1"/>
  <c r="K372" i="2" s="1"/>
  <c r="L372" i="2" s="1"/>
  <c r="M372" i="2" s="1"/>
  <c r="W371" i="2"/>
  <c r="V371" i="2"/>
  <c r="U371" i="2"/>
  <c r="S371" i="2"/>
  <c r="G371" i="2"/>
  <c r="H371" i="2" s="1"/>
  <c r="I371" i="2" s="1"/>
  <c r="J371" i="2" s="1"/>
  <c r="K371" i="2" s="1"/>
  <c r="L371" i="2" s="1"/>
  <c r="M371" i="2" s="1"/>
  <c r="L368" i="2"/>
  <c r="M368" i="2" s="1"/>
  <c r="L367" i="2"/>
  <c r="M367" i="2" s="1"/>
  <c r="L366" i="2"/>
  <c r="M366" i="2" s="1"/>
  <c r="L365" i="2"/>
  <c r="M365" i="2" s="1"/>
  <c r="L364" i="2"/>
  <c r="X355" i="2" s="1"/>
  <c r="L363" i="2"/>
  <c r="M363" i="2" s="1"/>
  <c r="L362" i="2"/>
  <c r="M362" i="2" s="1"/>
  <c r="L361" i="2"/>
  <c r="M361" i="2" s="1"/>
  <c r="L360" i="2"/>
  <c r="U355" i="2" s="1"/>
  <c r="K359" i="2"/>
  <c r="J359" i="2"/>
  <c r="I359" i="2"/>
  <c r="H359" i="2"/>
  <c r="G359" i="2"/>
  <c r="K357" i="2"/>
  <c r="J357" i="2"/>
  <c r="I357" i="2"/>
  <c r="H357" i="2"/>
  <c r="G357" i="2"/>
  <c r="G356" i="2"/>
  <c r="H356" i="2" s="1"/>
  <c r="I356" i="2" s="1"/>
  <c r="J356" i="2" s="1"/>
  <c r="K356" i="2" s="1"/>
  <c r="L356" i="2" s="1"/>
  <c r="M356" i="2" s="1"/>
  <c r="V355" i="2"/>
  <c r="S355" i="2"/>
  <c r="G355" i="2"/>
  <c r="H355" i="2" s="1"/>
  <c r="I355" i="2" s="1"/>
  <c r="J355" i="2" s="1"/>
  <c r="K355" i="2" s="1"/>
  <c r="L355" i="2" s="1"/>
  <c r="M355" i="2" s="1"/>
  <c r="L352" i="2"/>
  <c r="M352" i="2" s="1"/>
  <c r="M351" i="2"/>
  <c r="L351" i="2"/>
  <c r="L350" i="2"/>
  <c r="W339" i="2" s="1"/>
  <c r="M349" i="2"/>
  <c r="L349" i="2"/>
  <c r="L348" i="2"/>
  <c r="M348" i="2" s="1"/>
  <c r="L347" i="2"/>
  <c r="M347" i="2" s="1"/>
  <c r="L346" i="2"/>
  <c r="L345" i="2"/>
  <c r="M345" i="2" s="1"/>
  <c r="L344" i="2"/>
  <c r="K343" i="2"/>
  <c r="J343" i="2"/>
  <c r="I343" i="2"/>
  <c r="H343" i="2"/>
  <c r="G343" i="2"/>
  <c r="K341" i="2"/>
  <c r="J341" i="2"/>
  <c r="I341" i="2"/>
  <c r="H341" i="2"/>
  <c r="G341" i="2"/>
  <c r="G340" i="2"/>
  <c r="H340" i="2" s="1"/>
  <c r="I340" i="2" s="1"/>
  <c r="J340" i="2" s="1"/>
  <c r="K340" i="2" s="1"/>
  <c r="L340" i="2" s="1"/>
  <c r="M340" i="2" s="1"/>
  <c r="X339" i="2"/>
  <c r="S339" i="2"/>
  <c r="G339" i="2"/>
  <c r="H339" i="2" s="1"/>
  <c r="I339" i="2" s="1"/>
  <c r="J339" i="2" s="1"/>
  <c r="K339" i="2" s="1"/>
  <c r="L339" i="2" s="1"/>
  <c r="M339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L330" i="2"/>
  <c r="M330" i="2" s="1"/>
  <c r="L329" i="2"/>
  <c r="M329" i="2" s="1"/>
  <c r="L328" i="2"/>
  <c r="K327" i="2"/>
  <c r="J327" i="2"/>
  <c r="I327" i="2"/>
  <c r="H327" i="2"/>
  <c r="G327" i="2"/>
  <c r="K325" i="2"/>
  <c r="J325" i="2"/>
  <c r="I325" i="2"/>
  <c r="H325" i="2"/>
  <c r="G325" i="2"/>
  <c r="G324" i="2"/>
  <c r="H324" i="2" s="1"/>
  <c r="I324" i="2" s="1"/>
  <c r="J324" i="2" s="1"/>
  <c r="K324" i="2" s="1"/>
  <c r="L324" i="2" s="1"/>
  <c r="M324" i="2" s="1"/>
  <c r="X323" i="2"/>
  <c r="W323" i="2"/>
  <c r="S323" i="2"/>
  <c r="G323" i="2"/>
  <c r="H323" i="2" s="1"/>
  <c r="I323" i="2" s="1"/>
  <c r="J323" i="2" s="1"/>
  <c r="K323" i="2" s="1"/>
  <c r="L323" i="2" s="1"/>
  <c r="M323" i="2" s="1"/>
  <c r="L320" i="2"/>
  <c r="M320" i="2" s="1"/>
  <c r="M319" i="2"/>
  <c r="L319" i="2"/>
  <c r="L318" i="2"/>
  <c r="M318" i="2" s="1"/>
  <c r="M317" i="2"/>
  <c r="L317" i="2"/>
  <c r="L316" i="2"/>
  <c r="M316" i="2" s="1"/>
  <c r="L315" i="2"/>
  <c r="M315" i="2" s="1"/>
  <c r="L314" i="2"/>
  <c r="M314" i="2" s="1"/>
  <c r="L313" i="2"/>
  <c r="M313" i="2" s="1"/>
  <c r="L312" i="2"/>
  <c r="K311" i="2"/>
  <c r="J311" i="2"/>
  <c r="I311" i="2"/>
  <c r="H311" i="2"/>
  <c r="G311" i="2"/>
  <c r="K309" i="2"/>
  <c r="J309" i="2"/>
  <c r="I309" i="2"/>
  <c r="H309" i="2"/>
  <c r="G309" i="2"/>
  <c r="G308" i="2"/>
  <c r="H308" i="2" s="1"/>
  <c r="I308" i="2" s="1"/>
  <c r="J308" i="2" s="1"/>
  <c r="K308" i="2" s="1"/>
  <c r="L308" i="2" s="1"/>
  <c r="M308" i="2" s="1"/>
  <c r="X307" i="2"/>
  <c r="S307" i="2"/>
  <c r="G307" i="2"/>
  <c r="H307" i="2" s="1"/>
  <c r="I307" i="2" s="1"/>
  <c r="J307" i="2" s="1"/>
  <c r="K307" i="2" s="1"/>
  <c r="L307" i="2" s="1"/>
  <c r="M307" i="2" s="1"/>
  <c r="L304" i="2"/>
  <c r="M304" i="2" s="1"/>
  <c r="M303" i="2"/>
  <c r="L303" i="2"/>
  <c r="L302" i="2"/>
  <c r="M302" i="2" s="1"/>
  <c r="L301" i="2"/>
  <c r="M301" i="2" s="1"/>
  <c r="L300" i="2"/>
  <c r="M300" i="2" s="1"/>
  <c r="L299" i="2"/>
  <c r="M299" i="2" s="1"/>
  <c r="L298" i="2"/>
  <c r="M297" i="2"/>
  <c r="L297" i="2"/>
  <c r="L296" i="2"/>
  <c r="K295" i="2"/>
  <c r="J295" i="2"/>
  <c r="I295" i="2"/>
  <c r="H295" i="2"/>
  <c r="G295" i="2"/>
  <c r="K293" i="2"/>
  <c r="J293" i="2"/>
  <c r="I293" i="2"/>
  <c r="H293" i="2"/>
  <c r="G293" i="2"/>
  <c r="G292" i="2"/>
  <c r="H292" i="2" s="1"/>
  <c r="I292" i="2" s="1"/>
  <c r="J292" i="2" s="1"/>
  <c r="K292" i="2" s="1"/>
  <c r="L292" i="2" s="1"/>
  <c r="M292" i="2" s="1"/>
  <c r="X291" i="2"/>
  <c r="W291" i="2"/>
  <c r="S291" i="2"/>
  <c r="G291" i="2"/>
  <c r="H291" i="2" s="1"/>
  <c r="I291" i="2" s="1"/>
  <c r="J291" i="2" s="1"/>
  <c r="K291" i="2" s="1"/>
  <c r="L291" i="2" s="1"/>
  <c r="M291" i="2" s="1"/>
  <c r="L288" i="2"/>
  <c r="M288" i="2" s="1"/>
  <c r="M287" i="2"/>
  <c r="L287" i="2"/>
  <c r="L286" i="2"/>
  <c r="M286" i="2" s="1"/>
  <c r="M285" i="2"/>
  <c r="L285" i="2"/>
  <c r="L284" i="2"/>
  <c r="X275" i="2" s="1"/>
  <c r="L283" i="2"/>
  <c r="M283" i="2" s="1"/>
  <c r="L282" i="2"/>
  <c r="M282" i="2" s="1"/>
  <c r="L281" i="2"/>
  <c r="M281" i="2" s="1"/>
  <c r="L280" i="2"/>
  <c r="U275" i="2" s="1"/>
  <c r="K279" i="2"/>
  <c r="J279" i="2"/>
  <c r="I279" i="2"/>
  <c r="H279" i="2"/>
  <c r="G279" i="2"/>
  <c r="K277" i="2"/>
  <c r="J277" i="2"/>
  <c r="I277" i="2"/>
  <c r="H277" i="2"/>
  <c r="G277" i="2"/>
  <c r="G276" i="2"/>
  <c r="H276" i="2" s="1"/>
  <c r="I276" i="2" s="1"/>
  <c r="J276" i="2" s="1"/>
  <c r="K276" i="2" s="1"/>
  <c r="L276" i="2" s="1"/>
  <c r="M276" i="2" s="1"/>
  <c r="S275" i="2"/>
  <c r="G275" i="2"/>
  <c r="H275" i="2" s="1"/>
  <c r="I275" i="2" s="1"/>
  <c r="J275" i="2" s="1"/>
  <c r="K275" i="2" s="1"/>
  <c r="L275" i="2" s="1"/>
  <c r="M275" i="2" s="1"/>
  <c r="L272" i="2"/>
  <c r="M272" i="2" s="1"/>
  <c r="M271" i="2"/>
  <c r="L271" i="2"/>
  <c r="L270" i="2"/>
  <c r="M270" i="2" s="1"/>
  <c r="L269" i="2"/>
  <c r="M269" i="2" s="1"/>
  <c r="L268" i="2"/>
  <c r="X259" i="2" s="1"/>
  <c r="L267" i="2"/>
  <c r="M267" i="2" s="1"/>
  <c r="L266" i="2"/>
  <c r="M265" i="2"/>
  <c r="L265" i="2"/>
  <c r="L264" i="2"/>
  <c r="K263" i="2"/>
  <c r="J263" i="2"/>
  <c r="I263" i="2"/>
  <c r="H263" i="2"/>
  <c r="G263" i="2"/>
  <c r="K261" i="2"/>
  <c r="J261" i="2"/>
  <c r="I261" i="2"/>
  <c r="H261" i="2"/>
  <c r="G261" i="2"/>
  <c r="G260" i="2"/>
  <c r="H260" i="2" s="1"/>
  <c r="I260" i="2" s="1"/>
  <c r="J260" i="2" s="1"/>
  <c r="K260" i="2" s="1"/>
  <c r="L260" i="2" s="1"/>
  <c r="M260" i="2" s="1"/>
  <c r="U259" i="2"/>
  <c r="S259" i="2"/>
  <c r="G259" i="2"/>
  <c r="H259" i="2" s="1"/>
  <c r="I259" i="2" s="1"/>
  <c r="J259" i="2" s="1"/>
  <c r="K259" i="2" s="1"/>
  <c r="L259" i="2" s="1"/>
  <c r="M259" i="2" s="1"/>
  <c r="M256" i="2"/>
  <c r="L256" i="2"/>
  <c r="L255" i="2"/>
  <c r="M255" i="2" s="1"/>
  <c r="M254" i="2"/>
  <c r="L254" i="2"/>
  <c r="L253" i="2"/>
  <c r="M253" i="2" s="1"/>
  <c r="M252" i="2"/>
  <c r="L252" i="2"/>
  <c r="L251" i="2"/>
  <c r="V243" i="2" s="1"/>
  <c r="M250" i="2"/>
  <c r="L250" i="2"/>
  <c r="L249" i="2"/>
  <c r="M249" i="2" s="1"/>
  <c r="M248" i="2"/>
  <c r="L248" i="2"/>
  <c r="U243" i="2" s="1"/>
  <c r="K247" i="2"/>
  <c r="J247" i="2"/>
  <c r="I247" i="2"/>
  <c r="H247" i="2"/>
  <c r="G247" i="2"/>
  <c r="K245" i="2"/>
  <c r="J245" i="2"/>
  <c r="I245" i="2"/>
  <c r="H245" i="2"/>
  <c r="G245" i="2"/>
  <c r="G244" i="2"/>
  <c r="H244" i="2" s="1"/>
  <c r="I244" i="2" s="1"/>
  <c r="J244" i="2" s="1"/>
  <c r="K244" i="2" s="1"/>
  <c r="L244" i="2" s="1"/>
  <c r="M244" i="2" s="1"/>
  <c r="X243" i="2"/>
  <c r="W243" i="2"/>
  <c r="S243" i="2"/>
  <c r="G243" i="2"/>
  <c r="H243" i="2" s="1"/>
  <c r="I243" i="2" s="1"/>
  <c r="J243" i="2" s="1"/>
  <c r="K243" i="2" s="1"/>
  <c r="L243" i="2" s="1"/>
  <c r="M243" i="2" s="1"/>
  <c r="L240" i="2"/>
  <c r="M240" i="2" s="1"/>
  <c r="L239" i="2"/>
  <c r="M239" i="2" s="1"/>
  <c r="L238" i="2"/>
  <c r="M238" i="2" s="1"/>
  <c r="M237" i="2"/>
  <c r="L237" i="2"/>
  <c r="L236" i="2"/>
  <c r="M236" i="2" s="1"/>
  <c r="M235" i="2"/>
  <c r="L235" i="2"/>
  <c r="L234" i="2"/>
  <c r="M234" i="2" s="1"/>
  <c r="L233" i="2"/>
  <c r="M233" i="2" s="1"/>
  <c r="L232" i="2"/>
  <c r="U227" i="2" s="1"/>
  <c r="K231" i="2"/>
  <c r="J231" i="2"/>
  <c r="I231" i="2"/>
  <c r="H231" i="2"/>
  <c r="G231" i="2"/>
  <c r="K229" i="2"/>
  <c r="J229" i="2"/>
  <c r="I229" i="2"/>
  <c r="H229" i="2"/>
  <c r="G229" i="2"/>
  <c r="G228" i="2"/>
  <c r="H228" i="2" s="1"/>
  <c r="I228" i="2" s="1"/>
  <c r="J228" i="2" s="1"/>
  <c r="K228" i="2" s="1"/>
  <c r="L228" i="2" s="1"/>
  <c r="M228" i="2" s="1"/>
  <c r="X227" i="2"/>
  <c r="V227" i="2"/>
  <c r="S227" i="2"/>
  <c r="G227" i="2"/>
  <c r="H227" i="2" s="1"/>
  <c r="I227" i="2" s="1"/>
  <c r="J227" i="2" s="1"/>
  <c r="K227" i="2" s="1"/>
  <c r="L227" i="2" s="1"/>
  <c r="M227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U211" i="2" s="1"/>
  <c r="L216" i="2"/>
  <c r="M216" i="2" s="1"/>
  <c r="K215" i="2"/>
  <c r="J215" i="2"/>
  <c r="I215" i="2"/>
  <c r="H215" i="2"/>
  <c r="G215" i="2"/>
  <c r="K213" i="2"/>
  <c r="J213" i="2"/>
  <c r="I213" i="2"/>
  <c r="H213" i="2"/>
  <c r="G213" i="2"/>
  <c r="I212" i="2"/>
  <c r="J212" i="2" s="1"/>
  <c r="K212" i="2" s="1"/>
  <c r="L212" i="2" s="1"/>
  <c r="M212" i="2" s="1"/>
  <c r="G212" i="2"/>
  <c r="H212" i="2" s="1"/>
  <c r="X211" i="2"/>
  <c r="W211" i="2"/>
  <c r="S211" i="2"/>
  <c r="G211" i="2"/>
  <c r="H211" i="2" s="1"/>
  <c r="I211" i="2" s="1"/>
  <c r="J211" i="2" s="1"/>
  <c r="K211" i="2" s="1"/>
  <c r="L211" i="2" s="1"/>
  <c r="M211" i="2" s="1"/>
  <c r="L208" i="2"/>
  <c r="M208" i="2" s="1"/>
  <c r="M207" i="2"/>
  <c r="L207" i="2"/>
  <c r="L206" i="2"/>
  <c r="M206" i="2" s="1"/>
  <c r="M205" i="2"/>
  <c r="L205" i="2"/>
  <c r="L204" i="2"/>
  <c r="M204" i="2" s="1"/>
  <c r="L203" i="2"/>
  <c r="M203" i="2" s="1"/>
  <c r="L202" i="2"/>
  <c r="M202" i="2" s="1"/>
  <c r="L201" i="2"/>
  <c r="M201" i="2" s="1"/>
  <c r="L200" i="2"/>
  <c r="K199" i="2"/>
  <c r="J199" i="2"/>
  <c r="I199" i="2"/>
  <c r="H199" i="2"/>
  <c r="G199" i="2"/>
  <c r="K197" i="2"/>
  <c r="J197" i="2"/>
  <c r="I197" i="2"/>
  <c r="H197" i="2"/>
  <c r="G197" i="2"/>
  <c r="G196" i="2"/>
  <c r="H196" i="2" s="1"/>
  <c r="I196" i="2" s="1"/>
  <c r="J196" i="2" s="1"/>
  <c r="K196" i="2" s="1"/>
  <c r="L196" i="2" s="1"/>
  <c r="M196" i="2" s="1"/>
  <c r="X195" i="2"/>
  <c r="W195" i="2"/>
  <c r="S195" i="2"/>
  <c r="G195" i="2"/>
  <c r="H195" i="2" s="1"/>
  <c r="I195" i="2" s="1"/>
  <c r="J195" i="2" s="1"/>
  <c r="K195" i="2" s="1"/>
  <c r="L195" i="2" s="1"/>
  <c r="M195" i="2" s="1"/>
  <c r="L192" i="2"/>
  <c r="M192" i="2" s="1"/>
  <c r="L191" i="2"/>
  <c r="M191" i="2" s="1"/>
  <c r="L190" i="2"/>
  <c r="M190" i="2" s="1"/>
  <c r="L189" i="2"/>
  <c r="M189" i="2" s="1"/>
  <c r="M188" i="2"/>
  <c r="L188" i="2"/>
  <c r="L187" i="2"/>
  <c r="M187" i="2" s="1"/>
  <c r="M186" i="2"/>
  <c r="L186" i="2"/>
  <c r="L185" i="2"/>
  <c r="M185" i="2" s="1"/>
  <c r="L184" i="2"/>
  <c r="K183" i="2"/>
  <c r="J183" i="2"/>
  <c r="I183" i="2"/>
  <c r="H183" i="2"/>
  <c r="G183" i="2"/>
  <c r="K181" i="2"/>
  <c r="J181" i="2"/>
  <c r="I181" i="2"/>
  <c r="H181" i="2"/>
  <c r="G181" i="2"/>
  <c r="G180" i="2"/>
  <c r="H180" i="2" s="1"/>
  <c r="I180" i="2" s="1"/>
  <c r="J180" i="2" s="1"/>
  <c r="K180" i="2" s="1"/>
  <c r="L180" i="2" s="1"/>
  <c r="M180" i="2" s="1"/>
  <c r="X179" i="2"/>
  <c r="W179" i="2"/>
  <c r="S179" i="2"/>
  <c r="G179" i="2"/>
  <c r="H179" i="2" s="1"/>
  <c r="I179" i="2" s="1"/>
  <c r="J179" i="2" s="1"/>
  <c r="K179" i="2" s="1"/>
  <c r="L179" i="2" s="1"/>
  <c r="M179" i="2" s="1"/>
  <c r="L176" i="2"/>
  <c r="M176" i="2" s="1"/>
  <c r="L175" i="2"/>
  <c r="M175" i="2" s="1"/>
  <c r="L174" i="2"/>
  <c r="L173" i="2"/>
  <c r="M173" i="2" s="1"/>
  <c r="L172" i="2"/>
  <c r="M172" i="2" s="1"/>
  <c r="L171" i="2"/>
  <c r="M171" i="2" s="1"/>
  <c r="L170" i="2"/>
  <c r="L169" i="2"/>
  <c r="U163" i="2" s="1"/>
  <c r="L168" i="2"/>
  <c r="M168" i="2" s="1"/>
  <c r="K167" i="2"/>
  <c r="J167" i="2"/>
  <c r="I167" i="2"/>
  <c r="H167" i="2"/>
  <c r="G167" i="2"/>
  <c r="K165" i="2"/>
  <c r="J165" i="2"/>
  <c r="I165" i="2"/>
  <c r="H165" i="2"/>
  <c r="G165" i="2"/>
  <c r="G164" i="2"/>
  <c r="H164" i="2" s="1"/>
  <c r="I164" i="2" s="1"/>
  <c r="J164" i="2" s="1"/>
  <c r="K164" i="2" s="1"/>
  <c r="L164" i="2" s="1"/>
  <c r="M164" i="2" s="1"/>
  <c r="X163" i="2"/>
  <c r="S163" i="2"/>
  <c r="G163" i="2"/>
  <c r="H163" i="2" s="1"/>
  <c r="I163" i="2" s="1"/>
  <c r="J163" i="2" s="1"/>
  <c r="K163" i="2" s="1"/>
  <c r="L163" i="2" s="1"/>
  <c r="M163" i="2" s="1"/>
  <c r="L160" i="2"/>
  <c r="M160" i="2" s="1"/>
  <c r="L159" i="2"/>
  <c r="M159" i="2" s="1"/>
  <c r="L158" i="2"/>
  <c r="M158" i="2" s="1"/>
  <c r="L157" i="2"/>
  <c r="M157" i="2" s="1"/>
  <c r="L156" i="2"/>
  <c r="M156" i="2" s="1"/>
  <c r="M155" i="2"/>
  <c r="L155" i="2"/>
  <c r="L154" i="2"/>
  <c r="M154" i="2" s="1"/>
  <c r="M153" i="2"/>
  <c r="L153" i="2"/>
  <c r="L152" i="2"/>
  <c r="K151" i="2"/>
  <c r="J151" i="2"/>
  <c r="I151" i="2"/>
  <c r="H151" i="2"/>
  <c r="G151" i="2"/>
  <c r="K149" i="2"/>
  <c r="J149" i="2"/>
  <c r="I149" i="2"/>
  <c r="H149" i="2"/>
  <c r="G149" i="2"/>
  <c r="G148" i="2"/>
  <c r="H148" i="2" s="1"/>
  <c r="I148" i="2" s="1"/>
  <c r="J148" i="2" s="1"/>
  <c r="K148" i="2" s="1"/>
  <c r="L148" i="2" s="1"/>
  <c r="M148" i="2" s="1"/>
  <c r="W147" i="2"/>
  <c r="U147" i="2"/>
  <c r="S147" i="2"/>
  <c r="G147" i="2"/>
  <c r="H147" i="2" s="1"/>
  <c r="I147" i="2" s="1"/>
  <c r="J147" i="2" s="1"/>
  <c r="K147" i="2" s="1"/>
  <c r="L147" i="2" s="1"/>
  <c r="M147" i="2" s="1"/>
  <c r="L144" i="2"/>
  <c r="M144" i="2" s="1"/>
  <c r="L143" i="2"/>
  <c r="M143" i="2" s="1"/>
  <c r="L142" i="2"/>
  <c r="W131" i="2" s="1"/>
  <c r="L141" i="2"/>
  <c r="M141" i="2" s="1"/>
  <c r="L140" i="2"/>
  <c r="M140" i="2" s="1"/>
  <c r="L139" i="2"/>
  <c r="M139" i="2" s="1"/>
  <c r="L138" i="2"/>
  <c r="V131" i="2" s="1"/>
  <c r="L137" i="2"/>
  <c r="M137" i="2" s="1"/>
  <c r="L136" i="2"/>
  <c r="K135" i="2"/>
  <c r="J135" i="2"/>
  <c r="I135" i="2"/>
  <c r="H135" i="2"/>
  <c r="G135" i="2"/>
  <c r="K133" i="2"/>
  <c r="J133" i="2"/>
  <c r="I133" i="2"/>
  <c r="H133" i="2"/>
  <c r="G133" i="2"/>
  <c r="G132" i="2"/>
  <c r="H132" i="2" s="1"/>
  <c r="I132" i="2" s="1"/>
  <c r="J132" i="2" s="1"/>
  <c r="K132" i="2" s="1"/>
  <c r="L132" i="2" s="1"/>
  <c r="M132" i="2" s="1"/>
  <c r="X131" i="2"/>
  <c r="S131" i="2"/>
  <c r="G131" i="2"/>
  <c r="H131" i="2" s="1"/>
  <c r="I131" i="2" s="1"/>
  <c r="J131" i="2" s="1"/>
  <c r="K131" i="2" s="1"/>
  <c r="L131" i="2" s="1"/>
  <c r="M131" i="2" s="1"/>
  <c r="L128" i="2"/>
  <c r="M128" i="2" s="1"/>
  <c r="M127" i="2"/>
  <c r="L127" i="2"/>
  <c r="L126" i="2"/>
  <c r="M126" i="2" s="1"/>
  <c r="L125" i="2"/>
  <c r="M125" i="2" s="1"/>
  <c r="L124" i="2"/>
  <c r="X115" i="2" s="1"/>
  <c r="L123" i="2"/>
  <c r="M123" i="2" s="1"/>
  <c r="L122" i="2"/>
  <c r="M122" i="2" s="1"/>
  <c r="M121" i="2"/>
  <c r="L121" i="2"/>
  <c r="L120" i="2"/>
  <c r="K119" i="2"/>
  <c r="J119" i="2"/>
  <c r="I119" i="2"/>
  <c r="H119" i="2"/>
  <c r="G119" i="2"/>
  <c r="K117" i="2"/>
  <c r="J117" i="2"/>
  <c r="I117" i="2"/>
  <c r="H117" i="2"/>
  <c r="G117" i="2"/>
  <c r="G116" i="2"/>
  <c r="H116" i="2" s="1"/>
  <c r="I116" i="2" s="1"/>
  <c r="J116" i="2" s="1"/>
  <c r="K116" i="2" s="1"/>
  <c r="L116" i="2" s="1"/>
  <c r="M116" i="2" s="1"/>
  <c r="V115" i="2"/>
  <c r="S115" i="2"/>
  <c r="G115" i="2"/>
  <c r="H115" i="2" s="1"/>
  <c r="I115" i="2" s="1"/>
  <c r="J115" i="2" s="1"/>
  <c r="K115" i="2" s="1"/>
  <c r="L115" i="2" s="1"/>
  <c r="M115" i="2" s="1"/>
  <c r="L112" i="2"/>
  <c r="M112" i="2" s="1"/>
  <c r="L111" i="2"/>
  <c r="M111" i="2" s="1"/>
  <c r="L110" i="2"/>
  <c r="M110" i="2" s="1"/>
  <c r="L109" i="2"/>
  <c r="M109" i="2" s="1"/>
  <c r="L108" i="2"/>
  <c r="L107" i="2"/>
  <c r="M107" i="2" s="1"/>
  <c r="L106" i="2"/>
  <c r="M106" i="2" s="1"/>
  <c r="L105" i="2"/>
  <c r="M105" i="2" s="1"/>
  <c r="L104" i="2"/>
  <c r="K103" i="2"/>
  <c r="J103" i="2"/>
  <c r="I103" i="2"/>
  <c r="H103" i="2"/>
  <c r="G103" i="2"/>
  <c r="K101" i="2"/>
  <c r="J101" i="2"/>
  <c r="I101" i="2"/>
  <c r="H101" i="2"/>
  <c r="G101" i="2"/>
  <c r="G100" i="2"/>
  <c r="H100" i="2" s="1"/>
  <c r="I100" i="2" s="1"/>
  <c r="J100" i="2" s="1"/>
  <c r="K100" i="2" s="1"/>
  <c r="L100" i="2" s="1"/>
  <c r="M100" i="2" s="1"/>
  <c r="W99" i="2"/>
  <c r="V99" i="2"/>
  <c r="S99" i="2"/>
  <c r="H99" i="2"/>
  <c r="I99" i="2" s="1"/>
  <c r="J99" i="2" s="1"/>
  <c r="K99" i="2" s="1"/>
  <c r="L99" i="2" s="1"/>
  <c r="M99" i="2" s="1"/>
  <c r="G99" i="2"/>
  <c r="L96" i="2"/>
  <c r="M96" i="2" s="1"/>
  <c r="L95" i="2"/>
  <c r="M95" i="2" s="1"/>
  <c r="M94" i="2"/>
  <c r="L94" i="2"/>
  <c r="W83" i="2" s="1"/>
  <c r="L93" i="2"/>
  <c r="M93" i="2" s="1"/>
  <c r="M92" i="2"/>
  <c r="L92" i="2"/>
  <c r="X83" i="2" s="1"/>
  <c r="L91" i="2"/>
  <c r="M91" i="2" s="1"/>
  <c r="L90" i="2"/>
  <c r="L89" i="2"/>
  <c r="M89" i="2" s="1"/>
  <c r="L88" i="2"/>
  <c r="K87" i="2"/>
  <c r="J87" i="2"/>
  <c r="I87" i="2"/>
  <c r="H87" i="2"/>
  <c r="G87" i="2"/>
  <c r="K85" i="2"/>
  <c r="J85" i="2"/>
  <c r="I85" i="2"/>
  <c r="H85" i="2"/>
  <c r="G85" i="2"/>
  <c r="G84" i="2"/>
  <c r="H84" i="2" s="1"/>
  <c r="I84" i="2" s="1"/>
  <c r="J84" i="2" s="1"/>
  <c r="K84" i="2" s="1"/>
  <c r="L84" i="2" s="1"/>
  <c r="M84" i="2" s="1"/>
  <c r="U83" i="2"/>
  <c r="S83" i="2"/>
  <c r="G83" i="2"/>
  <c r="H83" i="2" s="1"/>
  <c r="I83" i="2" s="1"/>
  <c r="J83" i="2" s="1"/>
  <c r="K83" i="2" s="1"/>
  <c r="L83" i="2" s="1"/>
  <c r="M83" i="2" s="1"/>
  <c r="L80" i="2"/>
  <c r="M80" i="2" s="1"/>
  <c r="L79" i="2"/>
  <c r="M79" i="2" s="1"/>
  <c r="L78" i="2"/>
  <c r="L77" i="2"/>
  <c r="M77" i="2" s="1"/>
  <c r="L76" i="2"/>
  <c r="X67" i="2" s="1"/>
  <c r="L75" i="2"/>
  <c r="M75" i="2" s="1"/>
  <c r="L74" i="2"/>
  <c r="L73" i="2"/>
  <c r="M73" i="2" s="1"/>
  <c r="L72" i="2"/>
  <c r="K71" i="2"/>
  <c r="J71" i="2"/>
  <c r="I71" i="2"/>
  <c r="H71" i="2"/>
  <c r="G71" i="2"/>
  <c r="K69" i="2"/>
  <c r="J69" i="2"/>
  <c r="I69" i="2"/>
  <c r="H69" i="2"/>
  <c r="G69" i="2"/>
  <c r="G68" i="2"/>
  <c r="H68" i="2" s="1"/>
  <c r="I68" i="2" s="1"/>
  <c r="J68" i="2" s="1"/>
  <c r="K68" i="2" s="1"/>
  <c r="L68" i="2" s="1"/>
  <c r="M68" i="2" s="1"/>
  <c r="U67" i="2"/>
  <c r="S67" i="2"/>
  <c r="G67" i="2"/>
  <c r="H67" i="2" s="1"/>
  <c r="I67" i="2" s="1"/>
  <c r="J67" i="2" s="1"/>
  <c r="K67" i="2" s="1"/>
  <c r="L67" i="2" s="1"/>
  <c r="M67" i="2" s="1"/>
  <c r="L64" i="2"/>
  <c r="M64" i="2" s="1"/>
  <c r="L63" i="2"/>
  <c r="M63" i="2" s="1"/>
  <c r="L62" i="2"/>
  <c r="W51" i="2" s="1"/>
  <c r="L61" i="2"/>
  <c r="M61" i="2" s="1"/>
  <c r="L60" i="2"/>
  <c r="X51" i="2" s="1"/>
  <c r="L59" i="2"/>
  <c r="M59" i="2" s="1"/>
  <c r="L58" i="2"/>
  <c r="M58" i="2" s="1"/>
  <c r="L57" i="2"/>
  <c r="M57" i="2" s="1"/>
  <c r="L56" i="2"/>
  <c r="K55" i="2"/>
  <c r="J55" i="2"/>
  <c r="I55" i="2"/>
  <c r="H55" i="2"/>
  <c r="G55" i="2"/>
  <c r="K53" i="2"/>
  <c r="J53" i="2"/>
  <c r="I53" i="2"/>
  <c r="H53" i="2"/>
  <c r="G53" i="2"/>
  <c r="G52" i="2"/>
  <c r="H52" i="2" s="1"/>
  <c r="I52" i="2" s="1"/>
  <c r="J52" i="2" s="1"/>
  <c r="K52" i="2" s="1"/>
  <c r="L52" i="2" s="1"/>
  <c r="M52" i="2" s="1"/>
  <c r="S51" i="2"/>
  <c r="G51" i="2"/>
  <c r="H51" i="2" s="1"/>
  <c r="I51" i="2" s="1"/>
  <c r="J51" i="2" s="1"/>
  <c r="K51" i="2" s="1"/>
  <c r="L51" i="2" s="1"/>
  <c r="M51" i="2" s="1"/>
  <c r="L48" i="2"/>
  <c r="M48" i="2" s="1"/>
  <c r="L47" i="2"/>
  <c r="M47" i="2" s="1"/>
  <c r="M46" i="2"/>
  <c r="L46" i="2"/>
  <c r="W35" i="2" s="1"/>
  <c r="L45" i="2"/>
  <c r="M45" i="2" s="1"/>
  <c r="L44" i="2"/>
  <c r="X35" i="2" s="1"/>
  <c r="L43" i="2"/>
  <c r="M43" i="2" s="1"/>
  <c r="L42" i="2"/>
  <c r="M42" i="2" s="1"/>
  <c r="L41" i="2"/>
  <c r="M41" i="2" s="1"/>
  <c r="M40" i="2"/>
  <c r="L40" i="2"/>
  <c r="K39" i="2"/>
  <c r="J39" i="2"/>
  <c r="I39" i="2"/>
  <c r="H39" i="2"/>
  <c r="G39" i="2"/>
  <c r="K37" i="2"/>
  <c r="J37" i="2"/>
  <c r="I37" i="2"/>
  <c r="H37" i="2"/>
  <c r="G37" i="2"/>
  <c r="G36" i="2"/>
  <c r="H36" i="2" s="1"/>
  <c r="I36" i="2" s="1"/>
  <c r="J36" i="2" s="1"/>
  <c r="K36" i="2" s="1"/>
  <c r="L36" i="2" s="1"/>
  <c r="M36" i="2" s="1"/>
  <c r="S35" i="2"/>
  <c r="G35" i="2"/>
  <c r="H35" i="2" s="1"/>
  <c r="I35" i="2" s="1"/>
  <c r="J35" i="2" s="1"/>
  <c r="K35" i="2" s="1"/>
  <c r="L35" i="2" s="1"/>
  <c r="M35" i="2" s="1"/>
  <c r="A35" i="2"/>
  <c r="A51" i="2" s="1"/>
  <c r="A67" i="2" s="1"/>
  <c r="A83" i="2" s="1"/>
  <c r="A99" i="2" s="1"/>
  <c r="A115" i="2" s="1"/>
  <c r="A131" i="2" s="1"/>
  <c r="A147" i="2" s="1"/>
  <c r="A163" i="2" s="1"/>
  <c r="A179" i="2" s="1"/>
  <c r="A195" i="2" s="1"/>
  <c r="A211" i="2" s="1"/>
  <c r="A227" i="2" s="1"/>
  <c r="A243" i="2" s="1"/>
  <c r="A259" i="2" s="1"/>
  <c r="A275" i="2" s="1"/>
  <c r="A291" i="2" s="1"/>
  <c r="A307" i="2" s="1"/>
  <c r="A323" i="2" s="1"/>
  <c r="A339" i="2" s="1"/>
  <c r="A355" i="2" s="1"/>
  <c r="A371" i="2" s="1"/>
  <c r="A387" i="2" s="1"/>
  <c r="A403" i="2" s="1"/>
  <c r="A419" i="2" s="1"/>
  <c r="A435" i="2" s="1"/>
  <c r="A451" i="2" s="1"/>
  <c r="A467" i="2" s="1"/>
  <c r="A483" i="2" s="1"/>
  <c r="A499" i="2" s="1"/>
  <c r="A515" i="2" s="1"/>
  <c r="A531" i="2" s="1"/>
  <c r="A547" i="2" s="1"/>
  <c r="A563" i="2" s="1"/>
  <c r="A579" i="2" s="1"/>
  <c r="A595" i="2" s="1"/>
  <c r="A611" i="2" s="1"/>
  <c r="A627" i="2" s="1"/>
  <c r="A643" i="2" s="1"/>
  <c r="A659" i="2" s="1"/>
  <c r="A675" i="2" s="1"/>
  <c r="A691" i="2" s="1"/>
  <c r="A707" i="2" s="1"/>
  <c r="A723" i="2" s="1"/>
  <c r="A739" i="2" s="1"/>
  <c r="A755" i="2" s="1"/>
  <c r="A771" i="2" s="1"/>
  <c r="A787" i="2" s="1"/>
  <c r="A803" i="2" s="1"/>
  <c r="L32" i="2"/>
  <c r="M32" i="2" s="1"/>
  <c r="L31" i="2"/>
  <c r="M31" i="2" s="1"/>
  <c r="L30" i="2"/>
  <c r="W19" i="2" s="1"/>
  <c r="L29" i="2"/>
  <c r="M29" i="2" s="1"/>
  <c r="L28" i="2"/>
  <c r="X19" i="2" s="1"/>
  <c r="L27" i="2"/>
  <c r="M27" i="2" s="1"/>
  <c r="L26" i="2"/>
  <c r="M26" i="2" s="1"/>
  <c r="L25" i="2"/>
  <c r="M25" i="2" s="1"/>
  <c r="L24" i="2"/>
  <c r="K23" i="2"/>
  <c r="J23" i="2"/>
  <c r="I23" i="2"/>
  <c r="H23" i="2"/>
  <c r="G23" i="2"/>
  <c r="K21" i="2"/>
  <c r="J21" i="2"/>
  <c r="I21" i="2"/>
  <c r="H21" i="2"/>
  <c r="G21" i="2"/>
  <c r="G20" i="2"/>
  <c r="H20" i="2" s="1"/>
  <c r="I20" i="2" s="1"/>
  <c r="J20" i="2" s="1"/>
  <c r="K20" i="2" s="1"/>
  <c r="L20" i="2" s="1"/>
  <c r="M20" i="2" s="1"/>
  <c r="C20" i="2"/>
  <c r="C36" i="2" s="1"/>
  <c r="C52" i="2" s="1"/>
  <c r="C68" i="2" s="1"/>
  <c r="C84" i="2" s="1"/>
  <c r="C100" i="2" s="1"/>
  <c r="C116" i="2" s="1"/>
  <c r="C132" i="2" s="1"/>
  <c r="C148" i="2" s="1"/>
  <c r="C164" i="2" s="1"/>
  <c r="C180" i="2" s="1"/>
  <c r="C196" i="2" s="1"/>
  <c r="C212" i="2" s="1"/>
  <c r="C228" i="2" s="1"/>
  <c r="C244" i="2" s="1"/>
  <c r="C260" i="2" s="1"/>
  <c r="C276" i="2" s="1"/>
  <c r="C292" i="2" s="1"/>
  <c r="C308" i="2" s="1"/>
  <c r="C324" i="2" s="1"/>
  <c r="C340" i="2" s="1"/>
  <c r="C356" i="2" s="1"/>
  <c r="C372" i="2" s="1"/>
  <c r="C388" i="2" s="1"/>
  <c r="C404" i="2" s="1"/>
  <c r="C420" i="2" s="1"/>
  <c r="C436" i="2" s="1"/>
  <c r="C452" i="2" s="1"/>
  <c r="C468" i="2" s="1"/>
  <c r="C484" i="2" s="1"/>
  <c r="C500" i="2" s="1"/>
  <c r="C516" i="2" s="1"/>
  <c r="C532" i="2" s="1"/>
  <c r="C548" i="2" s="1"/>
  <c r="C564" i="2" s="1"/>
  <c r="C580" i="2" s="1"/>
  <c r="C596" i="2" s="1"/>
  <c r="C612" i="2" s="1"/>
  <c r="C628" i="2" s="1"/>
  <c r="C644" i="2" s="1"/>
  <c r="C660" i="2" s="1"/>
  <c r="C676" i="2" s="1"/>
  <c r="C692" i="2" s="1"/>
  <c r="C708" i="2" s="1"/>
  <c r="C724" i="2" s="1"/>
  <c r="C740" i="2" s="1"/>
  <c r="C756" i="2" s="1"/>
  <c r="C772" i="2" s="1"/>
  <c r="C788" i="2" s="1"/>
  <c r="C804" i="2" s="1"/>
  <c r="V19" i="2"/>
  <c r="S19" i="2"/>
  <c r="G19" i="2"/>
  <c r="H19" i="2" s="1"/>
  <c r="I19" i="2" s="1"/>
  <c r="J19" i="2" s="1"/>
  <c r="K19" i="2" s="1"/>
  <c r="L19" i="2" s="1"/>
  <c r="M19" i="2" s="1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L26" i="15" s="1"/>
  <c r="M26" i="15" s="1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L22" i="15" s="1"/>
  <c r="M22" i="15" s="1"/>
  <c r="K8" i="2"/>
  <c r="J8" i="2"/>
  <c r="I8" i="2"/>
  <c r="H8" i="2"/>
  <c r="H20" i="15" s="1"/>
  <c r="G8" i="2"/>
  <c r="H4" i="2"/>
  <c r="I4" i="2" s="1"/>
  <c r="J4" i="2" s="1"/>
  <c r="K4" i="2" s="1"/>
  <c r="L4" i="2" s="1"/>
  <c r="M4" i="2" s="1"/>
  <c r="S3" i="2"/>
  <c r="H3" i="2"/>
  <c r="I3" i="2" s="1"/>
  <c r="J3" i="2" s="1"/>
  <c r="K3" i="2" s="1"/>
  <c r="L3" i="2" s="1"/>
  <c r="M3" i="2" s="1"/>
  <c r="X1" i="2"/>
  <c r="T1" i="2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L816" i="1"/>
  <c r="M816" i="1" s="1"/>
  <c r="L815" i="1"/>
  <c r="M815" i="1" s="1"/>
  <c r="L814" i="1"/>
  <c r="M814" i="1" s="1"/>
  <c r="L813" i="1"/>
  <c r="M813" i="1" s="1"/>
  <c r="L812" i="1"/>
  <c r="L811" i="1"/>
  <c r="M811" i="1" s="1"/>
  <c r="L810" i="1"/>
  <c r="L809" i="1"/>
  <c r="M809" i="1" s="1"/>
  <c r="L808" i="1"/>
  <c r="M808" i="1" s="1"/>
  <c r="K807" i="1"/>
  <c r="J807" i="1"/>
  <c r="I807" i="1"/>
  <c r="H807" i="1"/>
  <c r="G807" i="1"/>
  <c r="K805" i="1"/>
  <c r="J805" i="1"/>
  <c r="I805" i="1"/>
  <c r="H805" i="1"/>
  <c r="G805" i="1"/>
  <c r="G804" i="1"/>
  <c r="H804" i="1" s="1"/>
  <c r="I804" i="1" s="1"/>
  <c r="J804" i="1" s="1"/>
  <c r="K804" i="1" s="1"/>
  <c r="L804" i="1" s="1"/>
  <c r="M804" i="1" s="1"/>
  <c r="S803" i="1"/>
  <c r="G803" i="1"/>
  <c r="H803" i="1" s="1"/>
  <c r="I803" i="1" s="1"/>
  <c r="J803" i="1" s="1"/>
  <c r="K803" i="1" s="1"/>
  <c r="L803" i="1" s="1"/>
  <c r="M803" i="1" s="1"/>
  <c r="L800" i="1"/>
  <c r="M800" i="1" s="1"/>
  <c r="L799" i="1"/>
  <c r="M799" i="1" s="1"/>
  <c r="L798" i="1"/>
  <c r="M798" i="1" s="1"/>
  <c r="L797" i="1"/>
  <c r="M797" i="1" s="1"/>
  <c r="L796" i="1"/>
  <c r="L795" i="1"/>
  <c r="M795" i="1" s="1"/>
  <c r="L794" i="1"/>
  <c r="L793" i="1"/>
  <c r="M793" i="1" s="1"/>
  <c r="L792" i="1"/>
  <c r="M792" i="1" s="1"/>
  <c r="K791" i="1"/>
  <c r="J791" i="1"/>
  <c r="I791" i="1"/>
  <c r="H791" i="1"/>
  <c r="G791" i="1"/>
  <c r="K789" i="1"/>
  <c r="J789" i="1"/>
  <c r="I789" i="1"/>
  <c r="H789" i="1"/>
  <c r="G789" i="1"/>
  <c r="G788" i="1"/>
  <c r="H788" i="1" s="1"/>
  <c r="I788" i="1" s="1"/>
  <c r="J788" i="1" s="1"/>
  <c r="K788" i="1" s="1"/>
  <c r="L788" i="1" s="1"/>
  <c r="M788" i="1" s="1"/>
  <c r="S787" i="1"/>
  <c r="G787" i="1"/>
  <c r="H787" i="1" s="1"/>
  <c r="I787" i="1" s="1"/>
  <c r="J787" i="1" s="1"/>
  <c r="K787" i="1" s="1"/>
  <c r="L787" i="1" s="1"/>
  <c r="M787" i="1" s="1"/>
  <c r="L784" i="1"/>
  <c r="M784" i="1" s="1"/>
  <c r="L783" i="1"/>
  <c r="M783" i="1" s="1"/>
  <c r="L782" i="1"/>
  <c r="M782" i="1" s="1"/>
  <c r="L781" i="1"/>
  <c r="M781" i="1" s="1"/>
  <c r="L780" i="1"/>
  <c r="L779" i="1"/>
  <c r="M779" i="1" s="1"/>
  <c r="L778" i="1"/>
  <c r="L777" i="1"/>
  <c r="M777" i="1" s="1"/>
  <c r="L776" i="1"/>
  <c r="M776" i="1" s="1"/>
  <c r="K775" i="1"/>
  <c r="J775" i="1"/>
  <c r="I775" i="1"/>
  <c r="H775" i="1"/>
  <c r="G775" i="1"/>
  <c r="K773" i="1"/>
  <c r="J773" i="1"/>
  <c r="I773" i="1"/>
  <c r="H773" i="1"/>
  <c r="G773" i="1"/>
  <c r="G772" i="1"/>
  <c r="H772" i="1" s="1"/>
  <c r="I772" i="1" s="1"/>
  <c r="J772" i="1" s="1"/>
  <c r="K772" i="1" s="1"/>
  <c r="L772" i="1" s="1"/>
  <c r="M772" i="1" s="1"/>
  <c r="W771" i="1"/>
  <c r="S771" i="1"/>
  <c r="G771" i="1"/>
  <c r="H771" i="1" s="1"/>
  <c r="I771" i="1" s="1"/>
  <c r="J771" i="1" s="1"/>
  <c r="K771" i="1" s="1"/>
  <c r="L771" i="1" s="1"/>
  <c r="M771" i="1" s="1"/>
  <c r="L768" i="1"/>
  <c r="M768" i="1" s="1"/>
  <c r="L767" i="1"/>
  <c r="M767" i="1" s="1"/>
  <c r="L766" i="1"/>
  <c r="M766" i="1" s="1"/>
  <c r="L765" i="1"/>
  <c r="M765" i="1" s="1"/>
  <c r="L764" i="1"/>
  <c r="L763" i="1"/>
  <c r="M763" i="1" s="1"/>
  <c r="L762" i="1"/>
  <c r="L761" i="1"/>
  <c r="M761" i="1" s="1"/>
  <c r="L760" i="1"/>
  <c r="M760" i="1" s="1"/>
  <c r="K759" i="1"/>
  <c r="J759" i="1"/>
  <c r="I759" i="1"/>
  <c r="H759" i="1"/>
  <c r="G759" i="1"/>
  <c r="K757" i="1"/>
  <c r="J757" i="1"/>
  <c r="I757" i="1"/>
  <c r="H757" i="1"/>
  <c r="G757" i="1"/>
  <c r="H756" i="1"/>
  <c r="I756" i="1" s="1"/>
  <c r="J756" i="1" s="1"/>
  <c r="K756" i="1" s="1"/>
  <c r="L756" i="1" s="1"/>
  <c r="M756" i="1" s="1"/>
  <c r="G756" i="1"/>
  <c r="S755" i="1"/>
  <c r="G755" i="1"/>
  <c r="H755" i="1" s="1"/>
  <c r="I755" i="1" s="1"/>
  <c r="J755" i="1" s="1"/>
  <c r="K755" i="1" s="1"/>
  <c r="L755" i="1" s="1"/>
  <c r="M755" i="1" s="1"/>
  <c r="L752" i="1"/>
  <c r="M752" i="1" s="1"/>
  <c r="L751" i="1"/>
  <c r="M751" i="1" s="1"/>
  <c r="L750" i="1"/>
  <c r="M750" i="1" s="1"/>
  <c r="L749" i="1"/>
  <c r="M749" i="1" s="1"/>
  <c r="L748" i="1"/>
  <c r="L747" i="1"/>
  <c r="M747" i="1" s="1"/>
  <c r="L746" i="1"/>
  <c r="L745" i="1"/>
  <c r="M745" i="1" s="1"/>
  <c r="L744" i="1"/>
  <c r="M744" i="1" s="1"/>
  <c r="K743" i="1"/>
  <c r="J743" i="1"/>
  <c r="I743" i="1"/>
  <c r="H743" i="1"/>
  <c r="G743" i="1"/>
  <c r="K741" i="1"/>
  <c r="J741" i="1"/>
  <c r="I741" i="1"/>
  <c r="H741" i="1"/>
  <c r="G741" i="1"/>
  <c r="G740" i="1"/>
  <c r="H740" i="1" s="1"/>
  <c r="I740" i="1" s="1"/>
  <c r="J740" i="1" s="1"/>
  <c r="K740" i="1" s="1"/>
  <c r="L740" i="1" s="1"/>
  <c r="M740" i="1" s="1"/>
  <c r="S739" i="1"/>
  <c r="G739" i="1"/>
  <c r="H739" i="1" s="1"/>
  <c r="I739" i="1" s="1"/>
  <c r="J739" i="1" s="1"/>
  <c r="K739" i="1" s="1"/>
  <c r="L739" i="1" s="1"/>
  <c r="M739" i="1" s="1"/>
  <c r="L736" i="1"/>
  <c r="M736" i="1" s="1"/>
  <c r="L735" i="1"/>
  <c r="M735" i="1" s="1"/>
  <c r="L734" i="1"/>
  <c r="M734" i="1" s="1"/>
  <c r="L733" i="1"/>
  <c r="M733" i="1" s="1"/>
  <c r="L732" i="1"/>
  <c r="L731" i="1"/>
  <c r="M731" i="1" s="1"/>
  <c r="L730" i="1"/>
  <c r="L729" i="1"/>
  <c r="M729" i="1" s="1"/>
  <c r="L728" i="1"/>
  <c r="M728" i="1" s="1"/>
  <c r="K727" i="1"/>
  <c r="J727" i="1"/>
  <c r="I727" i="1"/>
  <c r="H727" i="1"/>
  <c r="G727" i="1"/>
  <c r="K725" i="1"/>
  <c r="J725" i="1"/>
  <c r="I725" i="1"/>
  <c r="H725" i="1"/>
  <c r="G725" i="1"/>
  <c r="G724" i="1"/>
  <c r="H724" i="1" s="1"/>
  <c r="I724" i="1" s="1"/>
  <c r="J724" i="1" s="1"/>
  <c r="K724" i="1" s="1"/>
  <c r="L724" i="1" s="1"/>
  <c r="M724" i="1" s="1"/>
  <c r="U723" i="1"/>
  <c r="S723" i="1"/>
  <c r="G723" i="1"/>
  <c r="H723" i="1" s="1"/>
  <c r="I723" i="1" s="1"/>
  <c r="J723" i="1" s="1"/>
  <c r="K723" i="1" s="1"/>
  <c r="L723" i="1" s="1"/>
  <c r="M723" i="1" s="1"/>
  <c r="L720" i="1"/>
  <c r="M720" i="1" s="1"/>
  <c r="L719" i="1"/>
  <c r="M719" i="1" s="1"/>
  <c r="L718" i="1"/>
  <c r="M718" i="1" s="1"/>
  <c r="L717" i="1"/>
  <c r="M717" i="1" s="1"/>
  <c r="L716" i="1"/>
  <c r="L715" i="1"/>
  <c r="M715" i="1" s="1"/>
  <c r="L714" i="1"/>
  <c r="L713" i="1"/>
  <c r="M713" i="1" s="1"/>
  <c r="L712" i="1"/>
  <c r="M712" i="1" s="1"/>
  <c r="K711" i="1"/>
  <c r="J711" i="1"/>
  <c r="I711" i="1"/>
  <c r="H711" i="1"/>
  <c r="G711" i="1"/>
  <c r="K709" i="1"/>
  <c r="J709" i="1"/>
  <c r="I709" i="1"/>
  <c r="H709" i="1"/>
  <c r="G709" i="1"/>
  <c r="G708" i="1"/>
  <c r="H708" i="1" s="1"/>
  <c r="I708" i="1" s="1"/>
  <c r="J708" i="1" s="1"/>
  <c r="K708" i="1" s="1"/>
  <c r="L708" i="1" s="1"/>
  <c r="M708" i="1" s="1"/>
  <c r="U707" i="1"/>
  <c r="S707" i="1"/>
  <c r="G707" i="1"/>
  <c r="H707" i="1" s="1"/>
  <c r="I707" i="1" s="1"/>
  <c r="J707" i="1" s="1"/>
  <c r="K707" i="1" s="1"/>
  <c r="L707" i="1" s="1"/>
  <c r="M707" i="1" s="1"/>
  <c r="L704" i="1"/>
  <c r="M704" i="1" s="1"/>
  <c r="L703" i="1"/>
  <c r="M703" i="1" s="1"/>
  <c r="L702" i="1"/>
  <c r="M702" i="1" s="1"/>
  <c r="L701" i="1"/>
  <c r="M701" i="1" s="1"/>
  <c r="L700" i="1"/>
  <c r="L699" i="1"/>
  <c r="M699" i="1" s="1"/>
  <c r="L698" i="1"/>
  <c r="L697" i="1"/>
  <c r="M697" i="1" s="1"/>
  <c r="L696" i="1"/>
  <c r="M696" i="1" s="1"/>
  <c r="K695" i="1"/>
  <c r="J695" i="1"/>
  <c r="I695" i="1"/>
  <c r="H695" i="1"/>
  <c r="G695" i="1"/>
  <c r="K693" i="1"/>
  <c r="J693" i="1"/>
  <c r="I693" i="1"/>
  <c r="H693" i="1"/>
  <c r="G693" i="1"/>
  <c r="G692" i="1"/>
  <c r="H692" i="1" s="1"/>
  <c r="I692" i="1" s="1"/>
  <c r="J692" i="1" s="1"/>
  <c r="K692" i="1" s="1"/>
  <c r="L692" i="1" s="1"/>
  <c r="M692" i="1" s="1"/>
  <c r="W691" i="1"/>
  <c r="S691" i="1"/>
  <c r="G691" i="1"/>
  <c r="H691" i="1" s="1"/>
  <c r="I691" i="1" s="1"/>
  <c r="J691" i="1" s="1"/>
  <c r="K691" i="1" s="1"/>
  <c r="L691" i="1" s="1"/>
  <c r="M691" i="1" s="1"/>
  <c r="L688" i="1"/>
  <c r="M688" i="1" s="1"/>
  <c r="L687" i="1"/>
  <c r="M687" i="1" s="1"/>
  <c r="L686" i="1"/>
  <c r="M686" i="1" s="1"/>
  <c r="L685" i="1"/>
  <c r="M685" i="1" s="1"/>
  <c r="L684" i="1"/>
  <c r="L683" i="1"/>
  <c r="M683" i="1" s="1"/>
  <c r="L682" i="1"/>
  <c r="M682" i="1" s="1"/>
  <c r="L681" i="1"/>
  <c r="M681" i="1" s="1"/>
  <c r="L680" i="1"/>
  <c r="K679" i="1"/>
  <c r="J679" i="1"/>
  <c r="I679" i="1"/>
  <c r="H679" i="1"/>
  <c r="G679" i="1"/>
  <c r="K677" i="1"/>
  <c r="J677" i="1"/>
  <c r="I677" i="1"/>
  <c r="H677" i="1"/>
  <c r="G677" i="1"/>
  <c r="G676" i="1"/>
  <c r="H676" i="1" s="1"/>
  <c r="I676" i="1" s="1"/>
  <c r="J676" i="1" s="1"/>
  <c r="K676" i="1" s="1"/>
  <c r="L676" i="1" s="1"/>
  <c r="M676" i="1" s="1"/>
  <c r="S675" i="1"/>
  <c r="G675" i="1"/>
  <c r="H675" i="1" s="1"/>
  <c r="I675" i="1" s="1"/>
  <c r="J675" i="1" s="1"/>
  <c r="K675" i="1" s="1"/>
  <c r="L675" i="1" s="1"/>
  <c r="M675" i="1" s="1"/>
  <c r="L672" i="1"/>
  <c r="M672" i="1" s="1"/>
  <c r="M671" i="1"/>
  <c r="L671" i="1"/>
  <c r="L670" i="1"/>
  <c r="W659" i="1" s="1"/>
  <c r="M669" i="1"/>
  <c r="L669" i="1"/>
  <c r="L668" i="1"/>
  <c r="M668" i="1" s="1"/>
  <c r="L667" i="1"/>
  <c r="M667" i="1" s="1"/>
  <c r="L666" i="1"/>
  <c r="M666" i="1" s="1"/>
  <c r="L665" i="1"/>
  <c r="M665" i="1" s="1"/>
  <c r="L664" i="1"/>
  <c r="K663" i="1"/>
  <c r="J663" i="1"/>
  <c r="I663" i="1"/>
  <c r="H663" i="1"/>
  <c r="G663" i="1"/>
  <c r="K661" i="1"/>
  <c r="J661" i="1"/>
  <c r="I661" i="1"/>
  <c r="H661" i="1"/>
  <c r="G661" i="1"/>
  <c r="G660" i="1"/>
  <c r="H660" i="1" s="1"/>
  <c r="I660" i="1" s="1"/>
  <c r="J660" i="1" s="1"/>
  <c r="K660" i="1" s="1"/>
  <c r="L660" i="1" s="1"/>
  <c r="M660" i="1" s="1"/>
  <c r="X659" i="1"/>
  <c r="S659" i="1"/>
  <c r="G659" i="1"/>
  <c r="H659" i="1" s="1"/>
  <c r="I659" i="1" s="1"/>
  <c r="J659" i="1" s="1"/>
  <c r="K659" i="1" s="1"/>
  <c r="L659" i="1" s="1"/>
  <c r="M659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U643" i="1" s="1"/>
  <c r="L648" i="1"/>
  <c r="M648" i="1" s="1"/>
  <c r="K647" i="1"/>
  <c r="J647" i="1"/>
  <c r="I647" i="1"/>
  <c r="H647" i="1"/>
  <c r="G647" i="1"/>
  <c r="K645" i="1"/>
  <c r="J645" i="1"/>
  <c r="I645" i="1"/>
  <c r="H645" i="1"/>
  <c r="G645" i="1"/>
  <c r="G644" i="1"/>
  <c r="H644" i="1" s="1"/>
  <c r="I644" i="1" s="1"/>
  <c r="J644" i="1" s="1"/>
  <c r="K644" i="1" s="1"/>
  <c r="L644" i="1" s="1"/>
  <c r="M644" i="1" s="1"/>
  <c r="X643" i="1"/>
  <c r="V643" i="1"/>
  <c r="S643" i="1"/>
  <c r="G643" i="1"/>
  <c r="H643" i="1" s="1"/>
  <c r="I643" i="1" s="1"/>
  <c r="J643" i="1" s="1"/>
  <c r="K643" i="1" s="1"/>
  <c r="L643" i="1" s="1"/>
  <c r="M643" i="1" s="1"/>
  <c r="L640" i="1"/>
  <c r="M640" i="1" s="1"/>
  <c r="L639" i="1"/>
  <c r="M639" i="1" s="1"/>
  <c r="L638" i="1"/>
  <c r="L637" i="1"/>
  <c r="M637" i="1" s="1"/>
  <c r="L636" i="1"/>
  <c r="M636" i="1" s="1"/>
  <c r="L635" i="1"/>
  <c r="M635" i="1" s="1"/>
  <c r="L634" i="1"/>
  <c r="L633" i="1"/>
  <c r="L632" i="1"/>
  <c r="M632" i="1" s="1"/>
  <c r="L631" i="1"/>
  <c r="M631" i="1" s="1"/>
  <c r="K631" i="1"/>
  <c r="J631" i="1"/>
  <c r="I631" i="1"/>
  <c r="H631" i="1"/>
  <c r="G631" i="1"/>
  <c r="K629" i="1"/>
  <c r="J629" i="1"/>
  <c r="I629" i="1"/>
  <c r="H629" i="1"/>
  <c r="G629" i="1"/>
  <c r="G628" i="1"/>
  <c r="H628" i="1" s="1"/>
  <c r="I628" i="1" s="1"/>
  <c r="J628" i="1" s="1"/>
  <c r="K628" i="1" s="1"/>
  <c r="L628" i="1" s="1"/>
  <c r="M628" i="1" s="1"/>
  <c r="X627" i="1"/>
  <c r="S627" i="1"/>
  <c r="G627" i="1"/>
  <c r="H627" i="1" s="1"/>
  <c r="I627" i="1" s="1"/>
  <c r="J627" i="1" s="1"/>
  <c r="K627" i="1" s="1"/>
  <c r="L627" i="1" s="1"/>
  <c r="M627" i="1" s="1"/>
  <c r="L624" i="1"/>
  <c r="M624" i="1" s="1"/>
  <c r="L623" i="1"/>
  <c r="M623" i="1" s="1"/>
  <c r="L622" i="1"/>
  <c r="L621" i="1"/>
  <c r="M621" i="1" s="1"/>
  <c r="L620" i="1"/>
  <c r="M620" i="1" s="1"/>
  <c r="L619" i="1"/>
  <c r="M619" i="1" s="1"/>
  <c r="L618" i="1"/>
  <c r="M618" i="1" s="1"/>
  <c r="L617" i="1"/>
  <c r="L616" i="1"/>
  <c r="K615" i="1"/>
  <c r="J615" i="1"/>
  <c r="I615" i="1"/>
  <c r="H615" i="1"/>
  <c r="G615" i="1"/>
  <c r="K613" i="1"/>
  <c r="J613" i="1"/>
  <c r="I613" i="1"/>
  <c r="H613" i="1"/>
  <c r="G613" i="1"/>
  <c r="G612" i="1"/>
  <c r="H612" i="1" s="1"/>
  <c r="I612" i="1" s="1"/>
  <c r="J612" i="1" s="1"/>
  <c r="K612" i="1" s="1"/>
  <c r="L612" i="1" s="1"/>
  <c r="M612" i="1" s="1"/>
  <c r="S611" i="1"/>
  <c r="H611" i="1"/>
  <c r="I611" i="1" s="1"/>
  <c r="J611" i="1" s="1"/>
  <c r="K611" i="1" s="1"/>
  <c r="L611" i="1" s="1"/>
  <c r="M611" i="1" s="1"/>
  <c r="G611" i="1"/>
  <c r="L608" i="1"/>
  <c r="M608" i="1" s="1"/>
  <c r="L607" i="1"/>
  <c r="M607" i="1" s="1"/>
  <c r="L606" i="1"/>
  <c r="M606" i="1" s="1"/>
  <c r="L605" i="1"/>
  <c r="M605" i="1" s="1"/>
  <c r="L604" i="1"/>
  <c r="X595" i="1" s="1"/>
  <c r="L603" i="1"/>
  <c r="M603" i="1" s="1"/>
  <c r="M602" i="1"/>
  <c r="L602" i="1"/>
  <c r="L601" i="1"/>
  <c r="L600" i="1"/>
  <c r="M600" i="1" s="1"/>
  <c r="K599" i="1"/>
  <c r="J599" i="1"/>
  <c r="I599" i="1"/>
  <c r="H599" i="1"/>
  <c r="G599" i="1"/>
  <c r="K597" i="1"/>
  <c r="J597" i="1"/>
  <c r="I597" i="1"/>
  <c r="H597" i="1"/>
  <c r="G597" i="1"/>
  <c r="G596" i="1"/>
  <c r="H596" i="1" s="1"/>
  <c r="I596" i="1" s="1"/>
  <c r="J596" i="1" s="1"/>
  <c r="K596" i="1" s="1"/>
  <c r="L596" i="1" s="1"/>
  <c r="M596" i="1" s="1"/>
  <c r="S595" i="1"/>
  <c r="I595" i="1"/>
  <c r="J595" i="1" s="1"/>
  <c r="K595" i="1" s="1"/>
  <c r="L595" i="1" s="1"/>
  <c r="M595" i="1" s="1"/>
  <c r="G595" i="1"/>
  <c r="H595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L584" i="1"/>
  <c r="M584" i="1" s="1"/>
  <c r="K583" i="1"/>
  <c r="J583" i="1"/>
  <c r="I583" i="1"/>
  <c r="H583" i="1"/>
  <c r="G583" i="1"/>
  <c r="K581" i="1"/>
  <c r="J581" i="1"/>
  <c r="I581" i="1"/>
  <c r="H581" i="1"/>
  <c r="G581" i="1"/>
  <c r="G580" i="1"/>
  <c r="H580" i="1" s="1"/>
  <c r="I580" i="1" s="1"/>
  <c r="J580" i="1" s="1"/>
  <c r="K580" i="1" s="1"/>
  <c r="L580" i="1" s="1"/>
  <c r="M580" i="1" s="1"/>
  <c r="X579" i="1"/>
  <c r="S579" i="1"/>
  <c r="G579" i="1"/>
  <c r="H579" i="1" s="1"/>
  <c r="I579" i="1" s="1"/>
  <c r="J579" i="1" s="1"/>
  <c r="K579" i="1" s="1"/>
  <c r="L579" i="1" s="1"/>
  <c r="M579" i="1" s="1"/>
  <c r="L576" i="1"/>
  <c r="M576" i="1" s="1"/>
  <c r="L575" i="1"/>
  <c r="M575" i="1" s="1"/>
  <c r="L574" i="1"/>
  <c r="W563" i="1" s="1"/>
  <c r="L573" i="1"/>
  <c r="M573" i="1" s="1"/>
  <c r="L572" i="1"/>
  <c r="X563" i="1" s="1"/>
  <c r="L571" i="1"/>
  <c r="M571" i="1" s="1"/>
  <c r="L570" i="1"/>
  <c r="M570" i="1" s="1"/>
  <c r="L569" i="1"/>
  <c r="L568" i="1"/>
  <c r="M568" i="1" s="1"/>
  <c r="K567" i="1"/>
  <c r="J567" i="1"/>
  <c r="I567" i="1"/>
  <c r="H567" i="1"/>
  <c r="G567" i="1"/>
  <c r="K565" i="1"/>
  <c r="J565" i="1"/>
  <c r="I565" i="1"/>
  <c r="H565" i="1"/>
  <c r="G565" i="1"/>
  <c r="G564" i="1"/>
  <c r="H564" i="1" s="1"/>
  <c r="I564" i="1" s="1"/>
  <c r="J564" i="1" s="1"/>
  <c r="K564" i="1" s="1"/>
  <c r="L564" i="1" s="1"/>
  <c r="M564" i="1" s="1"/>
  <c r="S563" i="1"/>
  <c r="G563" i="1"/>
  <c r="H563" i="1" s="1"/>
  <c r="I563" i="1" s="1"/>
  <c r="J563" i="1" s="1"/>
  <c r="K563" i="1" s="1"/>
  <c r="L563" i="1" s="1"/>
  <c r="M563" i="1" s="1"/>
  <c r="L560" i="1"/>
  <c r="M560" i="1" s="1"/>
  <c r="L559" i="1"/>
  <c r="M559" i="1" s="1"/>
  <c r="L558" i="1"/>
  <c r="W547" i="1" s="1"/>
  <c r="L557" i="1"/>
  <c r="M557" i="1" s="1"/>
  <c r="L556" i="1"/>
  <c r="X547" i="1" s="1"/>
  <c r="L555" i="1"/>
  <c r="M555" i="1" s="1"/>
  <c r="L554" i="1"/>
  <c r="M554" i="1" s="1"/>
  <c r="L553" i="1"/>
  <c r="M552" i="1"/>
  <c r="L552" i="1"/>
  <c r="K551" i="1"/>
  <c r="J551" i="1"/>
  <c r="I551" i="1"/>
  <c r="H551" i="1"/>
  <c r="G551" i="1"/>
  <c r="K549" i="1"/>
  <c r="J549" i="1"/>
  <c r="I549" i="1"/>
  <c r="H549" i="1"/>
  <c r="G549" i="1"/>
  <c r="G548" i="1"/>
  <c r="H548" i="1" s="1"/>
  <c r="I548" i="1" s="1"/>
  <c r="J548" i="1" s="1"/>
  <c r="K548" i="1" s="1"/>
  <c r="L548" i="1" s="1"/>
  <c r="M548" i="1" s="1"/>
  <c r="S547" i="1"/>
  <c r="G547" i="1"/>
  <c r="H547" i="1" s="1"/>
  <c r="I547" i="1" s="1"/>
  <c r="J547" i="1" s="1"/>
  <c r="K547" i="1" s="1"/>
  <c r="L547" i="1" s="1"/>
  <c r="M547" i="1" s="1"/>
  <c r="L544" i="1"/>
  <c r="M544" i="1" s="1"/>
  <c r="L543" i="1"/>
  <c r="M543" i="1" s="1"/>
  <c r="L542" i="1"/>
  <c r="W531" i="1" s="1"/>
  <c r="L541" i="1"/>
  <c r="M541" i="1" s="1"/>
  <c r="L540" i="1"/>
  <c r="X531" i="1" s="1"/>
  <c r="L539" i="1"/>
  <c r="M539" i="1" s="1"/>
  <c r="L538" i="1"/>
  <c r="M538" i="1" s="1"/>
  <c r="L537" i="1"/>
  <c r="L536" i="1"/>
  <c r="M536" i="1" s="1"/>
  <c r="K535" i="1"/>
  <c r="J535" i="1"/>
  <c r="I535" i="1"/>
  <c r="H535" i="1"/>
  <c r="G535" i="1"/>
  <c r="K533" i="1"/>
  <c r="J533" i="1"/>
  <c r="I533" i="1"/>
  <c r="H533" i="1"/>
  <c r="G533" i="1"/>
  <c r="G532" i="1"/>
  <c r="H532" i="1" s="1"/>
  <c r="I532" i="1" s="1"/>
  <c r="J532" i="1" s="1"/>
  <c r="K532" i="1" s="1"/>
  <c r="L532" i="1" s="1"/>
  <c r="M532" i="1" s="1"/>
  <c r="S531" i="1"/>
  <c r="I531" i="1"/>
  <c r="J531" i="1" s="1"/>
  <c r="K531" i="1" s="1"/>
  <c r="L531" i="1" s="1"/>
  <c r="M531" i="1" s="1"/>
  <c r="H531" i="1"/>
  <c r="G531" i="1"/>
  <c r="L528" i="1"/>
  <c r="M528" i="1" s="1"/>
  <c r="L527" i="1"/>
  <c r="M527" i="1" s="1"/>
  <c r="L526" i="1"/>
  <c r="M526" i="1" s="1"/>
  <c r="L525" i="1"/>
  <c r="M525" i="1" s="1"/>
  <c r="L524" i="1"/>
  <c r="X515" i="1" s="1"/>
  <c r="L523" i="1"/>
  <c r="M523" i="1" s="1"/>
  <c r="L522" i="1"/>
  <c r="M522" i="1" s="1"/>
  <c r="L521" i="1"/>
  <c r="M521" i="1" s="1"/>
  <c r="L520" i="1"/>
  <c r="K519" i="1"/>
  <c r="J519" i="1"/>
  <c r="I519" i="1"/>
  <c r="H519" i="1"/>
  <c r="G519" i="1"/>
  <c r="K517" i="1"/>
  <c r="J517" i="1"/>
  <c r="I517" i="1"/>
  <c r="H517" i="1"/>
  <c r="G517" i="1"/>
  <c r="G516" i="1"/>
  <c r="H516" i="1" s="1"/>
  <c r="I516" i="1" s="1"/>
  <c r="J516" i="1" s="1"/>
  <c r="K516" i="1" s="1"/>
  <c r="L516" i="1" s="1"/>
  <c r="M516" i="1" s="1"/>
  <c r="S515" i="1"/>
  <c r="G515" i="1"/>
  <c r="H515" i="1" s="1"/>
  <c r="I515" i="1" s="1"/>
  <c r="J515" i="1" s="1"/>
  <c r="K515" i="1" s="1"/>
  <c r="L515" i="1" s="1"/>
  <c r="M515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V499" i="1" s="1"/>
  <c r="L505" i="1"/>
  <c r="M505" i="1" s="1"/>
  <c r="L504" i="1"/>
  <c r="K503" i="1"/>
  <c r="J503" i="1"/>
  <c r="I503" i="1"/>
  <c r="H503" i="1"/>
  <c r="G503" i="1"/>
  <c r="K501" i="1"/>
  <c r="J501" i="1"/>
  <c r="I501" i="1"/>
  <c r="H501" i="1"/>
  <c r="G501" i="1"/>
  <c r="G500" i="1"/>
  <c r="H500" i="1" s="1"/>
  <c r="I500" i="1" s="1"/>
  <c r="J500" i="1" s="1"/>
  <c r="K500" i="1" s="1"/>
  <c r="L500" i="1" s="1"/>
  <c r="M500" i="1" s="1"/>
  <c r="X499" i="1"/>
  <c r="S499" i="1"/>
  <c r="G499" i="1"/>
  <c r="H499" i="1" s="1"/>
  <c r="I499" i="1" s="1"/>
  <c r="J499" i="1" s="1"/>
  <c r="K499" i="1" s="1"/>
  <c r="L499" i="1" s="1"/>
  <c r="M499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L490" i="1"/>
  <c r="M490" i="1" s="1"/>
  <c r="L489" i="1"/>
  <c r="M489" i="1" s="1"/>
  <c r="L488" i="1"/>
  <c r="M488" i="1" s="1"/>
  <c r="K487" i="1"/>
  <c r="J487" i="1"/>
  <c r="I487" i="1"/>
  <c r="H487" i="1"/>
  <c r="G487" i="1"/>
  <c r="K485" i="1"/>
  <c r="J485" i="1"/>
  <c r="I485" i="1"/>
  <c r="H485" i="1"/>
  <c r="G485" i="1"/>
  <c r="G484" i="1"/>
  <c r="H484" i="1" s="1"/>
  <c r="I484" i="1" s="1"/>
  <c r="J484" i="1" s="1"/>
  <c r="K484" i="1" s="1"/>
  <c r="L484" i="1" s="1"/>
  <c r="M484" i="1" s="1"/>
  <c r="S483" i="1"/>
  <c r="G483" i="1"/>
  <c r="H483" i="1" s="1"/>
  <c r="I483" i="1" s="1"/>
  <c r="J483" i="1" s="1"/>
  <c r="K483" i="1" s="1"/>
  <c r="L483" i="1" s="1"/>
  <c r="M483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K471" i="1"/>
  <c r="J471" i="1"/>
  <c r="I471" i="1"/>
  <c r="H471" i="1"/>
  <c r="G471" i="1"/>
  <c r="K469" i="1"/>
  <c r="J469" i="1"/>
  <c r="I469" i="1"/>
  <c r="H469" i="1"/>
  <c r="G469" i="1"/>
  <c r="G468" i="1"/>
  <c r="H468" i="1" s="1"/>
  <c r="I468" i="1" s="1"/>
  <c r="J468" i="1" s="1"/>
  <c r="K468" i="1" s="1"/>
  <c r="L468" i="1" s="1"/>
  <c r="M468" i="1" s="1"/>
  <c r="S467" i="1"/>
  <c r="G467" i="1"/>
  <c r="H467" i="1" s="1"/>
  <c r="I467" i="1" s="1"/>
  <c r="J467" i="1" s="1"/>
  <c r="K467" i="1" s="1"/>
  <c r="L467" i="1" s="1"/>
  <c r="M467" i="1" s="1"/>
  <c r="L464" i="1"/>
  <c r="M464" i="1" s="1"/>
  <c r="L463" i="1"/>
  <c r="M463" i="1" s="1"/>
  <c r="L462" i="1"/>
  <c r="L461" i="1"/>
  <c r="M461" i="1" s="1"/>
  <c r="L460" i="1"/>
  <c r="M460" i="1" s="1"/>
  <c r="L459" i="1"/>
  <c r="L458" i="1"/>
  <c r="M458" i="1" s="1"/>
  <c r="L457" i="1"/>
  <c r="M457" i="1" s="1"/>
  <c r="L456" i="1"/>
  <c r="M456" i="1" s="1"/>
  <c r="K455" i="1"/>
  <c r="J455" i="1"/>
  <c r="I455" i="1"/>
  <c r="H455" i="1"/>
  <c r="G455" i="1"/>
  <c r="K453" i="1"/>
  <c r="J453" i="1"/>
  <c r="I453" i="1"/>
  <c r="H453" i="1"/>
  <c r="G453" i="1"/>
  <c r="G452" i="1"/>
  <c r="H452" i="1" s="1"/>
  <c r="I452" i="1" s="1"/>
  <c r="J452" i="1" s="1"/>
  <c r="K452" i="1" s="1"/>
  <c r="L452" i="1" s="1"/>
  <c r="M452" i="1" s="1"/>
  <c r="S451" i="1"/>
  <c r="G451" i="1"/>
  <c r="H451" i="1" s="1"/>
  <c r="I451" i="1" s="1"/>
  <c r="J451" i="1" s="1"/>
  <c r="K451" i="1" s="1"/>
  <c r="L451" i="1" s="1"/>
  <c r="M451" i="1" s="1"/>
  <c r="L448" i="1"/>
  <c r="M448" i="1" s="1"/>
  <c r="L447" i="1"/>
  <c r="M447" i="1" s="1"/>
  <c r="L446" i="1"/>
  <c r="M446" i="1" s="1"/>
  <c r="L445" i="1"/>
  <c r="M445" i="1" s="1"/>
  <c r="L444" i="1"/>
  <c r="X435" i="1" s="1"/>
  <c r="L443" i="1"/>
  <c r="M443" i="1" s="1"/>
  <c r="L442" i="1"/>
  <c r="M442" i="1" s="1"/>
  <c r="L441" i="1"/>
  <c r="M441" i="1" s="1"/>
  <c r="L440" i="1"/>
  <c r="K439" i="1"/>
  <c r="J439" i="1"/>
  <c r="I439" i="1"/>
  <c r="H439" i="1"/>
  <c r="G439" i="1"/>
  <c r="K437" i="1"/>
  <c r="J437" i="1"/>
  <c r="I437" i="1"/>
  <c r="H437" i="1"/>
  <c r="G437" i="1"/>
  <c r="G436" i="1"/>
  <c r="H436" i="1" s="1"/>
  <c r="I436" i="1" s="1"/>
  <c r="J436" i="1" s="1"/>
  <c r="K436" i="1" s="1"/>
  <c r="L436" i="1" s="1"/>
  <c r="M436" i="1" s="1"/>
  <c r="S435" i="1"/>
  <c r="G435" i="1"/>
  <c r="H435" i="1" s="1"/>
  <c r="I435" i="1" s="1"/>
  <c r="J435" i="1" s="1"/>
  <c r="K435" i="1" s="1"/>
  <c r="L435" i="1" s="1"/>
  <c r="M435" i="1" s="1"/>
  <c r="M432" i="1"/>
  <c r="L432" i="1"/>
  <c r="L431" i="1"/>
  <c r="M431" i="1" s="1"/>
  <c r="L430" i="1"/>
  <c r="W419" i="1" s="1"/>
  <c r="L429" i="1"/>
  <c r="M429" i="1" s="1"/>
  <c r="M428" i="1"/>
  <c r="L428" i="1"/>
  <c r="L427" i="1"/>
  <c r="M427" i="1" s="1"/>
  <c r="L426" i="1"/>
  <c r="M426" i="1" s="1"/>
  <c r="L425" i="1"/>
  <c r="L424" i="1"/>
  <c r="M424" i="1" s="1"/>
  <c r="K423" i="1"/>
  <c r="J423" i="1"/>
  <c r="I423" i="1"/>
  <c r="H423" i="1"/>
  <c r="G423" i="1"/>
  <c r="K421" i="1"/>
  <c r="J421" i="1"/>
  <c r="I421" i="1"/>
  <c r="H421" i="1"/>
  <c r="G421" i="1"/>
  <c r="G420" i="1"/>
  <c r="H420" i="1" s="1"/>
  <c r="I420" i="1" s="1"/>
  <c r="J420" i="1" s="1"/>
  <c r="K420" i="1" s="1"/>
  <c r="L420" i="1" s="1"/>
  <c r="M420" i="1" s="1"/>
  <c r="X419" i="1"/>
  <c r="S419" i="1"/>
  <c r="G419" i="1"/>
  <c r="H419" i="1" s="1"/>
  <c r="I419" i="1" s="1"/>
  <c r="J419" i="1" s="1"/>
  <c r="K419" i="1" s="1"/>
  <c r="L419" i="1" s="1"/>
  <c r="M419" i="1" s="1"/>
  <c r="L416" i="1"/>
  <c r="M416" i="1" s="1"/>
  <c r="L415" i="1"/>
  <c r="M415" i="1" s="1"/>
  <c r="L414" i="1"/>
  <c r="M414" i="1" s="1"/>
  <c r="L413" i="1"/>
  <c r="M413" i="1" s="1"/>
  <c r="L412" i="1"/>
  <c r="X403" i="1" s="1"/>
  <c r="L411" i="1"/>
  <c r="M411" i="1" s="1"/>
  <c r="L410" i="1"/>
  <c r="M410" i="1" s="1"/>
  <c r="L409" i="1"/>
  <c r="M409" i="1" s="1"/>
  <c r="L408" i="1"/>
  <c r="U403" i="1" s="1"/>
  <c r="K407" i="1"/>
  <c r="J407" i="1"/>
  <c r="I407" i="1"/>
  <c r="H407" i="1"/>
  <c r="G407" i="1"/>
  <c r="K405" i="1"/>
  <c r="J405" i="1"/>
  <c r="I405" i="1"/>
  <c r="H405" i="1"/>
  <c r="G405" i="1"/>
  <c r="G404" i="1"/>
  <c r="H404" i="1" s="1"/>
  <c r="I404" i="1" s="1"/>
  <c r="J404" i="1" s="1"/>
  <c r="K404" i="1" s="1"/>
  <c r="L404" i="1" s="1"/>
  <c r="M404" i="1" s="1"/>
  <c r="S403" i="1"/>
  <c r="G403" i="1"/>
  <c r="H403" i="1" s="1"/>
  <c r="I403" i="1" s="1"/>
  <c r="J403" i="1" s="1"/>
  <c r="K403" i="1" s="1"/>
  <c r="L403" i="1" s="1"/>
  <c r="M403" i="1" s="1"/>
  <c r="L400" i="1"/>
  <c r="M400" i="1" s="1"/>
  <c r="L399" i="1"/>
  <c r="M399" i="1" s="1"/>
  <c r="L398" i="1"/>
  <c r="M398" i="1" s="1"/>
  <c r="M397" i="1"/>
  <c r="L397" i="1"/>
  <c r="L396" i="1"/>
  <c r="M396" i="1" s="1"/>
  <c r="L395" i="1"/>
  <c r="L394" i="1"/>
  <c r="M394" i="1" s="1"/>
  <c r="L393" i="1"/>
  <c r="M393" i="1" s="1"/>
  <c r="L392" i="1"/>
  <c r="K391" i="1"/>
  <c r="J391" i="1"/>
  <c r="I391" i="1"/>
  <c r="H391" i="1"/>
  <c r="G391" i="1"/>
  <c r="K389" i="1"/>
  <c r="J389" i="1"/>
  <c r="I389" i="1"/>
  <c r="H389" i="1"/>
  <c r="G389" i="1"/>
  <c r="G388" i="1"/>
  <c r="H388" i="1" s="1"/>
  <c r="I388" i="1" s="1"/>
  <c r="J388" i="1" s="1"/>
  <c r="K388" i="1" s="1"/>
  <c r="L388" i="1" s="1"/>
  <c r="M388" i="1" s="1"/>
  <c r="X387" i="1"/>
  <c r="W387" i="1"/>
  <c r="S387" i="1"/>
  <c r="G387" i="1"/>
  <c r="H387" i="1" s="1"/>
  <c r="I387" i="1" s="1"/>
  <c r="J387" i="1" s="1"/>
  <c r="K387" i="1" s="1"/>
  <c r="L387" i="1" s="1"/>
  <c r="M387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L378" i="1"/>
  <c r="M378" i="1" s="1"/>
  <c r="L377" i="1"/>
  <c r="L376" i="1"/>
  <c r="K375" i="1"/>
  <c r="J375" i="1"/>
  <c r="I375" i="1"/>
  <c r="H375" i="1"/>
  <c r="G375" i="1"/>
  <c r="K373" i="1"/>
  <c r="J373" i="1"/>
  <c r="I373" i="1"/>
  <c r="H373" i="1"/>
  <c r="G373" i="1"/>
  <c r="G372" i="1"/>
  <c r="H372" i="1" s="1"/>
  <c r="I372" i="1" s="1"/>
  <c r="J372" i="1" s="1"/>
  <c r="K372" i="1" s="1"/>
  <c r="L372" i="1" s="1"/>
  <c r="M372" i="1" s="1"/>
  <c r="X371" i="1"/>
  <c r="S371" i="1"/>
  <c r="G371" i="1"/>
  <c r="H371" i="1" s="1"/>
  <c r="I371" i="1" s="1"/>
  <c r="J371" i="1" s="1"/>
  <c r="K371" i="1" s="1"/>
  <c r="L371" i="1" s="1"/>
  <c r="M371" i="1" s="1"/>
  <c r="L368" i="1"/>
  <c r="M368" i="1" s="1"/>
  <c r="L367" i="1"/>
  <c r="M367" i="1" s="1"/>
  <c r="L366" i="1"/>
  <c r="M366" i="1" s="1"/>
  <c r="M365" i="1"/>
  <c r="L365" i="1"/>
  <c r="L364" i="1"/>
  <c r="M364" i="1" s="1"/>
  <c r="L363" i="1"/>
  <c r="L362" i="1"/>
  <c r="M362" i="1" s="1"/>
  <c r="L361" i="1"/>
  <c r="L360" i="1"/>
  <c r="K359" i="1"/>
  <c r="J359" i="1"/>
  <c r="I359" i="1"/>
  <c r="H359" i="1"/>
  <c r="G359" i="1"/>
  <c r="K357" i="1"/>
  <c r="J357" i="1"/>
  <c r="I357" i="1"/>
  <c r="H357" i="1"/>
  <c r="G357" i="1"/>
  <c r="G356" i="1"/>
  <c r="H356" i="1" s="1"/>
  <c r="I356" i="1" s="1"/>
  <c r="J356" i="1" s="1"/>
  <c r="K356" i="1" s="1"/>
  <c r="L356" i="1" s="1"/>
  <c r="M356" i="1" s="1"/>
  <c r="X355" i="1"/>
  <c r="W355" i="1"/>
  <c r="S355" i="1"/>
  <c r="G355" i="1"/>
  <c r="H355" i="1" s="1"/>
  <c r="I355" i="1" s="1"/>
  <c r="J355" i="1" s="1"/>
  <c r="K355" i="1" s="1"/>
  <c r="L355" i="1" s="1"/>
  <c r="M355" i="1" s="1"/>
  <c r="L352" i="1"/>
  <c r="M352" i="1" s="1"/>
  <c r="M351" i="1"/>
  <c r="L351" i="1"/>
  <c r="L350" i="1"/>
  <c r="W339" i="1" s="1"/>
  <c r="L349" i="1"/>
  <c r="M349" i="1" s="1"/>
  <c r="L348" i="1"/>
  <c r="X339" i="1" s="1"/>
  <c r="L347" i="1"/>
  <c r="M347" i="1" s="1"/>
  <c r="L346" i="1"/>
  <c r="M346" i="1" s="1"/>
  <c r="L345" i="1"/>
  <c r="M345" i="1" s="1"/>
  <c r="L344" i="1"/>
  <c r="K343" i="1"/>
  <c r="J343" i="1"/>
  <c r="I343" i="1"/>
  <c r="H343" i="1"/>
  <c r="G343" i="1"/>
  <c r="K341" i="1"/>
  <c r="J341" i="1"/>
  <c r="I341" i="1"/>
  <c r="H341" i="1"/>
  <c r="G341" i="1"/>
  <c r="G340" i="1"/>
  <c r="H340" i="1" s="1"/>
  <c r="I340" i="1" s="1"/>
  <c r="J340" i="1" s="1"/>
  <c r="K340" i="1" s="1"/>
  <c r="L340" i="1" s="1"/>
  <c r="M340" i="1" s="1"/>
  <c r="U339" i="1"/>
  <c r="S339" i="1"/>
  <c r="G339" i="1"/>
  <c r="H339" i="1" s="1"/>
  <c r="I339" i="1" s="1"/>
  <c r="J339" i="1" s="1"/>
  <c r="K339" i="1" s="1"/>
  <c r="L339" i="1" s="1"/>
  <c r="M339" i="1" s="1"/>
  <c r="L336" i="1"/>
  <c r="M336" i="1" s="1"/>
  <c r="L335" i="1"/>
  <c r="M335" i="1" s="1"/>
  <c r="L334" i="1"/>
  <c r="W323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K327" i="1"/>
  <c r="J327" i="1"/>
  <c r="I327" i="1"/>
  <c r="H327" i="1"/>
  <c r="G327" i="1"/>
  <c r="K325" i="1"/>
  <c r="J325" i="1"/>
  <c r="I325" i="1"/>
  <c r="H325" i="1"/>
  <c r="G325" i="1"/>
  <c r="G324" i="1"/>
  <c r="H324" i="1" s="1"/>
  <c r="I324" i="1" s="1"/>
  <c r="J324" i="1" s="1"/>
  <c r="K324" i="1" s="1"/>
  <c r="L324" i="1" s="1"/>
  <c r="M324" i="1" s="1"/>
  <c r="X323" i="1"/>
  <c r="S323" i="1"/>
  <c r="G323" i="1"/>
  <c r="H323" i="1" s="1"/>
  <c r="I323" i="1" s="1"/>
  <c r="J323" i="1" s="1"/>
  <c r="K323" i="1" s="1"/>
  <c r="L323" i="1" s="1"/>
  <c r="M323" i="1" s="1"/>
  <c r="L320" i="1"/>
  <c r="M320" i="1" s="1"/>
  <c r="L319" i="1"/>
  <c r="M319" i="1" s="1"/>
  <c r="L318" i="1"/>
  <c r="M318" i="1" s="1"/>
  <c r="M317" i="1"/>
  <c r="L317" i="1"/>
  <c r="L316" i="1"/>
  <c r="M316" i="1" s="1"/>
  <c r="L315" i="1"/>
  <c r="M315" i="1" s="1"/>
  <c r="L314" i="1"/>
  <c r="M314" i="1" s="1"/>
  <c r="M313" i="1"/>
  <c r="L313" i="1"/>
  <c r="L312" i="1"/>
  <c r="K311" i="1"/>
  <c r="J311" i="1"/>
  <c r="I311" i="1"/>
  <c r="H311" i="1"/>
  <c r="G311" i="1"/>
  <c r="K309" i="1"/>
  <c r="J309" i="1"/>
  <c r="I309" i="1"/>
  <c r="H309" i="1"/>
  <c r="G309" i="1"/>
  <c r="G308" i="1"/>
  <c r="H308" i="1" s="1"/>
  <c r="I308" i="1" s="1"/>
  <c r="J308" i="1" s="1"/>
  <c r="K308" i="1" s="1"/>
  <c r="L308" i="1" s="1"/>
  <c r="M308" i="1" s="1"/>
  <c r="U307" i="1"/>
  <c r="S307" i="1"/>
  <c r="G307" i="1"/>
  <c r="H307" i="1" s="1"/>
  <c r="I307" i="1" s="1"/>
  <c r="J307" i="1" s="1"/>
  <c r="K307" i="1" s="1"/>
  <c r="L307" i="1" s="1"/>
  <c r="M307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L297" i="1"/>
  <c r="M297" i="1" s="1"/>
  <c r="L296" i="1"/>
  <c r="K295" i="1"/>
  <c r="J295" i="1"/>
  <c r="I295" i="1"/>
  <c r="H295" i="1"/>
  <c r="G295" i="1"/>
  <c r="K293" i="1"/>
  <c r="J293" i="1"/>
  <c r="I293" i="1"/>
  <c r="H293" i="1"/>
  <c r="G293" i="1"/>
  <c r="G292" i="1"/>
  <c r="H292" i="1" s="1"/>
  <c r="I292" i="1" s="1"/>
  <c r="J292" i="1" s="1"/>
  <c r="K292" i="1" s="1"/>
  <c r="L292" i="1" s="1"/>
  <c r="M292" i="1" s="1"/>
  <c r="X291" i="1"/>
  <c r="S291" i="1"/>
  <c r="G291" i="1"/>
  <c r="H291" i="1" s="1"/>
  <c r="I291" i="1" s="1"/>
  <c r="J291" i="1" s="1"/>
  <c r="K291" i="1" s="1"/>
  <c r="L291" i="1" s="1"/>
  <c r="M291" i="1" s="1"/>
  <c r="L288" i="1"/>
  <c r="M288" i="1" s="1"/>
  <c r="L287" i="1"/>
  <c r="M287" i="1" s="1"/>
  <c r="L286" i="1"/>
  <c r="W275" i="1" s="1"/>
  <c r="L285" i="1"/>
  <c r="M285" i="1" s="1"/>
  <c r="L284" i="1"/>
  <c r="X275" i="1" s="1"/>
  <c r="L283" i="1"/>
  <c r="M283" i="1" s="1"/>
  <c r="L282" i="1"/>
  <c r="M282" i="1" s="1"/>
  <c r="L281" i="1"/>
  <c r="M281" i="1" s="1"/>
  <c r="L280" i="1"/>
  <c r="K279" i="1"/>
  <c r="J279" i="1"/>
  <c r="I279" i="1"/>
  <c r="H279" i="1"/>
  <c r="G279" i="1"/>
  <c r="K277" i="1"/>
  <c r="J277" i="1"/>
  <c r="I277" i="1"/>
  <c r="H277" i="1"/>
  <c r="G277" i="1"/>
  <c r="G276" i="1"/>
  <c r="H276" i="1" s="1"/>
  <c r="I276" i="1" s="1"/>
  <c r="J276" i="1" s="1"/>
  <c r="K276" i="1" s="1"/>
  <c r="L276" i="1" s="1"/>
  <c r="M276" i="1" s="1"/>
  <c r="S275" i="1"/>
  <c r="G275" i="1"/>
  <c r="H275" i="1" s="1"/>
  <c r="I275" i="1" s="1"/>
  <c r="J275" i="1" s="1"/>
  <c r="K275" i="1" s="1"/>
  <c r="L275" i="1" s="1"/>
  <c r="M275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U259" i="1" s="1"/>
  <c r="K263" i="1"/>
  <c r="J263" i="1"/>
  <c r="I263" i="1"/>
  <c r="H263" i="1"/>
  <c r="G263" i="1"/>
  <c r="K261" i="1"/>
  <c r="J261" i="1"/>
  <c r="I261" i="1"/>
  <c r="H261" i="1"/>
  <c r="G261" i="1"/>
  <c r="G260" i="1"/>
  <c r="H260" i="1" s="1"/>
  <c r="I260" i="1" s="1"/>
  <c r="J260" i="1" s="1"/>
  <c r="K260" i="1" s="1"/>
  <c r="L260" i="1" s="1"/>
  <c r="M260" i="1" s="1"/>
  <c r="X259" i="1"/>
  <c r="W259" i="1"/>
  <c r="S259" i="1"/>
  <c r="G259" i="1"/>
  <c r="H259" i="1" s="1"/>
  <c r="I259" i="1" s="1"/>
  <c r="J259" i="1" s="1"/>
  <c r="K259" i="1" s="1"/>
  <c r="L259" i="1" s="1"/>
  <c r="M259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M250" i="1"/>
  <c r="L250" i="1"/>
  <c r="V243" i="1" s="1"/>
  <c r="L249" i="1"/>
  <c r="M249" i="1" s="1"/>
  <c r="L248" i="1"/>
  <c r="K247" i="1"/>
  <c r="J247" i="1"/>
  <c r="I247" i="1"/>
  <c r="H247" i="1"/>
  <c r="G247" i="1"/>
  <c r="K245" i="1"/>
  <c r="J245" i="1"/>
  <c r="I245" i="1"/>
  <c r="H245" i="1"/>
  <c r="G245" i="1"/>
  <c r="G244" i="1"/>
  <c r="H244" i="1" s="1"/>
  <c r="I244" i="1" s="1"/>
  <c r="J244" i="1" s="1"/>
  <c r="K244" i="1" s="1"/>
  <c r="L244" i="1" s="1"/>
  <c r="M244" i="1" s="1"/>
  <c r="W243" i="1"/>
  <c r="U243" i="1"/>
  <c r="S243" i="1"/>
  <c r="G243" i="1"/>
  <c r="H243" i="1" s="1"/>
  <c r="I243" i="1" s="1"/>
  <c r="J243" i="1" s="1"/>
  <c r="K243" i="1" s="1"/>
  <c r="L243" i="1" s="1"/>
  <c r="M243" i="1" s="1"/>
  <c r="L240" i="1"/>
  <c r="M240" i="1" s="1"/>
  <c r="L239" i="1"/>
  <c r="M239" i="1" s="1"/>
  <c r="L238" i="1"/>
  <c r="L237" i="1"/>
  <c r="M237" i="1" s="1"/>
  <c r="L236" i="1"/>
  <c r="X227" i="1" s="1"/>
  <c r="L235" i="1"/>
  <c r="M235" i="1" s="1"/>
  <c r="L234" i="1"/>
  <c r="M234" i="1" s="1"/>
  <c r="L233" i="1"/>
  <c r="M233" i="1" s="1"/>
  <c r="M232" i="1"/>
  <c r="L232" i="1"/>
  <c r="K231" i="1"/>
  <c r="J231" i="1"/>
  <c r="I231" i="1"/>
  <c r="H231" i="1"/>
  <c r="G231" i="1"/>
  <c r="K229" i="1"/>
  <c r="J229" i="1"/>
  <c r="I229" i="1"/>
  <c r="H229" i="1"/>
  <c r="G229" i="1"/>
  <c r="G228" i="1"/>
  <c r="H228" i="1" s="1"/>
  <c r="I228" i="1" s="1"/>
  <c r="J228" i="1" s="1"/>
  <c r="K228" i="1" s="1"/>
  <c r="L228" i="1" s="1"/>
  <c r="M228" i="1" s="1"/>
  <c r="S227" i="1"/>
  <c r="G227" i="1"/>
  <c r="H227" i="1" s="1"/>
  <c r="I227" i="1" s="1"/>
  <c r="J227" i="1" s="1"/>
  <c r="K227" i="1" s="1"/>
  <c r="L227" i="1" s="1"/>
  <c r="M227" i="1" s="1"/>
  <c r="L224" i="1"/>
  <c r="M224" i="1" s="1"/>
  <c r="L223" i="1"/>
  <c r="M223" i="1" s="1"/>
  <c r="L222" i="1"/>
  <c r="W211" i="1" s="1"/>
  <c r="L221" i="1"/>
  <c r="M221" i="1" s="1"/>
  <c r="L220" i="1"/>
  <c r="M220" i="1" s="1"/>
  <c r="L219" i="1"/>
  <c r="M219" i="1" s="1"/>
  <c r="L218" i="1"/>
  <c r="L217" i="1"/>
  <c r="M217" i="1" s="1"/>
  <c r="L216" i="1"/>
  <c r="K215" i="1"/>
  <c r="J215" i="1"/>
  <c r="I215" i="1"/>
  <c r="H215" i="1"/>
  <c r="G215" i="1"/>
  <c r="K213" i="1"/>
  <c r="J213" i="1"/>
  <c r="I213" i="1"/>
  <c r="H213" i="1"/>
  <c r="G213" i="1"/>
  <c r="G212" i="1"/>
  <c r="H212" i="1" s="1"/>
  <c r="I212" i="1" s="1"/>
  <c r="J212" i="1" s="1"/>
  <c r="K212" i="1" s="1"/>
  <c r="L212" i="1" s="1"/>
  <c r="M212" i="1" s="1"/>
  <c r="S211" i="1"/>
  <c r="G211" i="1"/>
  <c r="H211" i="1" s="1"/>
  <c r="I211" i="1" s="1"/>
  <c r="J211" i="1" s="1"/>
  <c r="K211" i="1" s="1"/>
  <c r="L211" i="1" s="1"/>
  <c r="M211" i="1" s="1"/>
  <c r="L208" i="1"/>
  <c r="M208" i="1" s="1"/>
  <c r="L207" i="1"/>
  <c r="M207" i="1" s="1"/>
  <c r="L206" i="1"/>
  <c r="W195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K199" i="1"/>
  <c r="J199" i="1"/>
  <c r="I199" i="1"/>
  <c r="H199" i="1"/>
  <c r="G199" i="1"/>
  <c r="K197" i="1"/>
  <c r="J197" i="1"/>
  <c r="I197" i="1"/>
  <c r="H197" i="1"/>
  <c r="G197" i="1"/>
  <c r="G196" i="1"/>
  <c r="H196" i="1" s="1"/>
  <c r="I196" i="1" s="1"/>
  <c r="J196" i="1" s="1"/>
  <c r="K196" i="1" s="1"/>
  <c r="L196" i="1" s="1"/>
  <c r="M196" i="1" s="1"/>
  <c r="X195" i="1"/>
  <c r="S195" i="1"/>
  <c r="G195" i="1"/>
  <c r="H195" i="1" s="1"/>
  <c r="I195" i="1" s="1"/>
  <c r="J195" i="1" s="1"/>
  <c r="K195" i="1" s="1"/>
  <c r="L195" i="1" s="1"/>
  <c r="M195" i="1" s="1"/>
  <c r="L192" i="1"/>
  <c r="M192" i="1" s="1"/>
  <c r="L191" i="1"/>
  <c r="M191" i="1" s="1"/>
  <c r="L190" i="1"/>
  <c r="W179" i="1" s="1"/>
  <c r="L189" i="1"/>
  <c r="M189" i="1" s="1"/>
  <c r="L188" i="1"/>
  <c r="M188" i="1" s="1"/>
  <c r="L187" i="1"/>
  <c r="M187" i="1" s="1"/>
  <c r="L186" i="1"/>
  <c r="M186" i="1" s="1"/>
  <c r="M185" i="1"/>
  <c r="L185" i="1"/>
  <c r="L184" i="1"/>
  <c r="L183" i="1" s="1"/>
  <c r="K183" i="1"/>
  <c r="J183" i="1"/>
  <c r="I183" i="1"/>
  <c r="H183" i="1"/>
  <c r="G183" i="1"/>
  <c r="K181" i="1"/>
  <c r="J181" i="1"/>
  <c r="I181" i="1"/>
  <c r="H181" i="1"/>
  <c r="G181" i="1"/>
  <c r="G180" i="1"/>
  <c r="H180" i="1" s="1"/>
  <c r="I180" i="1" s="1"/>
  <c r="J180" i="1" s="1"/>
  <c r="K180" i="1" s="1"/>
  <c r="L180" i="1" s="1"/>
  <c r="M180" i="1" s="1"/>
  <c r="V179" i="1"/>
  <c r="S179" i="1"/>
  <c r="G179" i="1"/>
  <c r="H179" i="1" s="1"/>
  <c r="I179" i="1" s="1"/>
  <c r="J179" i="1" s="1"/>
  <c r="K179" i="1" s="1"/>
  <c r="L179" i="1" s="1"/>
  <c r="M179" i="1" s="1"/>
  <c r="L176" i="1"/>
  <c r="M176" i="1" s="1"/>
  <c r="L175" i="1"/>
  <c r="M175" i="1" s="1"/>
  <c r="L174" i="1"/>
  <c r="W163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U163" i="1" s="1"/>
  <c r="K167" i="1"/>
  <c r="J167" i="1"/>
  <c r="I167" i="1"/>
  <c r="H167" i="1"/>
  <c r="G167" i="1"/>
  <c r="K165" i="1"/>
  <c r="J165" i="1"/>
  <c r="I165" i="1"/>
  <c r="H165" i="1"/>
  <c r="G165" i="1"/>
  <c r="G164" i="1"/>
  <c r="H164" i="1" s="1"/>
  <c r="I164" i="1" s="1"/>
  <c r="J164" i="1" s="1"/>
  <c r="K164" i="1" s="1"/>
  <c r="L164" i="1" s="1"/>
  <c r="M164" i="1" s="1"/>
  <c r="X163" i="1"/>
  <c r="S163" i="1"/>
  <c r="G163" i="1"/>
  <c r="H163" i="1" s="1"/>
  <c r="I163" i="1" s="1"/>
  <c r="J163" i="1" s="1"/>
  <c r="K163" i="1" s="1"/>
  <c r="L163" i="1" s="1"/>
  <c r="M163" i="1" s="1"/>
  <c r="L160" i="1"/>
  <c r="M160" i="1" s="1"/>
  <c r="L159" i="1"/>
  <c r="M159" i="1" s="1"/>
  <c r="L158" i="1"/>
  <c r="W147" i="1" s="1"/>
  <c r="L157" i="1"/>
  <c r="M157" i="1" s="1"/>
  <c r="L156" i="1"/>
  <c r="M156" i="1" s="1"/>
  <c r="L155" i="1"/>
  <c r="M155" i="1" s="1"/>
  <c r="L154" i="1"/>
  <c r="L153" i="1"/>
  <c r="M153" i="1" s="1"/>
  <c r="L152" i="1"/>
  <c r="K151" i="1"/>
  <c r="J151" i="1"/>
  <c r="I151" i="1"/>
  <c r="H151" i="1"/>
  <c r="G151" i="1"/>
  <c r="K149" i="1"/>
  <c r="J149" i="1"/>
  <c r="I149" i="1"/>
  <c r="H149" i="1"/>
  <c r="G149" i="1"/>
  <c r="G148" i="1"/>
  <c r="H148" i="1" s="1"/>
  <c r="I148" i="1" s="1"/>
  <c r="J148" i="1" s="1"/>
  <c r="K148" i="1" s="1"/>
  <c r="L148" i="1" s="1"/>
  <c r="M148" i="1" s="1"/>
  <c r="X147" i="1"/>
  <c r="S147" i="1"/>
  <c r="G147" i="1"/>
  <c r="H147" i="1" s="1"/>
  <c r="I147" i="1" s="1"/>
  <c r="J147" i="1" s="1"/>
  <c r="K147" i="1" s="1"/>
  <c r="L147" i="1" s="1"/>
  <c r="M147" i="1" s="1"/>
  <c r="L144" i="1"/>
  <c r="M144" i="1" s="1"/>
  <c r="L143" i="1"/>
  <c r="M143" i="1" s="1"/>
  <c r="L142" i="1"/>
  <c r="M142" i="1" s="1"/>
  <c r="L141" i="1"/>
  <c r="M141" i="1" s="1"/>
  <c r="L140" i="1"/>
  <c r="M140" i="1" s="1"/>
  <c r="M139" i="1"/>
  <c r="L139" i="1"/>
  <c r="L138" i="1"/>
  <c r="M138" i="1" s="1"/>
  <c r="L137" i="1"/>
  <c r="M137" i="1" s="1"/>
  <c r="L136" i="1"/>
  <c r="K135" i="1"/>
  <c r="J135" i="1"/>
  <c r="I135" i="1"/>
  <c r="H135" i="1"/>
  <c r="G135" i="1"/>
  <c r="K133" i="1"/>
  <c r="J133" i="1"/>
  <c r="I133" i="1"/>
  <c r="H133" i="1"/>
  <c r="G133" i="1"/>
  <c r="G132" i="1"/>
  <c r="H132" i="1" s="1"/>
  <c r="I132" i="1" s="1"/>
  <c r="J132" i="1" s="1"/>
  <c r="K132" i="1" s="1"/>
  <c r="L132" i="1" s="1"/>
  <c r="M132" i="1" s="1"/>
  <c r="S131" i="1"/>
  <c r="G131" i="1"/>
  <c r="H131" i="1" s="1"/>
  <c r="I131" i="1" s="1"/>
  <c r="J131" i="1" s="1"/>
  <c r="K131" i="1" s="1"/>
  <c r="L131" i="1" s="1"/>
  <c r="M131" i="1" s="1"/>
  <c r="L128" i="1"/>
  <c r="M128" i="1" s="1"/>
  <c r="L127" i="1"/>
  <c r="M127" i="1" s="1"/>
  <c r="L126" i="1"/>
  <c r="L125" i="1"/>
  <c r="M125" i="1" s="1"/>
  <c r="L124" i="1"/>
  <c r="M124" i="1" s="1"/>
  <c r="L123" i="1"/>
  <c r="L122" i="1"/>
  <c r="M122" i="1" s="1"/>
  <c r="L121" i="1"/>
  <c r="L120" i="1"/>
  <c r="M120" i="1" s="1"/>
  <c r="K119" i="1"/>
  <c r="J119" i="1"/>
  <c r="I119" i="1"/>
  <c r="H119" i="1"/>
  <c r="G119" i="1"/>
  <c r="K117" i="1"/>
  <c r="J117" i="1"/>
  <c r="I117" i="1"/>
  <c r="H117" i="1"/>
  <c r="G117" i="1"/>
  <c r="G116" i="1"/>
  <c r="H116" i="1" s="1"/>
  <c r="I116" i="1" s="1"/>
  <c r="J116" i="1" s="1"/>
  <c r="K116" i="1" s="1"/>
  <c r="L116" i="1" s="1"/>
  <c r="M116" i="1" s="1"/>
  <c r="X115" i="1"/>
  <c r="S115" i="1"/>
  <c r="G115" i="1"/>
  <c r="H115" i="1" s="1"/>
  <c r="I115" i="1" s="1"/>
  <c r="J115" i="1" s="1"/>
  <c r="K115" i="1" s="1"/>
  <c r="L115" i="1" s="1"/>
  <c r="M115" i="1" s="1"/>
  <c r="L112" i="1"/>
  <c r="M112" i="1" s="1"/>
  <c r="L111" i="1"/>
  <c r="M111" i="1" s="1"/>
  <c r="L110" i="1"/>
  <c r="M110" i="1" s="1"/>
  <c r="L109" i="1"/>
  <c r="M109" i="1" s="1"/>
  <c r="L108" i="1"/>
  <c r="X99" i="1" s="1"/>
  <c r="L107" i="1"/>
  <c r="M107" i="1" s="1"/>
  <c r="L106" i="1"/>
  <c r="M106" i="1" s="1"/>
  <c r="L105" i="1"/>
  <c r="M105" i="1" s="1"/>
  <c r="L104" i="1"/>
  <c r="K103" i="1"/>
  <c r="J103" i="1"/>
  <c r="I103" i="1"/>
  <c r="H103" i="1"/>
  <c r="G103" i="1"/>
  <c r="K101" i="1"/>
  <c r="J101" i="1"/>
  <c r="I101" i="1"/>
  <c r="H101" i="1"/>
  <c r="G101" i="1"/>
  <c r="G100" i="1"/>
  <c r="H100" i="1" s="1"/>
  <c r="I100" i="1" s="1"/>
  <c r="J100" i="1" s="1"/>
  <c r="K100" i="1" s="1"/>
  <c r="L100" i="1" s="1"/>
  <c r="M100" i="1" s="1"/>
  <c r="V99" i="1"/>
  <c r="S99" i="1"/>
  <c r="G99" i="1"/>
  <c r="H99" i="1" s="1"/>
  <c r="I99" i="1" s="1"/>
  <c r="J99" i="1" s="1"/>
  <c r="K99" i="1" s="1"/>
  <c r="L99" i="1" s="1"/>
  <c r="M99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L90" i="1"/>
  <c r="M90" i="1" s="1"/>
  <c r="L89" i="1"/>
  <c r="L88" i="1"/>
  <c r="M88" i="1" s="1"/>
  <c r="K87" i="1"/>
  <c r="J87" i="1"/>
  <c r="I87" i="1"/>
  <c r="H87" i="1"/>
  <c r="G87" i="1"/>
  <c r="K85" i="1"/>
  <c r="J85" i="1"/>
  <c r="I85" i="1"/>
  <c r="H85" i="1"/>
  <c r="G85" i="1"/>
  <c r="G84" i="1"/>
  <c r="H84" i="1" s="1"/>
  <c r="I84" i="1" s="1"/>
  <c r="J84" i="1" s="1"/>
  <c r="K84" i="1" s="1"/>
  <c r="L84" i="1" s="1"/>
  <c r="M84" i="1" s="1"/>
  <c r="X83" i="1"/>
  <c r="S83" i="1"/>
  <c r="G83" i="1"/>
  <c r="H83" i="1" s="1"/>
  <c r="I83" i="1" s="1"/>
  <c r="J83" i="1" s="1"/>
  <c r="K83" i="1" s="1"/>
  <c r="L83" i="1" s="1"/>
  <c r="M83" i="1" s="1"/>
  <c r="L80" i="1"/>
  <c r="M80" i="1" s="1"/>
  <c r="L79" i="1"/>
  <c r="M79" i="1" s="1"/>
  <c r="L78" i="1"/>
  <c r="M78" i="1" s="1"/>
  <c r="L77" i="1"/>
  <c r="M77" i="1" s="1"/>
  <c r="L76" i="1"/>
  <c r="X67" i="1" s="1"/>
  <c r="L75" i="1"/>
  <c r="M75" i="1" s="1"/>
  <c r="L74" i="1"/>
  <c r="M74" i="1" s="1"/>
  <c r="L73" i="1"/>
  <c r="M73" i="1" s="1"/>
  <c r="L72" i="1"/>
  <c r="K71" i="1"/>
  <c r="J71" i="1"/>
  <c r="I71" i="1"/>
  <c r="H71" i="1"/>
  <c r="G71" i="1"/>
  <c r="K69" i="1"/>
  <c r="J69" i="1"/>
  <c r="I69" i="1"/>
  <c r="H69" i="1"/>
  <c r="G69" i="1"/>
  <c r="G68" i="1"/>
  <c r="H68" i="1" s="1"/>
  <c r="I68" i="1" s="1"/>
  <c r="J68" i="1" s="1"/>
  <c r="K68" i="1" s="1"/>
  <c r="L68" i="1" s="1"/>
  <c r="M68" i="1" s="1"/>
  <c r="S67" i="1"/>
  <c r="G67" i="1"/>
  <c r="H67" i="1" s="1"/>
  <c r="I67" i="1" s="1"/>
  <c r="J67" i="1" s="1"/>
  <c r="K67" i="1" s="1"/>
  <c r="L67" i="1" s="1"/>
  <c r="M67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L58" i="1"/>
  <c r="M58" i="1" s="1"/>
  <c r="L57" i="1"/>
  <c r="L56" i="1"/>
  <c r="M56" i="1" s="1"/>
  <c r="K55" i="1"/>
  <c r="J55" i="1"/>
  <c r="I55" i="1"/>
  <c r="H55" i="1"/>
  <c r="G55" i="1"/>
  <c r="K53" i="1"/>
  <c r="J53" i="1"/>
  <c r="I53" i="1"/>
  <c r="H53" i="1"/>
  <c r="G53" i="1"/>
  <c r="G52" i="1"/>
  <c r="H52" i="1" s="1"/>
  <c r="I52" i="1" s="1"/>
  <c r="J52" i="1" s="1"/>
  <c r="K52" i="1" s="1"/>
  <c r="L52" i="1" s="1"/>
  <c r="M52" i="1" s="1"/>
  <c r="X51" i="1"/>
  <c r="S51" i="1"/>
  <c r="G51" i="1"/>
  <c r="H51" i="1" s="1"/>
  <c r="I51" i="1" s="1"/>
  <c r="J51" i="1" s="1"/>
  <c r="K51" i="1" s="1"/>
  <c r="L51" i="1" s="1"/>
  <c r="M51" i="1" s="1"/>
  <c r="L48" i="1"/>
  <c r="M48" i="1" s="1"/>
  <c r="L47" i="1"/>
  <c r="M47" i="1" s="1"/>
  <c r="L46" i="1"/>
  <c r="M46" i="1" s="1"/>
  <c r="L45" i="1"/>
  <c r="M45" i="1" s="1"/>
  <c r="L44" i="1"/>
  <c r="X35" i="1" s="1"/>
  <c r="L43" i="1"/>
  <c r="M43" i="1" s="1"/>
  <c r="L42" i="1"/>
  <c r="M42" i="1" s="1"/>
  <c r="L41" i="1"/>
  <c r="M41" i="1" s="1"/>
  <c r="L40" i="1"/>
  <c r="U35" i="1" s="1"/>
  <c r="K39" i="1"/>
  <c r="J39" i="1"/>
  <c r="I39" i="1"/>
  <c r="H39" i="1"/>
  <c r="G39" i="1"/>
  <c r="K37" i="1"/>
  <c r="J37" i="1"/>
  <c r="I37" i="1"/>
  <c r="H37" i="1"/>
  <c r="G37" i="1"/>
  <c r="G36" i="1"/>
  <c r="H36" i="1" s="1"/>
  <c r="I36" i="1" s="1"/>
  <c r="J36" i="1" s="1"/>
  <c r="K36" i="1" s="1"/>
  <c r="L36" i="1" s="1"/>
  <c r="M36" i="1" s="1"/>
  <c r="S35" i="1"/>
  <c r="G35" i="1"/>
  <c r="H35" i="1" s="1"/>
  <c r="I35" i="1" s="1"/>
  <c r="J35" i="1" s="1"/>
  <c r="K35" i="1" s="1"/>
  <c r="L35" i="1" s="1"/>
  <c r="M35" i="1" s="1"/>
  <c r="A35" i="1"/>
  <c r="A51" i="1" s="1"/>
  <c r="A67" i="1" s="1"/>
  <c r="A83" i="1" s="1"/>
  <c r="A99" i="1" s="1"/>
  <c r="A115" i="1" s="1"/>
  <c r="A131" i="1" s="1"/>
  <c r="A147" i="1" s="1"/>
  <c r="A163" i="1" s="1"/>
  <c r="A179" i="1" s="1"/>
  <c r="A195" i="1" s="1"/>
  <c r="A211" i="1" s="1"/>
  <c r="A227" i="1" s="1"/>
  <c r="A243" i="1" s="1"/>
  <c r="A259" i="1" s="1"/>
  <c r="A275" i="1" s="1"/>
  <c r="A291" i="1" s="1"/>
  <c r="A307" i="1" s="1"/>
  <c r="A323" i="1" s="1"/>
  <c r="A339" i="1" s="1"/>
  <c r="A355" i="1" s="1"/>
  <c r="A371" i="1" s="1"/>
  <c r="A387" i="1" s="1"/>
  <c r="A403" i="1" s="1"/>
  <c r="A419" i="1" s="1"/>
  <c r="A435" i="1" s="1"/>
  <c r="A451" i="1" s="1"/>
  <c r="A467" i="1" s="1"/>
  <c r="A483" i="1" s="1"/>
  <c r="A499" i="1" s="1"/>
  <c r="A515" i="1" s="1"/>
  <c r="A531" i="1" s="1"/>
  <c r="A547" i="1" s="1"/>
  <c r="A563" i="1" s="1"/>
  <c r="A579" i="1" s="1"/>
  <c r="A595" i="1" s="1"/>
  <c r="A611" i="1" s="1"/>
  <c r="A627" i="1" s="1"/>
  <c r="A643" i="1" s="1"/>
  <c r="A659" i="1" s="1"/>
  <c r="A675" i="1" s="1"/>
  <c r="A691" i="1" s="1"/>
  <c r="A707" i="1" s="1"/>
  <c r="A723" i="1" s="1"/>
  <c r="A739" i="1" s="1"/>
  <c r="A755" i="1" s="1"/>
  <c r="A771" i="1" s="1"/>
  <c r="A787" i="1" s="1"/>
  <c r="A803" i="1" s="1"/>
  <c r="L32" i="1"/>
  <c r="M32" i="1" s="1"/>
  <c r="L31" i="1"/>
  <c r="M31" i="1" s="1"/>
  <c r="L30" i="1"/>
  <c r="W19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K23" i="1"/>
  <c r="J23" i="1"/>
  <c r="I23" i="1"/>
  <c r="H23" i="1"/>
  <c r="G23" i="1"/>
  <c r="K21" i="1"/>
  <c r="J21" i="1"/>
  <c r="I21" i="1"/>
  <c r="H21" i="1"/>
  <c r="G21" i="1"/>
  <c r="G20" i="1"/>
  <c r="H20" i="1" s="1"/>
  <c r="I20" i="1" s="1"/>
  <c r="J20" i="1" s="1"/>
  <c r="K20" i="1" s="1"/>
  <c r="L20" i="1" s="1"/>
  <c r="M20" i="1" s="1"/>
  <c r="C20" i="1"/>
  <c r="C36" i="1" s="1"/>
  <c r="C52" i="1" s="1"/>
  <c r="C68" i="1" s="1"/>
  <c r="C84" i="1" s="1"/>
  <c r="C100" i="1" s="1"/>
  <c r="C116" i="1" s="1"/>
  <c r="C132" i="1" s="1"/>
  <c r="C148" i="1" s="1"/>
  <c r="C164" i="1" s="1"/>
  <c r="C180" i="1" s="1"/>
  <c r="C196" i="1" s="1"/>
  <c r="C212" i="1" s="1"/>
  <c r="C228" i="1" s="1"/>
  <c r="C244" i="1" s="1"/>
  <c r="C260" i="1" s="1"/>
  <c r="C276" i="1" s="1"/>
  <c r="C292" i="1" s="1"/>
  <c r="C308" i="1" s="1"/>
  <c r="C324" i="1" s="1"/>
  <c r="C340" i="1" s="1"/>
  <c r="C356" i="1" s="1"/>
  <c r="C372" i="1" s="1"/>
  <c r="C388" i="1" s="1"/>
  <c r="C404" i="1" s="1"/>
  <c r="C420" i="1" s="1"/>
  <c r="C436" i="1" s="1"/>
  <c r="C452" i="1" s="1"/>
  <c r="C468" i="1" s="1"/>
  <c r="C484" i="1" s="1"/>
  <c r="C500" i="1" s="1"/>
  <c r="C516" i="1" s="1"/>
  <c r="C532" i="1" s="1"/>
  <c r="C548" i="1" s="1"/>
  <c r="C564" i="1" s="1"/>
  <c r="C580" i="1" s="1"/>
  <c r="C596" i="1" s="1"/>
  <c r="C612" i="1" s="1"/>
  <c r="C628" i="1" s="1"/>
  <c r="C644" i="1" s="1"/>
  <c r="C660" i="1" s="1"/>
  <c r="C676" i="1" s="1"/>
  <c r="C692" i="1" s="1"/>
  <c r="C708" i="1" s="1"/>
  <c r="C724" i="1" s="1"/>
  <c r="C740" i="1" s="1"/>
  <c r="C756" i="1" s="1"/>
  <c r="C772" i="1" s="1"/>
  <c r="C788" i="1" s="1"/>
  <c r="C804" i="1" s="1"/>
  <c r="X19" i="1"/>
  <c r="S19" i="1"/>
  <c r="G19" i="1"/>
  <c r="H19" i="1" s="1"/>
  <c r="I19" i="1" s="1"/>
  <c r="J19" i="1" s="1"/>
  <c r="K19" i="1" s="1"/>
  <c r="L19" i="1" s="1"/>
  <c r="M19" i="1" s="1"/>
  <c r="H4" i="1"/>
  <c r="I4" i="1" s="1"/>
  <c r="J4" i="1" s="1"/>
  <c r="K4" i="1" s="1"/>
  <c r="L4" i="1" s="1"/>
  <c r="M4" i="1" s="1"/>
  <c r="S3" i="1"/>
  <c r="H3" i="1"/>
  <c r="I3" i="1" s="1"/>
  <c r="J3" i="1" s="1"/>
  <c r="K3" i="1" s="1"/>
  <c r="L3" i="1" s="1"/>
  <c r="M3" i="1" s="1"/>
  <c r="X1" i="1"/>
  <c r="T1" i="1"/>
  <c r="L615" i="12" l="1"/>
  <c r="M494" i="12"/>
  <c r="U467" i="12"/>
  <c r="U403" i="12"/>
  <c r="M382" i="12"/>
  <c r="U291" i="12"/>
  <c r="U275" i="12"/>
  <c r="V243" i="12"/>
  <c r="V99" i="12"/>
  <c r="L15" i="12"/>
  <c r="M15" i="12" s="1"/>
  <c r="V67" i="12"/>
  <c r="L71" i="12"/>
  <c r="M62" i="12"/>
  <c r="V19" i="12"/>
  <c r="L103" i="12"/>
  <c r="U499" i="12"/>
  <c r="U691" i="12"/>
  <c r="M446" i="12"/>
  <c r="U435" i="12"/>
  <c r="T67" i="12"/>
  <c r="M71" i="12"/>
  <c r="M72" i="12"/>
  <c r="U67" i="12"/>
  <c r="U531" i="12"/>
  <c r="L812" i="13"/>
  <c r="X803" i="13" s="1"/>
  <c r="J663" i="13"/>
  <c r="K679" i="13"/>
  <c r="L684" i="13"/>
  <c r="X675" i="13" s="1"/>
  <c r="L686" i="13"/>
  <c r="M686" i="13" s="1"/>
  <c r="L687" i="13"/>
  <c r="L688" i="13"/>
  <c r="L703" i="13"/>
  <c r="M703" i="13" s="1"/>
  <c r="L717" i="13"/>
  <c r="L720" i="13"/>
  <c r="L728" i="13"/>
  <c r="H727" i="13"/>
  <c r="L733" i="13"/>
  <c r="M733" i="13" s="1"/>
  <c r="K743" i="13"/>
  <c r="J743" i="13"/>
  <c r="L747" i="13"/>
  <c r="M747" i="13" s="1"/>
  <c r="L748" i="13"/>
  <c r="X739" i="13" s="1"/>
  <c r="L750" i="13"/>
  <c r="L751" i="13"/>
  <c r="M751" i="13" s="1"/>
  <c r="L752" i="13"/>
  <c r="M752" i="13" s="1"/>
  <c r="L763" i="13"/>
  <c r="M763" i="13" s="1"/>
  <c r="L766" i="13"/>
  <c r="W755" i="13" s="1"/>
  <c r="L767" i="13"/>
  <c r="L777" i="13"/>
  <c r="U771" i="13" s="1"/>
  <c r="K791" i="13"/>
  <c r="L816" i="13"/>
  <c r="V579" i="12"/>
  <c r="U259" i="12"/>
  <c r="U211" i="12"/>
  <c r="L712" i="13"/>
  <c r="M712" i="13" s="1"/>
  <c r="L683" i="13"/>
  <c r="L680" i="13"/>
  <c r="L679" i="13" s="1"/>
  <c r="T675" i="13" s="1"/>
  <c r="V659" i="12"/>
  <c r="L647" i="12"/>
  <c r="V627" i="12"/>
  <c r="M414" i="12"/>
  <c r="M366" i="12"/>
  <c r="U355" i="12"/>
  <c r="M348" i="12"/>
  <c r="M318" i="12"/>
  <c r="M188" i="12"/>
  <c r="U163" i="12"/>
  <c r="V51" i="12"/>
  <c r="L14" i="12"/>
  <c r="M14" i="12" s="1"/>
  <c r="M46" i="12"/>
  <c r="M667" i="13"/>
  <c r="M815" i="13"/>
  <c r="U99" i="7"/>
  <c r="M105" i="7"/>
  <c r="L648" i="13"/>
  <c r="H647" i="13"/>
  <c r="L652" i="13"/>
  <c r="X643" i="13" s="1"/>
  <c r="X611" i="7"/>
  <c r="X515" i="7"/>
  <c r="X387" i="7"/>
  <c r="U259" i="7"/>
  <c r="U227" i="7"/>
  <c r="X211" i="7"/>
  <c r="H7" i="7"/>
  <c r="J7" i="7"/>
  <c r="L13" i="7"/>
  <c r="M13" i="7" s="1"/>
  <c r="U467" i="6"/>
  <c r="M444" i="6"/>
  <c r="M412" i="6"/>
  <c r="M396" i="6"/>
  <c r="M380" i="6"/>
  <c r="U355" i="6"/>
  <c r="M364" i="6"/>
  <c r="V355" i="6"/>
  <c r="M348" i="6"/>
  <c r="M332" i="6"/>
  <c r="L327" i="6"/>
  <c r="M316" i="6"/>
  <c r="M300" i="6"/>
  <c r="M268" i="6"/>
  <c r="I7" i="6"/>
  <c r="L10" i="6"/>
  <c r="M10" i="6" s="1"/>
  <c r="L14" i="6"/>
  <c r="W3" i="6" s="1"/>
  <c r="M56" i="6"/>
  <c r="M58" i="6"/>
  <c r="H7" i="6"/>
  <c r="M74" i="5"/>
  <c r="M633" i="5"/>
  <c r="U611" i="5"/>
  <c r="L624" i="13"/>
  <c r="U579" i="5"/>
  <c r="L528" i="13"/>
  <c r="M528" i="13" s="1"/>
  <c r="X499" i="5"/>
  <c r="H487" i="13"/>
  <c r="L489" i="13"/>
  <c r="M489" i="13" s="1"/>
  <c r="K487" i="13"/>
  <c r="L490" i="13"/>
  <c r="M490" i="13" s="1"/>
  <c r="L491" i="13"/>
  <c r="M491" i="13" s="1"/>
  <c r="L492" i="13"/>
  <c r="L493" i="13"/>
  <c r="M493" i="13" s="1"/>
  <c r="L494" i="13"/>
  <c r="M494" i="13" s="1"/>
  <c r="L495" i="13"/>
  <c r="M495" i="13" s="1"/>
  <c r="U403" i="5"/>
  <c r="L393" i="13"/>
  <c r="M393" i="13" s="1"/>
  <c r="H391" i="13"/>
  <c r="L395" i="13"/>
  <c r="M395" i="13" s="1"/>
  <c r="L396" i="13"/>
  <c r="M396" i="13" s="1"/>
  <c r="L397" i="13"/>
  <c r="M397" i="13" s="1"/>
  <c r="L398" i="13"/>
  <c r="M398" i="13" s="1"/>
  <c r="L399" i="13"/>
  <c r="M399" i="13" s="1"/>
  <c r="L400" i="13"/>
  <c r="M400" i="13" s="1"/>
  <c r="U275" i="5"/>
  <c r="U147" i="5"/>
  <c r="U131" i="5"/>
  <c r="M126" i="5"/>
  <c r="U115" i="5"/>
  <c r="M104" i="5"/>
  <c r="U99" i="5"/>
  <c r="U83" i="5"/>
  <c r="V83" i="5"/>
  <c r="L87" i="5"/>
  <c r="M87" i="5" s="1"/>
  <c r="U67" i="5"/>
  <c r="M62" i="5"/>
  <c r="U51" i="5"/>
  <c r="M40" i="5"/>
  <c r="U35" i="5"/>
  <c r="I7" i="5"/>
  <c r="L9" i="5"/>
  <c r="M9" i="5" s="1"/>
  <c r="L10" i="5"/>
  <c r="M10" i="5" s="1"/>
  <c r="L13" i="5"/>
  <c r="M13" i="5" s="1"/>
  <c r="L14" i="5"/>
  <c r="W3" i="5" s="1"/>
  <c r="I23" i="13"/>
  <c r="L25" i="13"/>
  <c r="M25" i="13" s="1"/>
  <c r="L26" i="13"/>
  <c r="M26" i="13" s="1"/>
  <c r="L30" i="13"/>
  <c r="M30" i="13" s="1"/>
  <c r="V19" i="5"/>
  <c r="G631" i="13"/>
  <c r="K631" i="13"/>
  <c r="L635" i="13"/>
  <c r="M635" i="13" s="1"/>
  <c r="L639" i="13"/>
  <c r="M639" i="13" s="1"/>
  <c r="M622" i="4"/>
  <c r="L616" i="13"/>
  <c r="M616" i="13" s="1"/>
  <c r="L617" i="13"/>
  <c r="L618" i="13"/>
  <c r="L620" i="13"/>
  <c r="X611" i="13" s="1"/>
  <c r="L621" i="13"/>
  <c r="M621" i="13" s="1"/>
  <c r="L622" i="13"/>
  <c r="M622" i="13" s="1"/>
  <c r="J583" i="13"/>
  <c r="L586" i="13"/>
  <c r="M586" i="13" s="1"/>
  <c r="L590" i="13"/>
  <c r="M590" i="13" s="1"/>
  <c r="L568" i="13"/>
  <c r="M568" i="13" s="1"/>
  <c r="K567" i="13"/>
  <c r="L572" i="13"/>
  <c r="M572" i="13" s="1"/>
  <c r="L573" i="13"/>
  <c r="M573" i="13" s="1"/>
  <c r="L574" i="13"/>
  <c r="M574" i="13" s="1"/>
  <c r="L575" i="13"/>
  <c r="M575" i="13" s="1"/>
  <c r="L576" i="13"/>
  <c r="L552" i="13"/>
  <c r="M552" i="13" s="1"/>
  <c r="L555" i="13"/>
  <c r="L556" i="13"/>
  <c r="M556" i="13" s="1"/>
  <c r="L557" i="13"/>
  <c r="M557" i="13" s="1"/>
  <c r="L559" i="13"/>
  <c r="M559" i="13" s="1"/>
  <c r="L560" i="13"/>
  <c r="M560" i="13" s="1"/>
  <c r="L535" i="4"/>
  <c r="J519" i="13"/>
  <c r="L521" i="13"/>
  <c r="M521" i="13" s="1"/>
  <c r="L522" i="13"/>
  <c r="M522" i="13" s="1"/>
  <c r="L524" i="13"/>
  <c r="L525" i="13"/>
  <c r="M525" i="13" s="1"/>
  <c r="L526" i="13"/>
  <c r="M526" i="13" s="1"/>
  <c r="L527" i="13"/>
  <c r="M527" i="13" s="1"/>
  <c r="L496" i="13"/>
  <c r="M496" i="13" s="1"/>
  <c r="M426" i="4"/>
  <c r="M412" i="4"/>
  <c r="L391" i="4"/>
  <c r="W355" i="4"/>
  <c r="L343" i="4"/>
  <c r="L312" i="13"/>
  <c r="M312" i="13" s="1"/>
  <c r="J311" i="13"/>
  <c r="L316" i="13"/>
  <c r="X307" i="13" s="1"/>
  <c r="L318" i="13"/>
  <c r="W307" i="13" s="1"/>
  <c r="L320" i="13"/>
  <c r="M320" i="13" s="1"/>
  <c r="V291" i="4"/>
  <c r="W275" i="4"/>
  <c r="L264" i="13"/>
  <c r="L266" i="13"/>
  <c r="M266" i="13" s="1"/>
  <c r="L268" i="13"/>
  <c r="X259" i="13" s="1"/>
  <c r="L270" i="13"/>
  <c r="M270" i="13" s="1"/>
  <c r="L272" i="13"/>
  <c r="M272" i="13" s="1"/>
  <c r="L184" i="13"/>
  <c r="M184" i="13" s="1"/>
  <c r="L185" i="13"/>
  <c r="M185" i="13" s="1"/>
  <c r="I183" i="13"/>
  <c r="L187" i="13"/>
  <c r="M187" i="13" s="1"/>
  <c r="L188" i="13"/>
  <c r="X179" i="13" s="1"/>
  <c r="L189" i="13"/>
  <c r="M189" i="13" s="1"/>
  <c r="L190" i="13"/>
  <c r="W179" i="13" s="1"/>
  <c r="L191" i="13"/>
  <c r="M191" i="13" s="1"/>
  <c r="L192" i="13"/>
  <c r="M192" i="13" s="1"/>
  <c r="H167" i="13"/>
  <c r="L169" i="13"/>
  <c r="M169" i="13" s="1"/>
  <c r="K167" i="13"/>
  <c r="L170" i="13"/>
  <c r="M170" i="13" s="1"/>
  <c r="L171" i="13"/>
  <c r="M171" i="13" s="1"/>
  <c r="L172" i="13"/>
  <c r="M172" i="13" s="1"/>
  <c r="L173" i="13"/>
  <c r="M173" i="13" s="1"/>
  <c r="L174" i="13"/>
  <c r="W163" i="13" s="1"/>
  <c r="L175" i="13"/>
  <c r="M175" i="13" s="1"/>
  <c r="L176" i="13"/>
  <c r="M176" i="13" s="1"/>
  <c r="L137" i="13"/>
  <c r="M137" i="13" s="1"/>
  <c r="H135" i="13"/>
  <c r="L139" i="13"/>
  <c r="M139" i="13" s="1"/>
  <c r="L141" i="13"/>
  <c r="M141" i="13" s="1"/>
  <c r="L143" i="13"/>
  <c r="M143" i="13" s="1"/>
  <c r="G119" i="13"/>
  <c r="K119" i="13"/>
  <c r="I87" i="13"/>
  <c r="L89" i="13"/>
  <c r="M89" i="13" s="1"/>
  <c r="K87" i="13"/>
  <c r="L91" i="13"/>
  <c r="M91" i="13" s="1"/>
  <c r="L93" i="13"/>
  <c r="M93" i="13" s="1"/>
  <c r="L94" i="13"/>
  <c r="W83" i="13" s="1"/>
  <c r="L95" i="13"/>
  <c r="M95" i="13" s="1"/>
  <c r="L40" i="13"/>
  <c r="M40" i="13" s="1"/>
  <c r="G39" i="13"/>
  <c r="K39" i="13"/>
  <c r="L42" i="13"/>
  <c r="M42" i="13" s="1"/>
  <c r="L43" i="13"/>
  <c r="M43" i="13" s="1"/>
  <c r="L44" i="13"/>
  <c r="X35" i="13" s="1"/>
  <c r="L45" i="13"/>
  <c r="M45" i="13" s="1"/>
  <c r="L46" i="13"/>
  <c r="M46" i="13" s="1"/>
  <c r="L47" i="13"/>
  <c r="M47" i="13" s="1"/>
  <c r="L48" i="13"/>
  <c r="M48" i="13" s="1"/>
  <c r="H7" i="4"/>
  <c r="J7" i="4"/>
  <c r="L16" i="4"/>
  <c r="M16" i="4" s="1"/>
  <c r="M620" i="3"/>
  <c r="K615" i="13"/>
  <c r="I615" i="13"/>
  <c r="L623" i="13"/>
  <c r="M604" i="3"/>
  <c r="L600" i="13"/>
  <c r="L599" i="13" s="1"/>
  <c r="H599" i="13"/>
  <c r="L602" i="13"/>
  <c r="L604" i="13"/>
  <c r="L608" i="13"/>
  <c r="M608" i="13" s="1"/>
  <c r="M588" i="3"/>
  <c r="M572" i="3"/>
  <c r="J567" i="13"/>
  <c r="H567" i="13"/>
  <c r="M556" i="3"/>
  <c r="G551" i="13"/>
  <c r="K551" i="13"/>
  <c r="L554" i="13"/>
  <c r="L558" i="13"/>
  <c r="M558" i="13" s="1"/>
  <c r="L537" i="13"/>
  <c r="M537" i="13" s="1"/>
  <c r="L539" i="13"/>
  <c r="M539" i="13" s="1"/>
  <c r="L541" i="13"/>
  <c r="M541" i="13" s="1"/>
  <c r="V531" i="3"/>
  <c r="K519" i="13"/>
  <c r="L504" i="13"/>
  <c r="M504" i="13" s="1"/>
  <c r="K503" i="13"/>
  <c r="J503" i="13"/>
  <c r="L506" i="13"/>
  <c r="M506" i="13" s="1"/>
  <c r="H503" i="13"/>
  <c r="L508" i="13"/>
  <c r="X499" i="13" s="1"/>
  <c r="L509" i="13"/>
  <c r="M509" i="13" s="1"/>
  <c r="L510" i="13"/>
  <c r="W499" i="13" s="1"/>
  <c r="L511" i="13"/>
  <c r="M511" i="13" s="1"/>
  <c r="L512" i="13"/>
  <c r="M508" i="3"/>
  <c r="L441" i="13"/>
  <c r="M441" i="13" s="1"/>
  <c r="H439" i="13"/>
  <c r="L445" i="13"/>
  <c r="M445" i="13" s="1"/>
  <c r="L447" i="13"/>
  <c r="M447" i="13" s="1"/>
  <c r="H423" i="13"/>
  <c r="L425" i="13"/>
  <c r="M425" i="13" s="1"/>
  <c r="K423" i="13"/>
  <c r="J423" i="13"/>
  <c r="I423" i="13"/>
  <c r="L428" i="13"/>
  <c r="M428" i="13" s="1"/>
  <c r="L429" i="13"/>
  <c r="M429" i="13" s="1"/>
  <c r="L430" i="13"/>
  <c r="W419" i="13" s="1"/>
  <c r="L431" i="13"/>
  <c r="M431" i="13" s="1"/>
  <c r="L432" i="13"/>
  <c r="M432" i="13" s="1"/>
  <c r="L416" i="13"/>
  <c r="M416" i="13" s="1"/>
  <c r="U403" i="3"/>
  <c r="L410" i="13"/>
  <c r="M410" i="13" s="1"/>
  <c r="L412" i="13"/>
  <c r="M412" i="13" s="1"/>
  <c r="W403" i="3"/>
  <c r="L408" i="13"/>
  <c r="M408" i="13" s="1"/>
  <c r="J407" i="13"/>
  <c r="L414" i="13"/>
  <c r="M414" i="13" s="1"/>
  <c r="K391" i="13"/>
  <c r="I375" i="13"/>
  <c r="U371" i="3"/>
  <c r="L360" i="13"/>
  <c r="L361" i="13"/>
  <c r="M361" i="13" s="1"/>
  <c r="K359" i="13"/>
  <c r="L362" i="13"/>
  <c r="M362" i="13" s="1"/>
  <c r="I359" i="13"/>
  <c r="L364" i="13"/>
  <c r="X355" i="13" s="1"/>
  <c r="L365" i="13"/>
  <c r="M365" i="13" s="1"/>
  <c r="L366" i="13"/>
  <c r="W355" i="13" s="1"/>
  <c r="L367" i="13"/>
  <c r="M367" i="13" s="1"/>
  <c r="L368" i="13"/>
  <c r="M368" i="13" s="1"/>
  <c r="U339" i="3"/>
  <c r="G343" i="13"/>
  <c r="K343" i="13"/>
  <c r="L296" i="13"/>
  <c r="M296" i="13" s="1"/>
  <c r="G295" i="13"/>
  <c r="K295" i="13"/>
  <c r="L298" i="13"/>
  <c r="I295" i="13"/>
  <c r="L300" i="13"/>
  <c r="X291" i="13" s="1"/>
  <c r="L301" i="13"/>
  <c r="M301" i="13" s="1"/>
  <c r="L302" i="13"/>
  <c r="M302" i="13" s="1"/>
  <c r="L303" i="13"/>
  <c r="M303" i="13" s="1"/>
  <c r="L304" i="13"/>
  <c r="M304" i="13" s="1"/>
  <c r="I279" i="13"/>
  <c r="L281" i="13"/>
  <c r="M281" i="13" s="1"/>
  <c r="K279" i="13"/>
  <c r="L283" i="13"/>
  <c r="M283" i="13" s="1"/>
  <c r="L284" i="13"/>
  <c r="M284" i="13" s="1"/>
  <c r="L285" i="13"/>
  <c r="M285" i="13" s="1"/>
  <c r="L286" i="13"/>
  <c r="M286" i="13" s="1"/>
  <c r="L287" i="13"/>
  <c r="M287" i="13" s="1"/>
  <c r="L288" i="13"/>
  <c r="M288" i="13" s="1"/>
  <c r="G247" i="13"/>
  <c r="K247" i="13"/>
  <c r="H231" i="13"/>
  <c r="L233" i="13"/>
  <c r="M233" i="13" s="1"/>
  <c r="K231" i="13"/>
  <c r="L234" i="13"/>
  <c r="L235" i="13"/>
  <c r="M235" i="13" s="1"/>
  <c r="L236" i="13"/>
  <c r="L237" i="13"/>
  <c r="M237" i="13" s="1"/>
  <c r="L238" i="13"/>
  <c r="W227" i="13" s="1"/>
  <c r="L239" i="13"/>
  <c r="M239" i="13" s="1"/>
  <c r="L240" i="13"/>
  <c r="M240" i="13" s="1"/>
  <c r="L215" i="3"/>
  <c r="M215" i="3" s="1"/>
  <c r="I215" i="13"/>
  <c r="L218" i="13"/>
  <c r="L219" i="13"/>
  <c r="M219" i="13" s="1"/>
  <c r="L220" i="13"/>
  <c r="M220" i="13" s="1"/>
  <c r="L221" i="13"/>
  <c r="M221" i="13" s="1"/>
  <c r="L222" i="13"/>
  <c r="W211" i="13" s="1"/>
  <c r="L224" i="13"/>
  <c r="M224" i="13" s="1"/>
  <c r="G199" i="13"/>
  <c r="K199" i="13"/>
  <c r="V195" i="3"/>
  <c r="V179" i="3"/>
  <c r="L183" i="3"/>
  <c r="M183" i="3" s="1"/>
  <c r="I151" i="13"/>
  <c r="U115" i="3"/>
  <c r="H103" i="13"/>
  <c r="L105" i="13"/>
  <c r="M105" i="13" s="1"/>
  <c r="K103" i="13"/>
  <c r="L106" i="13"/>
  <c r="M106" i="13" s="1"/>
  <c r="I103" i="13"/>
  <c r="L108" i="13"/>
  <c r="X99" i="13" s="1"/>
  <c r="L109" i="13"/>
  <c r="M109" i="13" s="1"/>
  <c r="L111" i="13"/>
  <c r="M111" i="13" s="1"/>
  <c r="L73" i="13"/>
  <c r="M73" i="13" s="1"/>
  <c r="H71" i="13"/>
  <c r="L75" i="13"/>
  <c r="M75" i="13" s="1"/>
  <c r="L79" i="13"/>
  <c r="M79" i="13" s="1"/>
  <c r="V67" i="3"/>
  <c r="H7" i="3"/>
  <c r="L9" i="3"/>
  <c r="M9" i="3" s="1"/>
  <c r="L13" i="3"/>
  <c r="M13" i="3" s="1"/>
  <c r="V51" i="3"/>
  <c r="L55" i="3"/>
  <c r="M55" i="3" s="1"/>
  <c r="G55" i="13"/>
  <c r="K55" i="13"/>
  <c r="M26" i="3"/>
  <c r="L12" i="3"/>
  <c r="M12" i="3" s="1"/>
  <c r="L16" i="3"/>
  <c r="M16" i="3" s="1"/>
  <c r="W51" i="1"/>
  <c r="M126" i="1"/>
  <c r="W115" i="1"/>
  <c r="W227" i="1"/>
  <c r="M238" i="1"/>
  <c r="L295" i="1"/>
  <c r="V307" i="1"/>
  <c r="V355" i="1"/>
  <c r="V387" i="1"/>
  <c r="V483" i="1"/>
  <c r="W499" i="1"/>
  <c r="M537" i="1"/>
  <c r="U531" i="1"/>
  <c r="X147" i="2"/>
  <c r="V195" i="2"/>
  <c r="M298" i="2"/>
  <c r="V291" i="2"/>
  <c r="M331" i="2"/>
  <c r="V323" i="2"/>
  <c r="L343" i="2"/>
  <c r="M380" i="2"/>
  <c r="X371" i="2"/>
  <c r="M394" i="2"/>
  <c r="V387" i="2"/>
  <c r="M430" i="2"/>
  <c r="W419" i="2"/>
  <c r="M540" i="2"/>
  <c r="X531" i="2"/>
  <c r="M714" i="2"/>
  <c r="L711" i="2"/>
  <c r="M718" i="2"/>
  <c r="W707" i="2"/>
  <c r="M750" i="2"/>
  <c r="W739" i="2"/>
  <c r="L39" i="3"/>
  <c r="M39" i="3" s="1"/>
  <c r="M40" i="3"/>
  <c r="M76" i="3"/>
  <c r="X67" i="3"/>
  <c r="L583" i="3"/>
  <c r="U579" i="3"/>
  <c r="M584" i="3"/>
  <c r="V627" i="3"/>
  <c r="M634" i="3"/>
  <c r="V643" i="3"/>
  <c r="M30" i="4"/>
  <c r="W19" i="4"/>
  <c r="M330" i="4"/>
  <c r="L327" i="4"/>
  <c r="X531" i="4"/>
  <c r="M731" i="4"/>
  <c r="V723" i="4"/>
  <c r="X739" i="4"/>
  <c r="M748" i="4"/>
  <c r="M795" i="4"/>
  <c r="V787" i="4"/>
  <c r="L23" i="1"/>
  <c r="M23" i="1" s="1"/>
  <c r="V131" i="1"/>
  <c r="U131" i="1"/>
  <c r="U275" i="1"/>
  <c r="L327" i="1"/>
  <c r="L391" i="1"/>
  <c r="V403" i="1"/>
  <c r="V435" i="1"/>
  <c r="U435" i="1"/>
  <c r="M462" i="1"/>
  <c r="W451" i="1"/>
  <c r="W483" i="1"/>
  <c r="U579" i="1"/>
  <c r="M622" i="1"/>
  <c r="W611" i="1"/>
  <c r="L663" i="1"/>
  <c r="M684" i="1"/>
  <c r="X675" i="1"/>
  <c r="M266" i="2"/>
  <c r="V259" i="2"/>
  <c r="U419" i="2"/>
  <c r="M425" i="2"/>
  <c r="M510" i="2"/>
  <c r="W499" i="2"/>
  <c r="X515" i="2"/>
  <c r="M524" i="2"/>
  <c r="M568" i="2"/>
  <c r="L567" i="2"/>
  <c r="K7" i="3"/>
  <c r="M62" i="3"/>
  <c r="W51" i="3"/>
  <c r="U67" i="3"/>
  <c r="L71" i="3"/>
  <c r="M71" i="3" s="1"/>
  <c r="V83" i="3"/>
  <c r="M90" i="3"/>
  <c r="L103" i="3"/>
  <c r="M103" i="3" s="1"/>
  <c r="M104" i="3"/>
  <c r="M140" i="3"/>
  <c r="X131" i="3"/>
  <c r="M474" i="3"/>
  <c r="L471" i="3"/>
  <c r="M471" i="3" s="1"/>
  <c r="V515" i="3"/>
  <c r="M522" i="3"/>
  <c r="L567" i="3"/>
  <c r="U563" i="3"/>
  <c r="M568" i="3"/>
  <c r="X659" i="3"/>
  <c r="M668" i="3"/>
  <c r="L711" i="3"/>
  <c r="M711" i="3" s="1"/>
  <c r="M712" i="3"/>
  <c r="L743" i="3"/>
  <c r="M743" i="3" s="1"/>
  <c r="M744" i="3"/>
  <c r="L775" i="3"/>
  <c r="M775" i="3" s="1"/>
  <c r="M776" i="3"/>
  <c r="L807" i="3"/>
  <c r="M807" i="3" s="1"/>
  <c r="M808" i="3"/>
  <c r="M232" i="4"/>
  <c r="U227" i="4"/>
  <c r="M380" i="4"/>
  <c r="X371" i="4"/>
  <c r="M398" i="4"/>
  <c r="W387" i="4"/>
  <c r="M506" i="4"/>
  <c r="V499" i="4"/>
  <c r="M667" i="4"/>
  <c r="V659" i="4"/>
  <c r="M682" i="4"/>
  <c r="V675" i="4"/>
  <c r="M779" i="4"/>
  <c r="V771" i="4"/>
  <c r="M638" i="1"/>
  <c r="W627" i="1"/>
  <c r="M90" i="2"/>
  <c r="V83" i="2"/>
  <c r="M521" i="2"/>
  <c r="U515" i="2"/>
  <c r="M555" i="2"/>
  <c r="V547" i="2"/>
  <c r="L87" i="3"/>
  <c r="M87" i="3" s="1"/>
  <c r="V115" i="3"/>
  <c r="L119" i="3"/>
  <c r="M119" i="3" s="1"/>
  <c r="M126" i="3"/>
  <c r="W115" i="3"/>
  <c r="U131" i="3"/>
  <c r="L135" i="3"/>
  <c r="M135" i="3" s="1"/>
  <c r="V147" i="3"/>
  <c r="M154" i="3"/>
  <c r="L167" i="3"/>
  <c r="M167" i="3" s="1"/>
  <c r="M168" i="3"/>
  <c r="M204" i="3"/>
  <c r="X195" i="3"/>
  <c r="M264" i="3"/>
  <c r="U259" i="3"/>
  <c r="M440" i="3"/>
  <c r="L439" i="3"/>
  <c r="M439" i="3" s="1"/>
  <c r="U435" i="3"/>
  <c r="L551" i="3"/>
  <c r="U547" i="3"/>
  <c r="M552" i="3"/>
  <c r="L615" i="3"/>
  <c r="U611" i="3"/>
  <c r="M616" i="3"/>
  <c r="M665" i="3"/>
  <c r="U659" i="3"/>
  <c r="L663" i="3"/>
  <c r="M663" i="3" s="1"/>
  <c r="L679" i="3"/>
  <c r="M679" i="3" s="1"/>
  <c r="W675" i="3"/>
  <c r="M686" i="3"/>
  <c r="K7" i="4"/>
  <c r="W323" i="4"/>
  <c r="L503" i="4"/>
  <c r="M503" i="4" s="1"/>
  <c r="X515" i="4"/>
  <c r="M524" i="4"/>
  <c r="M568" i="4"/>
  <c r="L567" i="4"/>
  <c r="W691" i="4"/>
  <c r="M702" i="4"/>
  <c r="M763" i="4"/>
  <c r="V755" i="4"/>
  <c r="W67" i="2"/>
  <c r="M78" i="2"/>
  <c r="X99" i="2"/>
  <c r="M108" i="2"/>
  <c r="M170" i="2"/>
  <c r="L167" i="2"/>
  <c r="M167" i="2" s="1"/>
  <c r="V163" i="2"/>
  <c r="M174" i="2"/>
  <c r="W163" i="2"/>
  <c r="L183" i="2"/>
  <c r="U179" i="2"/>
  <c r="M184" i="2"/>
  <c r="L199" i="2"/>
  <c r="W227" i="2"/>
  <c r="V275" i="2"/>
  <c r="L311" i="2"/>
  <c r="U307" i="2"/>
  <c r="M442" i="2"/>
  <c r="L439" i="2"/>
  <c r="T435" i="2" s="1"/>
  <c r="M446" i="2"/>
  <c r="W435" i="2"/>
  <c r="M460" i="2"/>
  <c r="X451" i="2"/>
  <c r="M794" i="2"/>
  <c r="L791" i="2"/>
  <c r="M798" i="2"/>
  <c r="W787" i="2"/>
  <c r="M190" i="3"/>
  <c r="W179" i="3"/>
  <c r="U195" i="3"/>
  <c r="L199" i="3"/>
  <c r="M199" i="3" s="1"/>
  <c r="V211" i="3"/>
  <c r="M218" i="3"/>
  <c r="L231" i="3"/>
  <c r="M231" i="3" s="1"/>
  <c r="M232" i="3"/>
  <c r="M328" i="3"/>
  <c r="U323" i="3"/>
  <c r="W467" i="3"/>
  <c r="L487" i="3"/>
  <c r="U483" i="3"/>
  <c r="L535" i="3"/>
  <c r="M535" i="3" s="1"/>
  <c r="M536" i="3"/>
  <c r="L599" i="3"/>
  <c r="U595" i="3"/>
  <c r="M600" i="3"/>
  <c r="M683" i="3"/>
  <c r="V675" i="3"/>
  <c r="L695" i="3"/>
  <c r="M695" i="3" s="1"/>
  <c r="M696" i="3"/>
  <c r="U691" i="3"/>
  <c r="L727" i="3"/>
  <c r="M727" i="3" s="1"/>
  <c r="M728" i="3"/>
  <c r="L759" i="3"/>
  <c r="M759" i="3" s="1"/>
  <c r="M760" i="3"/>
  <c r="L791" i="3"/>
  <c r="M791" i="3" s="1"/>
  <c r="M792" i="3"/>
  <c r="M168" i="4"/>
  <c r="U163" i="4"/>
  <c r="M312" i="4"/>
  <c r="U307" i="4"/>
  <c r="V467" i="4"/>
  <c r="M474" i="4"/>
  <c r="V483" i="4"/>
  <c r="L487" i="4"/>
  <c r="M494" i="4"/>
  <c r="W483" i="4"/>
  <c r="X611" i="4"/>
  <c r="M620" i="4"/>
  <c r="M699" i="4"/>
  <c r="V691" i="4"/>
  <c r="M714" i="4"/>
  <c r="V707" i="4"/>
  <c r="M808" i="4"/>
  <c r="L807" i="4"/>
  <c r="U803" i="4"/>
  <c r="M812" i="4"/>
  <c r="X803" i="4"/>
  <c r="X67" i="5"/>
  <c r="M76" i="5"/>
  <c r="M700" i="5"/>
  <c r="X691" i="5"/>
  <c r="L119" i="6"/>
  <c r="U115" i="6"/>
  <c r="U195" i="6"/>
  <c r="M201" i="6"/>
  <c r="M314" i="6"/>
  <c r="V307" i="6"/>
  <c r="M347" i="6"/>
  <c r="V339" i="6"/>
  <c r="M378" i="6"/>
  <c r="V371" i="6"/>
  <c r="M410" i="6"/>
  <c r="V403" i="6"/>
  <c r="L727" i="6"/>
  <c r="M728" i="6"/>
  <c r="U723" i="6"/>
  <c r="V803" i="6"/>
  <c r="M810" i="6"/>
  <c r="U19" i="7"/>
  <c r="M25" i="7"/>
  <c r="T611" i="7"/>
  <c r="M615" i="7"/>
  <c r="M680" i="7"/>
  <c r="L679" i="7"/>
  <c r="W707" i="1"/>
  <c r="I20" i="15"/>
  <c r="L23" i="15"/>
  <c r="M23" i="15" s="1"/>
  <c r="L27" i="15"/>
  <c r="M27" i="15" s="1"/>
  <c r="L23" i="2"/>
  <c r="L87" i="2"/>
  <c r="L119" i="2"/>
  <c r="M119" i="2" s="1"/>
  <c r="L263" i="2"/>
  <c r="L295" i="2"/>
  <c r="L327" i="2"/>
  <c r="L391" i="2"/>
  <c r="L727" i="2"/>
  <c r="I7" i="3"/>
  <c r="L10" i="3"/>
  <c r="M10" i="3" s="1"/>
  <c r="L14" i="3"/>
  <c r="L519" i="3"/>
  <c r="L647" i="3"/>
  <c r="L9" i="4"/>
  <c r="M9" i="4" s="1"/>
  <c r="L10" i="4"/>
  <c r="M10" i="4" s="1"/>
  <c r="L13" i="4"/>
  <c r="M13" i="4" s="1"/>
  <c r="L14" i="4"/>
  <c r="M14" i="4" s="1"/>
  <c r="M745" i="4"/>
  <c r="U739" i="4"/>
  <c r="M761" i="4"/>
  <c r="U755" i="4"/>
  <c r="M764" i="4"/>
  <c r="X755" i="4"/>
  <c r="M780" i="4"/>
  <c r="X771" i="4"/>
  <c r="M796" i="4"/>
  <c r="X787" i="4"/>
  <c r="M46" i="5"/>
  <c r="X51" i="5"/>
  <c r="M60" i="5"/>
  <c r="M110" i="5"/>
  <c r="X115" i="5"/>
  <c r="M124" i="5"/>
  <c r="M588" i="5"/>
  <c r="X579" i="5"/>
  <c r="M716" i="5"/>
  <c r="X707" i="5"/>
  <c r="M40" i="6"/>
  <c r="L39" i="6"/>
  <c r="M44" i="6"/>
  <c r="X35" i="6"/>
  <c r="M92" i="6"/>
  <c r="X83" i="6"/>
  <c r="U211" i="6"/>
  <c r="M217" i="6"/>
  <c r="X419" i="6"/>
  <c r="M428" i="6"/>
  <c r="M443" i="6"/>
  <c r="V435" i="6"/>
  <c r="W723" i="6"/>
  <c r="M734" i="6"/>
  <c r="V739" i="6"/>
  <c r="U739" i="6"/>
  <c r="M745" i="6"/>
  <c r="L807" i="6"/>
  <c r="U803" i="6"/>
  <c r="M808" i="6"/>
  <c r="M584" i="7"/>
  <c r="L583" i="7"/>
  <c r="T579" i="7" s="1"/>
  <c r="V531" i="8"/>
  <c r="M538" i="8"/>
  <c r="L535" i="8"/>
  <c r="M556" i="8"/>
  <c r="X547" i="8"/>
  <c r="L743" i="8"/>
  <c r="U739" i="8"/>
  <c r="M744" i="8"/>
  <c r="L55" i="1"/>
  <c r="V147" i="1"/>
  <c r="L247" i="1"/>
  <c r="W579" i="1"/>
  <c r="V627" i="1"/>
  <c r="W643" i="1"/>
  <c r="W755" i="1"/>
  <c r="U771" i="1"/>
  <c r="U787" i="1"/>
  <c r="J20" i="15"/>
  <c r="L24" i="15"/>
  <c r="M24" i="15" s="1"/>
  <c r="M28" i="2"/>
  <c r="M62" i="2"/>
  <c r="M76" i="2"/>
  <c r="M88" i="2"/>
  <c r="L135" i="2"/>
  <c r="V147" i="2"/>
  <c r="L151" i="2"/>
  <c r="M251" i="2"/>
  <c r="V307" i="2"/>
  <c r="L375" i="2"/>
  <c r="W403" i="2"/>
  <c r="X419" i="2"/>
  <c r="U435" i="2"/>
  <c r="M458" i="2"/>
  <c r="T467" i="2"/>
  <c r="M473" i="2"/>
  <c r="M475" i="2"/>
  <c r="V483" i="2"/>
  <c r="X499" i="2"/>
  <c r="L519" i="2"/>
  <c r="U675" i="2"/>
  <c r="L775" i="2"/>
  <c r="L11" i="3"/>
  <c r="M11" i="3" s="1"/>
  <c r="L15" i="3"/>
  <c r="M15" i="3" s="1"/>
  <c r="M30" i="3"/>
  <c r="W35" i="3"/>
  <c r="U35" i="3"/>
  <c r="X51" i="3"/>
  <c r="M74" i="3"/>
  <c r="W99" i="3"/>
  <c r="U99" i="3"/>
  <c r="X115" i="3"/>
  <c r="M138" i="3"/>
  <c r="W163" i="3"/>
  <c r="U163" i="3"/>
  <c r="X179" i="3"/>
  <c r="M202" i="3"/>
  <c r="W227" i="3"/>
  <c r="U227" i="3"/>
  <c r="L247" i="3"/>
  <c r="W307" i="3"/>
  <c r="L343" i="3"/>
  <c r="M343" i="3" s="1"/>
  <c r="U355" i="3"/>
  <c r="L375" i="3"/>
  <c r="M375" i="3" s="1"/>
  <c r="U387" i="3"/>
  <c r="L407" i="3"/>
  <c r="M407" i="3" s="1"/>
  <c r="U419" i="3"/>
  <c r="L455" i="3"/>
  <c r="M455" i="3" s="1"/>
  <c r="U515" i="3"/>
  <c r="M520" i="3"/>
  <c r="W531" i="3"/>
  <c r="U627" i="3"/>
  <c r="M648" i="3"/>
  <c r="M684" i="3"/>
  <c r="M702" i="3"/>
  <c r="U707" i="3"/>
  <c r="M718" i="3"/>
  <c r="U723" i="3"/>
  <c r="M734" i="3"/>
  <c r="U739" i="3"/>
  <c r="M750" i="3"/>
  <c r="U755" i="3"/>
  <c r="M766" i="3"/>
  <c r="U771" i="3"/>
  <c r="M782" i="3"/>
  <c r="U787" i="3"/>
  <c r="M798" i="3"/>
  <c r="U803" i="3"/>
  <c r="M814" i="3"/>
  <c r="I7" i="4"/>
  <c r="L11" i="4"/>
  <c r="M11" i="4" s="1"/>
  <c r="L15" i="4"/>
  <c r="M15" i="4" s="1"/>
  <c r="U147" i="4"/>
  <c r="U211" i="4"/>
  <c r="U275" i="4"/>
  <c r="M298" i="4"/>
  <c r="W339" i="4"/>
  <c r="L359" i="4"/>
  <c r="M359" i="4" s="1"/>
  <c r="M378" i="4"/>
  <c r="X387" i="4"/>
  <c r="W403" i="4"/>
  <c r="W419" i="4"/>
  <c r="W435" i="4"/>
  <c r="M462" i="4"/>
  <c r="X483" i="4"/>
  <c r="L551" i="4"/>
  <c r="X563" i="4"/>
  <c r="L583" i="4"/>
  <c r="M606" i="4"/>
  <c r="M632" i="4"/>
  <c r="L679" i="4"/>
  <c r="M680" i="4"/>
  <c r="U675" i="4"/>
  <c r="M700" i="4"/>
  <c r="M718" i="4"/>
  <c r="L743" i="4"/>
  <c r="K7" i="5"/>
  <c r="M28" i="5"/>
  <c r="X35" i="5"/>
  <c r="M44" i="5"/>
  <c r="L71" i="5"/>
  <c r="M71" i="5" s="1"/>
  <c r="M94" i="5"/>
  <c r="X99" i="5"/>
  <c r="M108" i="5"/>
  <c r="L135" i="5"/>
  <c r="M135" i="5" s="1"/>
  <c r="X259" i="5"/>
  <c r="X387" i="5"/>
  <c r="M492" i="5"/>
  <c r="X483" i="5"/>
  <c r="M636" i="5"/>
  <c r="X627" i="5"/>
  <c r="M764" i="5"/>
  <c r="X755" i="5"/>
  <c r="U163" i="6"/>
  <c r="M169" i="6"/>
  <c r="U227" i="6"/>
  <c r="M233" i="6"/>
  <c r="M251" i="6"/>
  <c r="V243" i="6"/>
  <c r="M266" i="6"/>
  <c r="V259" i="6"/>
  <c r="V291" i="6"/>
  <c r="M298" i="6"/>
  <c r="M394" i="6"/>
  <c r="V387" i="6"/>
  <c r="X723" i="6"/>
  <c r="M732" i="6"/>
  <c r="U755" i="6"/>
  <c r="U771" i="6"/>
  <c r="V771" i="6"/>
  <c r="W803" i="6"/>
  <c r="M814" i="6"/>
  <c r="M329" i="7"/>
  <c r="U323" i="7"/>
  <c r="M556" i="7"/>
  <c r="X547" i="7"/>
  <c r="M30" i="8"/>
  <c r="W19" i="8"/>
  <c r="M190" i="8"/>
  <c r="W179" i="8"/>
  <c r="M446" i="8"/>
  <c r="W435" i="8"/>
  <c r="L679" i="1"/>
  <c r="G20" i="15"/>
  <c r="L21" i="15"/>
  <c r="M21" i="15" s="1"/>
  <c r="K20" i="15"/>
  <c r="L25" i="15"/>
  <c r="M25" i="15" s="1"/>
  <c r="V51" i="2"/>
  <c r="V67" i="2"/>
  <c r="V179" i="2"/>
  <c r="V211" i="2"/>
  <c r="L231" i="2"/>
  <c r="L247" i="2"/>
  <c r="W307" i="2"/>
  <c r="V339" i="2"/>
  <c r="L407" i="2"/>
  <c r="L423" i="2"/>
  <c r="G7" i="3"/>
  <c r="J7" i="3"/>
  <c r="U83" i="3"/>
  <c r="U147" i="3"/>
  <c r="U211" i="3"/>
  <c r="V547" i="3"/>
  <c r="V563" i="3"/>
  <c r="V579" i="3"/>
  <c r="V595" i="3"/>
  <c r="V611" i="3"/>
  <c r="U643" i="3"/>
  <c r="L8" i="4"/>
  <c r="M8" i="4" s="1"/>
  <c r="L12" i="4"/>
  <c r="M12" i="4" s="1"/>
  <c r="V275" i="4"/>
  <c r="L295" i="4"/>
  <c r="L599" i="4"/>
  <c r="X627" i="4"/>
  <c r="M636" i="4"/>
  <c r="L663" i="4"/>
  <c r="M663" i="4" s="1"/>
  <c r="X723" i="4"/>
  <c r="L727" i="4"/>
  <c r="L759" i="4"/>
  <c r="L775" i="4"/>
  <c r="L791" i="4"/>
  <c r="H7" i="5"/>
  <c r="J7" i="5"/>
  <c r="L12" i="5"/>
  <c r="X3" i="5" s="1"/>
  <c r="L16" i="5"/>
  <c r="M16" i="5" s="1"/>
  <c r="V51" i="5"/>
  <c r="L55" i="5"/>
  <c r="M55" i="5" s="1"/>
  <c r="M78" i="5"/>
  <c r="X83" i="5"/>
  <c r="M92" i="5"/>
  <c r="V115" i="5"/>
  <c r="L119" i="5"/>
  <c r="M119" i="5" s="1"/>
  <c r="M188" i="5"/>
  <c r="X179" i="5"/>
  <c r="M316" i="5"/>
  <c r="X307" i="5"/>
  <c r="M444" i="5"/>
  <c r="X435" i="5"/>
  <c r="U515" i="5"/>
  <c r="L535" i="5"/>
  <c r="M535" i="5" s="1"/>
  <c r="U531" i="5"/>
  <c r="M572" i="5"/>
  <c r="X563" i="5"/>
  <c r="M652" i="5"/>
  <c r="X643" i="5"/>
  <c r="M780" i="5"/>
  <c r="X771" i="5"/>
  <c r="U179" i="6"/>
  <c r="M185" i="6"/>
  <c r="X275" i="6"/>
  <c r="M284" i="6"/>
  <c r="M331" i="6"/>
  <c r="V323" i="6"/>
  <c r="V723" i="6"/>
  <c r="M730" i="6"/>
  <c r="V755" i="6"/>
  <c r="M763" i="6"/>
  <c r="X803" i="6"/>
  <c r="M812" i="6"/>
  <c r="M217" i="7"/>
  <c r="U211" i="7"/>
  <c r="U355" i="7"/>
  <c r="M361" i="7"/>
  <c r="M732" i="7"/>
  <c r="X723" i="7"/>
  <c r="L695" i="4"/>
  <c r="L711" i="4"/>
  <c r="L11" i="5"/>
  <c r="M11" i="5" s="1"/>
  <c r="L15" i="5"/>
  <c r="M15" i="5" s="1"/>
  <c r="L23" i="5"/>
  <c r="M23" i="5" s="1"/>
  <c r="W131" i="5"/>
  <c r="L599" i="5"/>
  <c r="L663" i="5"/>
  <c r="L727" i="5"/>
  <c r="L791" i="5"/>
  <c r="J7" i="6"/>
  <c r="W19" i="6"/>
  <c r="W35" i="6"/>
  <c r="U51" i="6"/>
  <c r="L295" i="6"/>
  <c r="U579" i="6"/>
  <c r="U707" i="6"/>
  <c r="U787" i="6"/>
  <c r="L10" i="7"/>
  <c r="M10" i="7" s="1"/>
  <c r="X147" i="7"/>
  <c r="X179" i="7"/>
  <c r="U179" i="7"/>
  <c r="M204" i="7"/>
  <c r="X195" i="7"/>
  <c r="X259" i="7"/>
  <c r="X291" i="7"/>
  <c r="U291" i="7"/>
  <c r="M316" i="7"/>
  <c r="X307" i="7"/>
  <c r="M808" i="7"/>
  <c r="L807" i="7"/>
  <c r="M136" i="8"/>
  <c r="L135" i="8"/>
  <c r="M199" i="8"/>
  <c r="T195" i="8"/>
  <c r="M524" i="8"/>
  <c r="X515" i="8"/>
  <c r="L727" i="8"/>
  <c r="U723" i="8"/>
  <c r="M728" i="8"/>
  <c r="W803" i="8"/>
  <c r="M814" i="8"/>
  <c r="G7" i="5"/>
  <c r="L551" i="5"/>
  <c r="M551" i="5" s="1"/>
  <c r="L567" i="5"/>
  <c r="L583" i="5"/>
  <c r="M583" i="5" s="1"/>
  <c r="L631" i="5"/>
  <c r="L647" i="5"/>
  <c r="M647" i="5" s="1"/>
  <c r="L695" i="5"/>
  <c r="L711" i="5"/>
  <c r="M711" i="5" s="1"/>
  <c r="L759" i="5"/>
  <c r="L775" i="5"/>
  <c r="M775" i="5" s="1"/>
  <c r="L11" i="6"/>
  <c r="M11" i="6" s="1"/>
  <c r="L12" i="6"/>
  <c r="M12" i="6" s="1"/>
  <c r="L15" i="6"/>
  <c r="M15" i="6" s="1"/>
  <c r="U67" i="6"/>
  <c r="L87" i="6"/>
  <c r="V115" i="6"/>
  <c r="U131" i="6"/>
  <c r="V147" i="6"/>
  <c r="L263" i="6"/>
  <c r="V275" i="6"/>
  <c r="U291" i="6"/>
  <c r="V419" i="6"/>
  <c r="U547" i="6"/>
  <c r="U675" i="6"/>
  <c r="L743" i="6"/>
  <c r="L759" i="6"/>
  <c r="L775" i="6"/>
  <c r="K7" i="7"/>
  <c r="I7" i="7"/>
  <c r="L12" i="7"/>
  <c r="M12" i="7" s="1"/>
  <c r="L15" i="7"/>
  <c r="M15" i="7" s="1"/>
  <c r="L16" i="7"/>
  <c r="M16" i="7" s="1"/>
  <c r="U163" i="7"/>
  <c r="U275" i="7"/>
  <c r="M590" i="7"/>
  <c r="W579" i="7"/>
  <c r="M604" i="7"/>
  <c r="X595" i="7"/>
  <c r="M686" i="7"/>
  <c r="W675" i="7"/>
  <c r="T739" i="7"/>
  <c r="M743" i="7"/>
  <c r="M766" i="7"/>
  <c r="W755" i="7"/>
  <c r="U83" i="8"/>
  <c r="M89" i="8"/>
  <c r="M108" i="8"/>
  <c r="X99" i="8"/>
  <c r="L215" i="8"/>
  <c r="M216" i="8"/>
  <c r="U211" i="8"/>
  <c r="V291" i="8"/>
  <c r="M299" i="8"/>
  <c r="M779" i="8"/>
  <c r="V771" i="8"/>
  <c r="L519" i="5"/>
  <c r="L615" i="5"/>
  <c r="L679" i="5"/>
  <c r="L743" i="5"/>
  <c r="L807" i="5"/>
  <c r="L9" i="6"/>
  <c r="M9" i="6" s="1"/>
  <c r="K7" i="6"/>
  <c r="L151" i="6"/>
  <c r="L167" i="6"/>
  <c r="M167" i="6" s="1"/>
  <c r="L183" i="6"/>
  <c r="L199" i="6"/>
  <c r="L215" i="6"/>
  <c r="L231" i="6"/>
  <c r="L279" i="6"/>
  <c r="U515" i="6"/>
  <c r="U643" i="6"/>
  <c r="M572" i="7"/>
  <c r="X563" i="7"/>
  <c r="V579" i="7"/>
  <c r="M587" i="7"/>
  <c r="M652" i="7"/>
  <c r="X643" i="7"/>
  <c r="U771" i="7"/>
  <c r="M777" i="7"/>
  <c r="L775" i="7"/>
  <c r="M814" i="7"/>
  <c r="W803" i="7"/>
  <c r="M44" i="8"/>
  <c r="X35" i="8"/>
  <c r="M76" i="8"/>
  <c r="X67" i="8"/>
  <c r="L247" i="8"/>
  <c r="M248" i="8"/>
  <c r="U243" i="8"/>
  <c r="W243" i="8"/>
  <c r="M254" i="8"/>
  <c r="U291" i="8"/>
  <c r="M297" i="8"/>
  <c r="M412" i="8"/>
  <c r="X403" i="8"/>
  <c r="V563" i="8"/>
  <c r="M570" i="8"/>
  <c r="L567" i="8"/>
  <c r="M588" i="8"/>
  <c r="X579" i="8"/>
  <c r="M762" i="8"/>
  <c r="V755" i="8"/>
  <c r="W755" i="8"/>
  <c r="M766" i="8"/>
  <c r="U579" i="7"/>
  <c r="U675" i="7"/>
  <c r="U803" i="7"/>
  <c r="L15" i="8"/>
  <c r="M15" i="8" s="1"/>
  <c r="U131" i="8"/>
  <c r="M152" i="8"/>
  <c r="L151" i="8"/>
  <c r="M407" i="8"/>
  <c r="T403" i="8"/>
  <c r="M731" i="8"/>
  <c r="V723" i="8"/>
  <c r="W723" i="8"/>
  <c r="M734" i="8"/>
  <c r="M777" i="8"/>
  <c r="U771" i="8"/>
  <c r="X771" i="8"/>
  <c r="M780" i="8"/>
  <c r="L807" i="8"/>
  <c r="U803" i="8"/>
  <c r="M808" i="8"/>
  <c r="M41" i="12"/>
  <c r="L39" i="12"/>
  <c r="U35" i="12"/>
  <c r="X51" i="12"/>
  <c r="M60" i="12"/>
  <c r="L87" i="12"/>
  <c r="M88" i="12"/>
  <c r="U83" i="12"/>
  <c r="M153" i="12"/>
  <c r="U147" i="12"/>
  <c r="X163" i="12"/>
  <c r="M172" i="12"/>
  <c r="M266" i="12"/>
  <c r="V259" i="12"/>
  <c r="L343" i="7"/>
  <c r="X531" i="7"/>
  <c r="W563" i="7"/>
  <c r="M585" i="7"/>
  <c r="W595" i="7"/>
  <c r="M681" i="7"/>
  <c r="W707" i="7"/>
  <c r="U707" i="7"/>
  <c r="X755" i="7"/>
  <c r="W787" i="7"/>
  <c r="M809" i="7"/>
  <c r="L13" i="8"/>
  <c r="M13" i="8" s="1"/>
  <c r="T67" i="8"/>
  <c r="M120" i="8"/>
  <c r="L119" i="8"/>
  <c r="M126" i="8"/>
  <c r="W115" i="8"/>
  <c r="M137" i="8"/>
  <c r="M140" i="8"/>
  <c r="X131" i="8"/>
  <c r="W147" i="8"/>
  <c r="U147" i="8"/>
  <c r="M153" i="8"/>
  <c r="L183" i="8"/>
  <c r="M185" i="8"/>
  <c r="M188" i="8"/>
  <c r="X179" i="8"/>
  <c r="U195" i="8"/>
  <c r="M206" i="8"/>
  <c r="W195" i="8"/>
  <c r="M220" i="8"/>
  <c r="X211" i="8"/>
  <c r="M279" i="8"/>
  <c r="T275" i="8"/>
  <c r="U371" i="8"/>
  <c r="M377" i="8"/>
  <c r="M414" i="8"/>
  <c r="W403" i="8"/>
  <c r="V435" i="8"/>
  <c r="M442" i="8"/>
  <c r="T483" i="8"/>
  <c r="M487" i="8"/>
  <c r="M519" i="8"/>
  <c r="M522" i="8"/>
  <c r="V515" i="8"/>
  <c r="U531" i="8"/>
  <c r="M536" i="8"/>
  <c r="M551" i="8"/>
  <c r="M554" i="8"/>
  <c r="V547" i="8"/>
  <c r="U563" i="8"/>
  <c r="M568" i="8"/>
  <c r="M583" i="8"/>
  <c r="M586" i="8"/>
  <c r="V579" i="8"/>
  <c r="M684" i="8"/>
  <c r="X675" i="8"/>
  <c r="L711" i="8"/>
  <c r="U707" i="8"/>
  <c r="V787" i="8"/>
  <c r="L791" i="8"/>
  <c r="U787" i="8"/>
  <c r="W627" i="7"/>
  <c r="W659" i="7"/>
  <c r="L711" i="7"/>
  <c r="I7" i="8"/>
  <c r="L10" i="8"/>
  <c r="L14" i="8"/>
  <c r="M88" i="8"/>
  <c r="L87" i="8"/>
  <c r="U115" i="8"/>
  <c r="M121" i="8"/>
  <c r="L167" i="8"/>
  <c r="L311" i="8"/>
  <c r="U307" i="8"/>
  <c r="U323" i="8"/>
  <c r="X435" i="8"/>
  <c r="L439" i="8"/>
  <c r="M439" i="8" s="1"/>
  <c r="U435" i="8"/>
  <c r="M440" i="8"/>
  <c r="M698" i="8"/>
  <c r="V691" i="8"/>
  <c r="W739" i="8"/>
  <c r="M750" i="8"/>
  <c r="L695" i="8"/>
  <c r="X787" i="8"/>
  <c r="M796" i="8"/>
  <c r="U99" i="8"/>
  <c r="U163" i="8"/>
  <c r="U419" i="8"/>
  <c r="M424" i="8"/>
  <c r="M428" i="8"/>
  <c r="U451" i="8"/>
  <c r="M456" i="8"/>
  <c r="M460" i="8"/>
  <c r="W531" i="8"/>
  <c r="M558" i="8"/>
  <c r="W547" i="8"/>
  <c r="W563" i="8"/>
  <c r="M590" i="8"/>
  <c r="W579" i="8"/>
  <c r="T611" i="8"/>
  <c r="M619" i="8"/>
  <c r="T643" i="8"/>
  <c r="M651" i="8"/>
  <c r="V675" i="8"/>
  <c r="X739" i="8"/>
  <c r="M748" i="8"/>
  <c r="M764" i="8"/>
  <c r="L775" i="8"/>
  <c r="X803" i="8"/>
  <c r="M812" i="8"/>
  <c r="G87" i="13"/>
  <c r="L90" i="13"/>
  <c r="M90" i="13" s="1"/>
  <c r="L217" i="13"/>
  <c r="M217" i="13" s="1"/>
  <c r="H215" i="13"/>
  <c r="G279" i="13"/>
  <c r="L282" i="13"/>
  <c r="M282" i="13" s="1"/>
  <c r="L295" i="8"/>
  <c r="L503" i="8"/>
  <c r="L759" i="8"/>
  <c r="L16" i="12"/>
  <c r="M16" i="12" s="1"/>
  <c r="M90" i="12"/>
  <c r="V83" i="12"/>
  <c r="W83" i="12"/>
  <c r="M94" i="12"/>
  <c r="M103" i="12"/>
  <c r="T99" i="12"/>
  <c r="K23" i="13"/>
  <c r="L28" i="13"/>
  <c r="M28" i="13" s="1"/>
  <c r="L88" i="13"/>
  <c r="M88" i="13" s="1"/>
  <c r="J87" i="13"/>
  <c r="L92" i="13"/>
  <c r="X83" i="13" s="1"/>
  <c r="J7" i="12"/>
  <c r="M43" i="12"/>
  <c r="V35" i="12"/>
  <c r="L55" i="12"/>
  <c r="M55" i="12" s="1"/>
  <c r="M56" i="12"/>
  <c r="U51" i="12"/>
  <c r="M120" i="12"/>
  <c r="U115" i="12"/>
  <c r="X131" i="12"/>
  <c r="M140" i="12"/>
  <c r="M330" i="12"/>
  <c r="V323" i="12"/>
  <c r="W339" i="12"/>
  <c r="M350" i="12"/>
  <c r="M457" i="12"/>
  <c r="U451" i="12"/>
  <c r="W531" i="12"/>
  <c r="M542" i="12"/>
  <c r="M638" i="12"/>
  <c r="W627" i="12"/>
  <c r="M670" i="12"/>
  <c r="W659" i="12"/>
  <c r="M686" i="12"/>
  <c r="W675" i="12"/>
  <c r="L392" i="13"/>
  <c r="U387" i="13" s="1"/>
  <c r="J391" i="13"/>
  <c r="M185" i="12"/>
  <c r="U179" i="12"/>
  <c r="W211" i="12"/>
  <c r="M222" i="12"/>
  <c r="W227" i="12"/>
  <c r="M238" i="12"/>
  <c r="M283" i="12"/>
  <c r="V275" i="12"/>
  <c r="W275" i="12"/>
  <c r="M286" i="12"/>
  <c r="W291" i="12"/>
  <c r="M302" i="12"/>
  <c r="X307" i="12"/>
  <c r="M316" i="12"/>
  <c r="M345" i="12"/>
  <c r="U339" i="12"/>
  <c r="X355" i="12"/>
  <c r="M364" i="12"/>
  <c r="W451" i="12"/>
  <c r="M462" i="12"/>
  <c r="W467" i="12"/>
  <c r="M478" i="12"/>
  <c r="M521" i="12"/>
  <c r="U515" i="12"/>
  <c r="X691" i="12"/>
  <c r="M700" i="12"/>
  <c r="L10" i="12"/>
  <c r="M10" i="12" s="1"/>
  <c r="L11" i="12"/>
  <c r="M11" i="12" s="1"/>
  <c r="L23" i="12"/>
  <c r="M23" i="12" s="1"/>
  <c r="W243" i="12"/>
  <c r="M254" i="12"/>
  <c r="W259" i="12"/>
  <c r="M270" i="12"/>
  <c r="M298" i="12"/>
  <c r="V291" i="12"/>
  <c r="L311" i="12"/>
  <c r="M311" i="12" s="1"/>
  <c r="U307" i="12"/>
  <c r="M312" i="12"/>
  <c r="M377" i="12"/>
  <c r="U371" i="12"/>
  <c r="M393" i="12"/>
  <c r="U387" i="12"/>
  <c r="X403" i="12"/>
  <c r="M412" i="12"/>
  <c r="X739" i="12"/>
  <c r="M748" i="12"/>
  <c r="G519" i="13"/>
  <c r="L523" i="13"/>
  <c r="M523" i="13" s="1"/>
  <c r="L570" i="13"/>
  <c r="I567" i="13"/>
  <c r="J679" i="13"/>
  <c r="L682" i="13"/>
  <c r="M682" i="13" s="1"/>
  <c r="L12" i="12"/>
  <c r="M12" i="12" s="1"/>
  <c r="L13" i="12"/>
  <c r="M13" i="12" s="1"/>
  <c r="M123" i="12"/>
  <c r="V115" i="12"/>
  <c r="X195" i="12"/>
  <c r="M204" i="12"/>
  <c r="M218" i="12"/>
  <c r="V211" i="12"/>
  <c r="M234" i="12"/>
  <c r="V227" i="12"/>
  <c r="M334" i="12"/>
  <c r="W323" i="12"/>
  <c r="W387" i="12"/>
  <c r="M398" i="12"/>
  <c r="X771" i="12"/>
  <c r="M780" i="12"/>
  <c r="H7" i="12"/>
  <c r="L9" i="12"/>
  <c r="M9" i="12" s="1"/>
  <c r="U99" i="12"/>
  <c r="U131" i="12"/>
  <c r="U195" i="12"/>
  <c r="L215" i="12"/>
  <c r="M215" i="12" s="1"/>
  <c r="L231" i="12"/>
  <c r="L247" i="12"/>
  <c r="M247" i="12" s="1"/>
  <c r="L263" i="12"/>
  <c r="T259" i="12" s="1"/>
  <c r="L279" i="12"/>
  <c r="M279" i="12" s="1"/>
  <c r="L295" i="12"/>
  <c r="M425" i="12"/>
  <c r="U419" i="12"/>
  <c r="X435" i="12"/>
  <c r="M444" i="12"/>
  <c r="M489" i="12"/>
  <c r="U483" i="12"/>
  <c r="W563" i="12"/>
  <c r="M574" i="12"/>
  <c r="L583" i="12"/>
  <c r="M583" i="12" s="1"/>
  <c r="U579" i="12"/>
  <c r="M584" i="12"/>
  <c r="M602" i="12"/>
  <c r="V595" i="12"/>
  <c r="M622" i="12"/>
  <c r="W611" i="12"/>
  <c r="M654" i="12"/>
  <c r="W643" i="12"/>
  <c r="M713" i="12"/>
  <c r="U707" i="12"/>
  <c r="X723" i="12"/>
  <c r="M732" i="12"/>
  <c r="X787" i="12"/>
  <c r="M796" i="12"/>
  <c r="M811" i="12"/>
  <c r="V803" i="12"/>
  <c r="L746" i="13"/>
  <c r="H759" i="13"/>
  <c r="L744" i="13"/>
  <c r="L743" i="13" s="1"/>
  <c r="M743" i="13" s="1"/>
  <c r="H743" i="13"/>
  <c r="G759" i="13"/>
  <c r="L760" i="13"/>
  <c r="L762" i="13"/>
  <c r="M762" i="13" s="1"/>
  <c r="I759" i="13"/>
  <c r="L794" i="13"/>
  <c r="G791" i="13"/>
  <c r="L808" i="13"/>
  <c r="M808" i="13" s="1"/>
  <c r="H807" i="13"/>
  <c r="L810" i="13"/>
  <c r="J807" i="13"/>
  <c r="X371" i="12"/>
  <c r="M380" i="12"/>
  <c r="W419" i="12"/>
  <c r="M430" i="12"/>
  <c r="W499" i="12"/>
  <c r="M510" i="12"/>
  <c r="M553" i="12"/>
  <c r="U547" i="12"/>
  <c r="W707" i="12"/>
  <c r="M718" i="12"/>
  <c r="X755" i="12"/>
  <c r="M764" i="12"/>
  <c r="L696" i="13"/>
  <c r="L697" i="13"/>
  <c r="M697" i="13" s="1"/>
  <c r="J695" i="13"/>
  <c r="L699" i="13"/>
  <c r="M699" i="13" s="1"/>
  <c r="L700" i="13"/>
  <c r="M700" i="13" s="1"/>
  <c r="L701" i="13"/>
  <c r="M701" i="13" s="1"/>
  <c r="L702" i="13"/>
  <c r="L704" i="13"/>
  <c r="M704" i="13" s="1"/>
  <c r="L456" i="13"/>
  <c r="M456" i="13" s="1"/>
  <c r="K455" i="13"/>
  <c r="L458" i="13"/>
  <c r="M458" i="13" s="1"/>
  <c r="I455" i="13"/>
  <c r="L460" i="13"/>
  <c r="M460" i="13" s="1"/>
  <c r="L461" i="13"/>
  <c r="M461" i="13" s="1"/>
  <c r="L462" i="13"/>
  <c r="M462" i="13" s="1"/>
  <c r="L463" i="13"/>
  <c r="M463" i="13" s="1"/>
  <c r="L464" i="13"/>
  <c r="M464" i="13" s="1"/>
  <c r="G647" i="13"/>
  <c r="K647" i="13"/>
  <c r="L650" i="13"/>
  <c r="L651" i="13"/>
  <c r="M651" i="13" s="1"/>
  <c r="L653" i="13"/>
  <c r="M653" i="13" s="1"/>
  <c r="L654" i="13"/>
  <c r="L655" i="13"/>
  <c r="M655" i="13" s="1"/>
  <c r="H711" i="13"/>
  <c r="L713" i="13"/>
  <c r="K711" i="13"/>
  <c r="J711" i="13"/>
  <c r="L715" i="13"/>
  <c r="M715" i="13" s="1"/>
  <c r="L716" i="13"/>
  <c r="M716" i="13" s="1"/>
  <c r="L718" i="13"/>
  <c r="L719" i="13"/>
  <c r="M719" i="13" s="1"/>
  <c r="L776" i="13"/>
  <c r="G775" i="13"/>
  <c r="K775" i="13"/>
  <c r="L778" i="13"/>
  <c r="L779" i="13"/>
  <c r="V771" i="13" s="1"/>
  <c r="L781" i="13"/>
  <c r="M781" i="13" s="1"/>
  <c r="L782" i="13"/>
  <c r="L783" i="13"/>
  <c r="M783" i="13" s="1"/>
  <c r="L784" i="13"/>
  <c r="M784" i="13" s="1"/>
  <c r="L507" i="13"/>
  <c r="M507" i="13" s="1"/>
  <c r="L664" i="13"/>
  <c r="L665" i="13"/>
  <c r="K663" i="13"/>
  <c r="L666" i="13"/>
  <c r="M666" i="13" s="1"/>
  <c r="I663" i="13"/>
  <c r="L668" i="13"/>
  <c r="L669" i="13"/>
  <c r="M669" i="13" s="1"/>
  <c r="L671" i="13"/>
  <c r="M671" i="13" s="1"/>
  <c r="L672" i="13"/>
  <c r="L714" i="13"/>
  <c r="M714" i="13" s="1"/>
  <c r="G727" i="13"/>
  <c r="K727" i="13"/>
  <c r="J727" i="13"/>
  <c r="L731" i="13"/>
  <c r="L732" i="13"/>
  <c r="X723" i="13" s="1"/>
  <c r="L734" i="13"/>
  <c r="W723" i="13" s="1"/>
  <c r="L735" i="13"/>
  <c r="L736" i="13"/>
  <c r="L792" i="13"/>
  <c r="M792" i="13" s="1"/>
  <c r="L793" i="13"/>
  <c r="U787" i="13" s="1"/>
  <c r="J791" i="13"/>
  <c r="L795" i="13"/>
  <c r="L796" i="13"/>
  <c r="X787" i="13" s="1"/>
  <c r="L797" i="13"/>
  <c r="L799" i="13"/>
  <c r="L800" i="13"/>
  <c r="L632" i="13"/>
  <c r="M632" i="13" s="1"/>
  <c r="L633" i="13"/>
  <c r="M633" i="13" s="1"/>
  <c r="L634" i="13"/>
  <c r="M634" i="13" s="1"/>
  <c r="I631" i="13"/>
  <c r="L636" i="13"/>
  <c r="X627" i="13" s="1"/>
  <c r="L637" i="13"/>
  <c r="M637" i="13" s="1"/>
  <c r="L638" i="13"/>
  <c r="W627" i="13" s="1"/>
  <c r="L640" i="13"/>
  <c r="M640" i="13" s="1"/>
  <c r="U579" i="2"/>
  <c r="L569" i="13"/>
  <c r="M569" i="13" s="1"/>
  <c r="L551" i="2"/>
  <c r="H551" i="13"/>
  <c r="U547" i="2"/>
  <c r="M552" i="2"/>
  <c r="M558" i="2"/>
  <c r="M536" i="2"/>
  <c r="H535" i="13"/>
  <c r="L543" i="13"/>
  <c r="M543" i="13" s="1"/>
  <c r="H519" i="13"/>
  <c r="M505" i="2"/>
  <c r="M507" i="2"/>
  <c r="L503" i="2"/>
  <c r="G503" i="13"/>
  <c r="M487" i="2"/>
  <c r="T483" i="2"/>
  <c r="X483" i="2"/>
  <c r="M488" i="2"/>
  <c r="M490" i="2"/>
  <c r="I487" i="13"/>
  <c r="U483" i="2"/>
  <c r="I471" i="13"/>
  <c r="L457" i="13"/>
  <c r="M457" i="13" s="1"/>
  <c r="M457" i="2"/>
  <c r="L455" i="2"/>
  <c r="G455" i="13"/>
  <c r="V435" i="2"/>
  <c r="M439" i="2"/>
  <c r="L443" i="13"/>
  <c r="M443" i="13" s="1"/>
  <c r="M424" i="2"/>
  <c r="L424" i="13"/>
  <c r="M424" i="13" s="1"/>
  <c r="M407" i="2"/>
  <c r="T403" i="2"/>
  <c r="X403" i="2"/>
  <c r="M408" i="2"/>
  <c r="M410" i="2"/>
  <c r="U403" i="2"/>
  <c r="T387" i="2"/>
  <c r="M391" i="2"/>
  <c r="L394" i="13"/>
  <c r="M394" i="13" s="1"/>
  <c r="M392" i="2"/>
  <c r="T371" i="2"/>
  <c r="M375" i="2"/>
  <c r="M376" i="2"/>
  <c r="W355" i="2"/>
  <c r="M360" i="2"/>
  <c r="M364" i="2"/>
  <c r="L359" i="2"/>
  <c r="J359" i="13"/>
  <c r="U339" i="2"/>
  <c r="M344" i="2"/>
  <c r="M346" i="2"/>
  <c r="M350" i="2"/>
  <c r="T323" i="2"/>
  <c r="M327" i="2"/>
  <c r="U323" i="2"/>
  <c r="I327" i="13"/>
  <c r="M328" i="2"/>
  <c r="T307" i="2"/>
  <c r="M311" i="2"/>
  <c r="M312" i="2"/>
  <c r="L314" i="13"/>
  <c r="M314" i="13" s="1"/>
  <c r="U291" i="2"/>
  <c r="M296" i="2"/>
  <c r="L299" i="13"/>
  <c r="M299" i="13" s="1"/>
  <c r="W275" i="2"/>
  <c r="M280" i="2"/>
  <c r="M284" i="2"/>
  <c r="L279" i="2"/>
  <c r="J279" i="13"/>
  <c r="T259" i="2"/>
  <c r="M263" i="2"/>
  <c r="W259" i="2"/>
  <c r="M264" i="2"/>
  <c r="M268" i="2"/>
  <c r="T243" i="2"/>
  <c r="M247" i="2"/>
  <c r="M231" i="2"/>
  <c r="T227" i="2"/>
  <c r="M232" i="2"/>
  <c r="M217" i="2"/>
  <c r="L216" i="13"/>
  <c r="M216" i="13" s="1"/>
  <c r="J215" i="13"/>
  <c r="L223" i="13"/>
  <c r="M223" i="13" s="1"/>
  <c r="G215" i="13"/>
  <c r="K215" i="13"/>
  <c r="L215" i="2"/>
  <c r="M199" i="2"/>
  <c r="T195" i="2"/>
  <c r="U195" i="2"/>
  <c r="M200" i="2"/>
  <c r="J183" i="13"/>
  <c r="T163" i="2"/>
  <c r="M169" i="2"/>
  <c r="J167" i="13"/>
  <c r="T147" i="2"/>
  <c r="M151" i="2"/>
  <c r="M152" i="2"/>
  <c r="M135" i="2"/>
  <c r="T131" i="2"/>
  <c r="U131" i="2"/>
  <c r="M136" i="2"/>
  <c r="M138" i="2"/>
  <c r="M142" i="2"/>
  <c r="W115" i="2"/>
  <c r="M120" i="2"/>
  <c r="M124" i="2"/>
  <c r="T115" i="2"/>
  <c r="U115" i="2"/>
  <c r="L103" i="2"/>
  <c r="M104" i="2"/>
  <c r="U99" i="2"/>
  <c r="L104" i="13"/>
  <c r="M104" i="13" s="1"/>
  <c r="J103" i="13"/>
  <c r="L110" i="13"/>
  <c r="W99" i="13" s="1"/>
  <c r="L112" i="13"/>
  <c r="M112" i="13" s="1"/>
  <c r="M74" i="2"/>
  <c r="L71" i="2"/>
  <c r="M72" i="2"/>
  <c r="G7" i="2"/>
  <c r="K7" i="2"/>
  <c r="U51" i="2"/>
  <c r="M60" i="2"/>
  <c r="L55" i="2"/>
  <c r="M56" i="2"/>
  <c r="U35" i="2"/>
  <c r="M44" i="2"/>
  <c r="I7" i="2"/>
  <c r="V35" i="2"/>
  <c r="L39" i="2"/>
  <c r="I39" i="13"/>
  <c r="L11" i="2"/>
  <c r="M11" i="2" s="1"/>
  <c r="L15" i="2"/>
  <c r="M15" i="2" s="1"/>
  <c r="M30" i="2"/>
  <c r="L27" i="13"/>
  <c r="M27" i="13" s="1"/>
  <c r="L32" i="13"/>
  <c r="M32" i="13" s="1"/>
  <c r="J9" i="13"/>
  <c r="J8" i="15" s="1"/>
  <c r="H11" i="13"/>
  <c r="H10" i="15" s="1"/>
  <c r="K12" i="13"/>
  <c r="K11" i="15" s="1"/>
  <c r="I14" i="13"/>
  <c r="I13" i="15" s="1"/>
  <c r="G16" i="13"/>
  <c r="K16" i="13"/>
  <c r="K8" i="13"/>
  <c r="K7" i="15" s="1"/>
  <c r="J7" i="2"/>
  <c r="L12" i="2"/>
  <c r="X3" i="2" s="1"/>
  <c r="L16" i="2"/>
  <c r="M16" i="2" s="1"/>
  <c r="L9" i="2"/>
  <c r="M9" i="2" s="1"/>
  <c r="L10" i="2"/>
  <c r="V3" i="2" s="1"/>
  <c r="L13" i="2"/>
  <c r="M13" i="2" s="1"/>
  <c r="L14" i="2"/>
  <c r="M14" i="2" s="1"/>
  <c r="M814" i="13"/>
  <c r="D4" i="15"/>
  <c r="M512" i="13"/>
  <c r="M698" i="13"/>
  <c r="M766" i="13"/>
  <c r="L8" i="8"/>
  <c r="I757" i="13"/>
  <c r="I725" i="13"/>
  <c r="I661" i="13"/>
  <c r="I645" i="13"/>
  <c r="I629" i="13"/>
  <c r="I597" i="13"/>
  <c r="I533" i="13"/>
  <c r="I501" i="13"/>
  <c r="I485" i="13"/>
  <c r="I277" i="13"/>
  <c r="I261" i="13"/>
  <c r="I245" i="13"/>
  <c r="I69" i="13"/>
  <c r="I805" i="13"/>
  <c r="I773" i="13"/>
  <c r="I677" i="13"/>
  <c r="I581" i="13"/>
  <c r="I469" i="13"/>
  <c r="I389" i="13"/>
  <c r="I373" i="13"/>
  <c r="I325" i="13"/>
  <c r="I181" i="13"/>
  <c r="I117" i="13"/>
  <c r="I101" i="13"/>
  <c r="I21" i="13"/>
  <c r="I789" i="13"/>
  <c r="I741" i="13"/>
  <c r="I517" i="13"/>
  <c r="I453" i="13"/>
  <c r="I437" i="13"/>
  <c r="I341" i="13"/>
  <c r="I309" i="13"/>
  <c r="I293" i="13"/>
  <c r="I165" i="13"/>
  <c r="I149" i="13"/>
  <c r="I133" i="13"/>
  <c r="I709" i="13"/>
  <c r="I693" i="13"/>
  <c r="I613" i="13"/>
  <c r="I565" i="13"/>
  <c r="I549" i="13"/>
  <c r="I421" i="13"/>
  <c r="I405" i="13"/>
  <c r="I357" i="13"/>
  <c r="I229" i="13"/>
  <c r="I213" i="13"/>
  <c r="I197" i="13"/>
  <c r="I85" i="13"/>
  <c r="I53" i="13"/>
  <c r="I37" i="13"/>
  <c r="M570" i="13"/>
  <c r="M576" i="13"/>
  <c r="M623" i="13"/>
  <c r="M685" i="13"/>
  <c r="M688" i="13"/>
  <c r="M670" i="13"/>
  <c r="M687" i="13"/>
  <c r="M728" i="13"/>
  <c r="M760" i="13"/>
  <c r="M767" i="13"/>
  <c r="M794" i="13"/>
  <c r="M813" i="13"/>
  <c r="M816" i="13"/>
  <c r="M717" i="13"/>
  <c r="M764" i="13"/>
  <c r="M768" i="13"/>
  <c r="M810" i="13"/>
  <c r="M776" i="13"/>
  <c r="M778" i="13"/>
  <c r="M624" i="13"/>
  <c r="M683" i="13"/>
  <c r="M730" i="13"/>
  <c r="M749" i="13"/>
  <c r="M96" i="13"/>
  <c r="M656" i="13"/>
  <c r="M720" i="13"/>
  <c r="M746" i="13"/>
  <c r="M765" i="13"/>
  <c r="M665" i="13"/>
  <c r="M672" i="13"/>
  <c r="M735" i="13"/>
  <c r="M736" i="13"/>
  <c r="M797" i="13"/>
  <c r="M799" i="13"/>
  <c r="M800" i="13"/>
  <c r="V611" i="1"/>
  <c r="L615" i="1"/>
  <c r="M615" i="1" s="1"/>
  <c r="J615" i="13"/>
  <c r="V595" i="1"/>
  <c r="M604" i="1"/>
  <c r="L599" i="1"/>
  <c r="M599" i="1" s="1"/>
  <c r="G599" i="13"/>
  <c r="K599" i="13"/>
  <c r="J599" i="13"/>
  <c r="L603" i="13"/>
  <c r="M603" i="13" s="1"/>
  <c r="L605" i="13"/>
  <c r="M605" i="13" s="1"/>
  <c r="L606" i="13"/>
  <c r="L607" i="13"/>
  <c r="M607" i="13" s="1"/>
  <c r="L584" i="13"/>
  <c r="M584" i="13" s="1"/>
  <c r="L585" i="13"/>
  <c r="M585" i="13" s="1"/>
  <c r="K583" i="13"/>
  <c r="I583" i="13"/>
  <c r="L588" i="13"/>
  <c r="X579" i="13" s="1"/>
  <c r="L589" i="13"/>
  <c r="M589" i="13" s="1"/>
  <c r="L591" i="13"/>
  <c r="M591" i="13" s="1"/>
  <c r="L592" i="13"/>
  <c r="M592" i="13" s="1"/>
  <c r="V579" i="1"/>
  <c r="M572" i="1"/>
  <c r="G567" i="13"/>
  <c r="L571" i="13"/>
  <c r="M571" i="13" s="1"/>
  <c r="M554" i="13"/>
  <c r="M556" i="1"/>
  <c r="I551" i="13"/>
  <c r="L553" i="13"/>
  <c r="M553" i="13" s="1"/>
  <c r="J551" i="13"/>
  <c r="M540" i="1"/>
  <c r="L536" i="13"/>
  <c r="M536" i="13" s="1"/>
  <c r="G535" i="13"/>
  <c r="K535" i="13"/>
  <c r="L538" i="13"/>
  <c r="I535" i="13"/>
  <c r="L540" i="13"/>
  <c r="M540" i="13" s="1"/>
  <c r="L542" i="13"/>
  <c r="W531" i="13" s="1"/>
  <c r="L544" i="13"/>
  <c r="M544" i="13" s="1"/>
  <c r="M524" i="13"/>
  <c r="X515" i="13"/>
  <c r="I519" i="13"/>
  <c r="L520" i="13"/>
  <c r="L519" i="1"/>
  <c r="L503" i="1"/>
  <c r="I503" i="13"/>
  <c r="L505" i="13"/>
  <c r="M505" i="13" s="1"/>
  <c r="X483" i="1"/>
  <c r="L487" i="1"/>
  <c r="V467" i="1"/>
  <c r="U467" i="1"/>
  <c r="H471" i="13"/>
  <c r="L473" i="13"/>
  <c r="M473" i="13" s="1"/>
  <c r="K471" i="13"/>
  <c r="L474" i="13"/>
  <c r="M474" i="13" s="1"/>
  <c r="L475" i="13"/>
  <c r="M475" i="13" s="1"/>
  <c r="L476" i="13"/>
  <c r="M476" i="13" s="1"/>
  <c r="L477" i="13"/>
  <c r="M477" i="13" s="1"/>
  <c r="L478" i="13"/>
  <c r="M478" i="13" s="1"/>
  <c r="L479" i="13"/>
  <c r="M479" i="13" s="1"/>
  <c r="L480" i="13"/>
  <c r="M480" i="13" s="1"/>
  <c r="X451" i="1"/>
  <c r="L455" i="1"/>
  <c r="V451" i="1"/>
  <c r="L440" i="13"/>
  <c r="M440" i="13" s="1"/>
  <c r="G439" i="13"/>
  <c r="K439" i="13"/>
  <c r="L442" i="13"/>
  <c r="I439" i="13"/>
  <c r="L444" i="13"/>
  <c r="X435" i="13" s="1"/>
  <c r="L446" i="13"/>
  <c r="M446" i="13" s="1"/>
  <c r="L448" i="13"/>
  <c r="M448" i="13" s="1"/>
  <c r="V419" i="1"/>
  <c r="U419" i="1"/>
  <c r="M430" i="1"/>
  <c r="L426" i="13"/>
  <c r="W403" i="1"/>
  <c r="M408" i="1"/>
  <c r="M412" i="1"/>
  <c r="L407" i="1"/>
  <c r="H407" i="13"/>
  <c r="L409" i="13"/>
  <c r="M409" i="13" s="1"/>
  <c r="K407" i="13"/>
  <c r="I407" i="13"/>
  <c r="L413" i="13"/>
  <c r="M413" i="13" s="1"/>
  <c r="L415" i="13"/>
  <c r="M415" i="13" s="1"/>
  <c r="X387" i="13"/>
  <c r="U387" i="1"/>
  <c r="M395" i="1"/>
  <c r="G391" i="13"/>
  <c r="I391" i="13"/>
  <c r="W371" i="1"/>
  <c r="V371" i="1"/>
  <c r="H375" i="13"/>
  <c r="L377" i="13"/>
  <c r="M377" i="13" s="1"/>
  <c r="K375" i="13"/>
  <c r="L378" i="13"/>
  <c r="M378" i="13" s="1"/>
  <c r="L379" i="13"/>
  <c r="M379" i="13" s="1"/>
  <c r="L380" i="13"/>
  <c r="X371" i="13" s="1"/>
  <c r="L381" i="13"/>
  <c r="M381" i="13" s="1"/>
  <c r="L382" i="13"/>
  <c r="M382" i="13" s="1"/>
  <c r="L383" i="13"/>
  <c r="M383" i="13" s="1"/>
  <c r="L384" i="13"/>
  <c r="M384" i="13" s="1"/>
  <c r="U371" i="1"/>
  <c r="U355" i="1"/>
  <c r="M363" i="1"/>
  <c r="G359" i="13"/>
  <c r="L363" i="13"/>
  <c r="M363" i="13" s="1"/>
  <c r="M361" i="1"/>
  <c r="H359" i="13"/>
  <c r="L343" i="1"/>
  <c r="M343" i="1" s="1"/>
  <c r="L344" i="13"/>
  <c r="M344" i="13" s="1"/>
  <c r="L345" i="13"/>
  <c r="M345" i="13" s="1"/>
  <c r="L346" i="13"/>
  <c r="M346" i="13" s="1"/>
  <c r="I343" i="13"/>
  <c r="L348" i="13"/>
  <c r="M348" i="13" s="1"/>
  <c r="L349" i="13"/>
  <c r="M349" i="13" s="1"/>
  <c r="L350" i="13"/>
  <c r="W339" i="13" s="1"/>
  <c r="L351" i="13"/>
  <c r="M351" i="13" s="1"/>
  <c r="L352" i="13"/>
  <c r="M352" i="13" s="1"/>
  <c r="V323" i="1"/>
  <c r="M334" i="1"/>
  <c r="H327" i="13"/>
  <c r="L329" i="13"/>
  <c r="M329" i="13" s="1"/>
  <c r="K327" i="13"/>
  <c r="L330" i="13"/>
  <c r="M330" i="13" s="1"/>
  <c r="L331" i="13"/>
  <c r="M331" i="13" s="1"/>
  <c r="L332" i="13"/>
  <c r="X323" i="13" s="1"/>
  <c r="L333" i="13"/>
  <c r="M333" i="13" s="1"/>
  <c r="L334" i="13"/>
  <c r="W323" i="13" s="1"/>
  <c r="L335" i="13"/>
  <c r="M335" i="13" s="1"/>
  <c r="L336" i="13"/>
  <c r="M336" i="13" s="1"/>
  <c r="U323" i="1"/>
  <c r="M328" i="1"/>
  <c r="W307" i="1"/>
  <c r="H311" i="13"/>
  <c r="L313" i="13"/>
  <c r="M313" i="13" s="1"/>
  <c r="K311" i="13"/>
  <c r="I311" i="13"/>
  <c r="L317" i="13"/>
  <c r="M317" i="13" s="1"/>
  <c r="L319" i="13"/>
  <c r="M319" i="13" s="1"/>
  <c r="X307" i="1"/>
  <c r="L311" i="1"/>
  <c r="H295" i="13"/>
  <c r="W291" i="1"/>
  <c r="V291" i="1"/>
  <c r="L297" i="13"/>
  <c r="M297" i="13" s="1"/>
  <c r="L279" i="1"/>
  <c r="M279" i="1" s="1"/>
  <c r="H279" i="13"/>
  <c r="L280" i="13"/>
  <c r="M280" i="13" s="1"/>
  <c r="L263" i="1"/>
  <c r="J263" i="13"/>
  <c r="V259" i="1"/>
  <c r="H263" i="13"/>
  <c r="L265" i="13"/>
  <c r="M265" i="13" s="1"/>
  <c r="K263" i="13"/>
  <c r="I263" i="13"/>
  <c r="L269" i="13"/>
  <c r="M269" i="13" s="1"/>
  <c r="L271" i="13"/>
  <c r="M271" i="13" s="1"/>
  <c r="M248" i="1"/>
  <c r="L248" i="13"/>
  <c r="L249" i="13"/>
  <c r="M249" i="13" s="1"/>
  <c r="L250" i="13"/>
  <c r="M250" i="13" s="1"/>
  <c r="I247" i="13"/>
  <c r="L252" i="13"/>
  <c r="M252" i="13" s="1"/>
  <c r="L253" i="13"/>
  <c r="M253" i="13" s="1"/>
  <c r="L254" i="13"/>
  <c r="W243" i="13" s="1"/>
  <c r="L255" i="13"/>
  <c r="M255" i="13" s="1"/>
  <c r="L256" i="13"/>
  <c r="M256" i="13" s="1"/>
  <c r="X243" i="1"/>
  <c r="U227" i="1"/>
  <c r="M236" i="1"/>
  <c r="I231" i="13"/>
  <c r="X211" i="13"/>
  <c r="V211" i="1"/>
  <c r="X211" i="1"/>
  <c r="L215" i="1"/>
  <c r="I199" i="13"/>
  <c r="L203" i="13"/>
  <c r="M203" i="13" s="1"/>
  <c r="U195" i="1"/>
  <c r="L200" i="13"/>
  <c r="M200" i="13" s="1"/>
  <c r="L201" i="13"/>
  <c r="M201" i="13" s="1"/>
  <c r="L202" i="13"/>
  <c r="M202" i="13" s="1"/>
  <c r="L204" i="13"/>
  <c r="X195" i="13" s="1"/>
  <c r="L205" i="13"/>
  <c r="M205" i="13" s="1"/>
  <c r="L206" i="13"/>
  <c r="W195" i="13" s="1"/>
  <c r="L207" i="13"/>
  <c r="M207" i="13" s="1"/>
  <c r="L208" i="13"/>
  <c r="M208" i="13" s="1"/>
  <c r="M188" i="13"/>
  <c r="G183" i="13"/>
  <c r="K183" i="13"/>
  <c r="L186" i="13"/>
  <c r="M186" i="13" s="1"/>
  <c r="X179" i="1"/>
  <c r="H183" i="13"/>
  <c r="G12" i="13"/>
  <c r="G11" i="15" s="1"/>
  <c r="I10" i="13"/>
  <c r="I9" i="15" s="1"/>
  <c r="J13" i="13"/>
  <c r="J12" i="15" s="1"/>
  <c r="H15" i="13"/>
  <c r="X163" i="13"/>
  <c r="L168" i="13"/>
  <c r="M168" i="13" s="1"/>
  <c r="I167" i="13"/>
  <c r="L151" i="1"/>
  <c r="H151" i="13"/>
  <c r="L153" i="13"/>
  <c r="M153" i="13" s="1"/>
  <c r="K151" i="13"/>
  <c r="L154" i="13"/>
  <c r="M154" i="13" s="1"/>
  <c r="L155" i="13"/>
  <c r="M155" i="13" s="1"/>
  <c r="L156" i="13"/>
  <c r="X147" i="13" s="1"/>
  <c r="L157" i="13"/>
  <c r="M157" i="13" s="1"/>
  <c r="L158" i="13"/>
  <c r="W147" i="13" s="1"/>
  <c r="L159" i="13"/>
  <c r="M159" i="13" s="1"/>
  <c r="L160" i="13"/>
  <c r="M160" i="13" s="1"/>
  <c r="W131" i="1"/>
  <c r="L136" i="13"/>
  <c r="M136" i="13" s="1"/>
  <c r="G135" i="13"/>
  <c r="K135" i="13"/>
  <c r="J135" i="13"/>
  <c r="I135" i="13"/>
  <c r="L140" i="13"/>
  <c r="X131" i="13" s="1"/>
  <c r="L144" i="13"/>
  <c r="M144" i="13" s="1"/>
  <c r="X131" i="1"/>
  <c r="L135" i="1"/>
  <c r="I9" i="13"/>
  <c r="I8" i="15" s="1"/>
  <c r="K11" i="13"/>
  <c r="K10" i="15" s="1"/>
  <c r="K15" i="13"/>
  <c r="L138" i="13"/>
  <c r="M138" i="13" s="1"/>
  <c r="L142" i="13"/>
  <c r="M142" i="13" s="1"/>
  <c r="L119" i="1"/>
  <c r="T115" i="1" s="1"/>
  <c r="J8" i="13"/>
  <c r="J7" i="15" s="1"/>
  <c r="G11" i="13"/>
  <c r="G10" i="15" s="1"/>
  <c r="J12" i="13"/>
  <c r="J11" i="15" s="1"/>
  <c r="I13" i="13"/>
  <c r="I12" i="15" s="1"/>
  <c r="H14" i="13"/>
  <c r="H13" i="15" s="1"/>
  <c r="J16" i="13"/>
  <c r="L120" i="13"/>
  <c r="M120" i="13" s="1"/>
  <c r="L121" i="13"/>
  <c r="M121" i="13" s="1"/>
  <c r="L122" i="13"/>
  <c r="M122" i="13" s="1"/>
  <c r="I119" i="13"/>
  <c r="L124" i="13"/>
  <c r="X115" i="13" s="1"/>
  <c r="L125" i="13"/>
  <c r="M125" i="13" s="1"/>
  <c r="L126" i="13"/>
  <c r="M126" i="13" s="1"/>
  <c r="L127" i="13"/>
  <c r="M127" i="13" s="1"/>
  <c r="L128" i="13"/>
  <c r="M128" i="13" s="1"/>
  <c r="V115" i="1"/>
  <c r="U99" i="1"/>
  <c r="W83" i="1"/>
  <c r="V83" i="1"/>
  <c r="H87" i="13"/>
  <c r="L87" i="1"/>
  <c r="H10" i="13"/>
  <c r="H9" i="15" s="1"/>
  <c r="L77" i="13"/>
  <c r="M77" i="13" s="1"/>
  <c r="V67" i="1"/>
  <c r="U67" i="1"/>
  <c r="G15" i="13"/>
  <c r="L72" i="13"/>
  <c r="G71" i="13"/>
  <c r="K71" i="13"/>
  <c r="J71" i="13"/>
  <c r="I71" i="13"/>
  <c r="L76" i="13"/>
  <c r="M76" i="13" s="1"/>
  <c r="L80" i="13"/>
  <c r="M80" i="13" s="1"/>
  <c r="L78" i="13"/>
  <c r="W67" i="13" s="1"/>
  <c r="L56" i="13"/>
  <c r="L57" i="13"/>
  <c r="M57" i="13" s="1"/>
  <c r="L58" i="13"/>
  <c r="M58" i="13" s="1"/>
  <c r="I55" i="13"/>
  <c r="L60" i="13"/>
  <c r="X51" i="13" s="1"/>
  <c r="L61" i="13"/>
  <c r="M61" i="13" s="1"/>
  <c r="L62" i="13"/>
  <c r="W51" i="13" s="1"/>
  <c r="L63" i="13"/>
  <c r="M63" i="13" s="1"/>
  <c r="L64" i="13"/>
  <c r="M64" i="13" s="1"/>
  <c r="V51" i="1"/>
  <c r="G8" i="13"/>
  <c r="G7" i="15" s="1"/>
  <c r="J39" i="13"/>
  <c r="L41" i="13"/>
  <c r="M41" i="13" s="1"/>
  <c r="V35" i="1"/>
  <c r="H39" i="13"/>
  <c r="M30" i="1"/>
  <c r="G23" i="13"/>
  <c r="L31" i="13"/>
  <c r="M31" i="13" s="1"/>
  <c r="J23" i="13"/>
  <c r="H23" i="13"/>
  <c r="L29" i="13"/>
  <c r="M29" i="13" s="1"/>
  <c r="M812" i="13"/>
  <c r="M798" i="13"/>
  <c r="W787" i="13"/>
  <c r="H791" i="13"/>
  <c r="W771" i="13"/>
  <c r="M782" i="13"/>
  <c r="M780" i="13"/>
  <c r="H775" i="13"/>
  <c r="I775" i="13"/>
  <c r="M744" i="13"/>
  <c r="M750" i="13"/>
  <c r="W739" i="13"/>
  <c r="I743" i="13"/>
  <c r="G743" i="13"/>
  <c r="L729" i="13"/>
  <c r="I727" i="13"/>
  <c r="W707" i="13"/>
  <c r="M718" i="13"/>
  <c r="G711" i="13"/>
  <c r="M702" i="13"/>
  <c r="W691" i="13"/>
  <c r="H695" i="13"/>
  <c r="I695" i="13"/>
  <c r="I679" i="13"/>
  <c r="G679" i="13"/>
  <c r="U659" i="13"/>
  <c r="L663" i="13"/>
  <c r="M663" i="13" s="1"/>
  <c r="M664" i="13"/>
  <c r="M668" i="13"/>
  <c r="X659" i="13"/>
  <c r="G663" i="13"/>
  <c r="H663" i="13"/>
  <c r="I647" i="13"/>
  <c r="L649" i="13"/>
  <c r="M649" i="13" s="1"/>
  <c r="J647" i="13"/>
  <c r="H631" i="13"/>
  <c r="J631" i="13"/>
  <c r="G615" i="13"/>
  <c r="L619" i="13"/>
  <c r="M619" i="13" s="1"/>
  <c r="H615" i="13"/>
  <c r="M606" i="13"/>
  <c r="W595" i="13"/>
  <c r="I599" i="13"/>
  <c r="L601" i="13"/>
  <c r="M601" i="13" s="1"/>
  <c r="G583" i="13"/>
  <c r="L587" i="13"/>
  <c r="M587" i="13" s="1"/>
  <c r="H583" i="13"/>
  <c r="M542" i="13"/>
  <c r="J535" i="13"/>
  <c r="M492" i="13"/>
  <c r="X483" i="13"/>
  <c r="J487" i="13"/>
  <c r="L488" i="13"/>
  <c r="G487" i="13"/>
  <c r="X467" i="13"/>
  <c r="W467" i="13"/>
  <c r="J471" i="13"/>
  <c r="L472" i="13"/>
  <c r="G471" i="13"/>
  <c r="W451" i="13"/>
  <c r="H455" i="13"/>
  <c r="L459" i="13"/>
  <c r="M459" i="13" s="1"/>
  <c r="J455" i="13"/>
  <c r="J439" i="13"/>
  <c r="G423" i="13"/>
  <c r="M426" i="13"/>
  <c r="L427" i="13"/>
  <c r="M427" i="13" s="1"/>
  <c r="G407" i="13"/>
  <c r="L411" i="13"/>
  <c r="M411" i="13" s="1"/>
  <c r="G375" i="13"/>
  <c r="J375" i="13"/>
  <c r="L376" i="13"/>
  <c r="H343" i="13"/>
  <c r="L347" i="13"/>
  <c r="M347" i="13" s="1"/>
  <c r="J343" i="13"/>
  <c r="J327" i="13"/>
  <c r="G327" i="13"/>
  <c r="L328" i="13"/>
  <c r="J11" i="13"/>
  <c r="J10" i="15" s="1"/>
  <c r="I12" i="13"/>
  <c r="I11" i="15" s="1"/>
  <c r="G311" i="13"/>
  <c r="M316" i="13"/>
  <c r="L315" i="13"/>
  <c r="M315" i="13" s="1"/>
  <c r="M298" i="13"/>
  <c r="J295" i="13"/>
  <c r="G263" i="13"/>
  <c r="M268" i="13"/>
  <c r="L267" i="13"/>
  <c r="X243" i="13"/>
  <c r="H247" i="13"/>
  <c r="L251" i="13"/>
  <c r="M251" i="13" s="1"/>
  <c r="J247" i="13"/>
  <c r="M236" i="13"/>
  <c r="X227" i="13"/>
  <c r="J231" i="13"/>
  <c r="L232" i="13"/>
  <c r="G231" i="13"/>
  <c r="H199" i="13"/>
  <c r="J199" i="13"/>
  <c r="G167" i="13"/>
  <c r="G10" i="13"/>
  <c r="G9" i="15" s="1"/>
  <c r="K10" i="13"/>
  <c r="K9" i="15" s="1"/>
  <c r="H13" i="13"/>
  <c r="H12" i="15" s="1"/>
  <c r="I16" i="13"/>
  <c r="I8" i="13"/>
  <c r="I7" i="15" s="1"/>
  <c r="H9" i="13"/>
  <c r="H8" i="15" s="1"/>
  <c r="K14" i="13"/>
  <c r="K13" i="15" s="1"/>
  <c r="J15" i="13"/>
  <c r="J151" i="13"/>
  <c r="L152" i="13"/>
  <c r="G151" i="13"/>
  <c r="M140" i="13"/>
  <c r="H119" i="13"/>
  <c r="L123" i="13"/>
  <c r="M123" i="13" s="1"/>
  <c r="J119" i="13"/>
  <c r="G103" i="13"/>
  <c r="L107" i="13"/>
  <c r="M107" i="13" s="1"/>
  <c r="G14" i="13"/>
  <c r="G13" i="15" s="1"/>
  <c r="L74" i="13"/>
  <c r="K9" i="13"/>
  <c r="K8" i="15" s="1"/>
  <c r="M56" i="13"/>
  <c r="G9" i="13"/>
  <c r="G8" i="15" s="1"/>
  <c r="J10" i="13"/>
  <c r="J9" i="15" s="1"/>
  <c r="I11" i="13"/>
  <c r="I10" i="15" s="1"/>
  <c r="H55" i="13"/>
  <c r="L59" i="13"/>
  <c r="M59" i="13" s="1"/>
  <c r="H12" i="13"/>
  <c r="H11" i="15" s="1"/>
  <c r="K13" i="13"/>
  <c r="K12" i="15" s="1"/>
  <c r="J14" i="13"/>
  <c r="J13" i="15" s="1"/>
  <c r="I15" i="13"/>
  <c r="H16" i="13"/>
  <c r="J55" i="13"/>
  <c r="G13" i="13"/>
  <c r="G12" i="15" s="1"/>
  <c r="X19" i="13"/>
  <c r="H8" i="13"/>
  <c r="H7" i="15" s="1"/>
  <c r="L24" i="13"/>
  <c r="M24" i="12"/>
  <c r="U19" i="12"/>
  <c r="U19" i="8"/>
  <c r="L23" i="6"/>
  <c r="M23" i="6" s="1"/>
  <c r="U19" i="3"/>
  <c r="L23" i="3"/>
  <c r="M23" i="3" s="1"/>
  <c r="M24" i="2"/>
  <c r="L8" i="2"/>
  <c r="M8" i="2" s="1"/>
  <c r="U19" i="2"/>
  <c r="W579" i="13"/>
  <c r="M809" i="13"/>
  <c r="L807" i="13"/>
  <c r="M648" i="13"/>
  <c r="M602" i="13"/>
  <c r="L695" i="13"/>
  <c r="M618" i="13"/>
  <c r="M650" i="13"/>
  <c r="W643" i="13"/>
  <c r="M654" i="13"/>
  <c r="M731" i="13"/>
  <c r="L727" i="13"/>
  <c r="V723" i="13"/>
  <c r="X595" i="13"/>
  <c r="M604" i="13"/>
  <c r="V787" i="13"/>
  <c r="M795" i="13"/>
  <c r="U723" i="13"/>
  <c r="M729" i="13"/>
  <c r="U675" i="13"/>
  <c r="M681" i="13"/>
  <c r="U739" i="13"/>
  <c r="M745" i="13"/>
  <c r="U755" i="13"/>
  <c r="M761" i="13"/>
  <c r="L775" i="13"/>
  <c r="V803" i="13"/>
  <c r="M811" i="13"/>
  <c r="V147" i="12"/>
  <c r="M154" i="12"/>
  <c r="M87" i="12"/>
  <c r="T83" i="12"/>
  <c r="V131" i="12"/>
  <c r="M138" i="12"/>
  <c r="V195" i="12"/>
  <c r="M202" i="12"/>
  <c r="G7" i="12"/>
  <c r="V179" i="12"/>
  <c r="M186" i="12"/>
  <c r="L8" i="12"/>
  <c r="V163" i="12"/>
  <c r="M170" i="12"/>
  <c r="M263" i="12"/>
  <c r="W115" i="12"/>
  <c r="L119" i="12"/>
  <c r="L135" i="12"/>
  <c r="L151" i="12"/>
  <c r="L167" i="12"/>
  <c r="L183" i="12"/>
  <c r="L199" i="12"/>
  <c r="T307" i="12"/>
  <c r="M231" i="12"/>
  <c r="T227" i="12"/>
  <c r="M295" i="12"/>
  <c r="T291" i="12"/>
  <c r="M142" i="12"/>
  <c r="M158" i="12"/>
  <c r="M174" i="12"/>
  <c r="M190" i="12"/>
  <c r="M206" i="12"/>
  <c r="U323" i="12"/>
  <c r="U627" i="12"/>
  <c r="M633" i="12"/>
  <c r="L631" i="12"/>
  <c r="M476" i="12"/>
  <c r="M492" i="12"/>
  <c r="M508" i="12"/>
  <c r="M524" i="12"/>
  <c r="M540" i="12"/>
  <c r="M556" i="12"/>
  <c r="M572" i="12"/>
  <c r="L327" i="12"/>
  <c r="V339" i="12"/>
  <c r="M346" i="12"/>
  <c r="V355" i="12"/>
  <c r="M362" i="12"/>
  <c r="V371" i="12"/>
  <c r="M378" i="12"/>
  <c r="V387" i="12"/>
  <c r="M394" i="12"/>
  <c r="V403" i="12"/>
  <c r="M410" i="12"/>
  <c r="V419" i="12"/>
  <c r="M426" i="12"/>
  <c r="V435" i="12"/>
  <c r="M442" i="12"/>
  <c r="V451" i="12"/>
  <c r="M458" i="12"/>
  <c r="V467" i="12"/>
  <c r="M474" i="12"/>
  <c r="V483" i="12"/>
  <c r="M490" i="12"/>
  <c r="V499" i="12"/>
  <c r="M506" i="12"/>
  <c r="V515" i="12"/>
  <c r="M522" i="12"/>
  <c r="V531" i="12"/>
  <c r="M538" i="12"/>
  <c r="V547" i="12"/>
  <c r="M554" i="12"/>
  <c r="V563" i="12"/>
  <c r="M570" i="12"/>
  <c r="U659" i="12"/>
  <c r="M665" i="12"/>
  <c r="L663" i="12"/>
  <c r="L343" i="12"/>
  <c r="L359" i="12"/>
  <c r="L375" i="12"/>
  <c r="L391" i="12"/>
  <c r="L407" i="12"/>
  <c r="L423" i="12"/>
  <c r="L439" i="12"/>
  <c r="L455" i="12"/>
  <c r="L471" i="12"/>
  <c r="L487" i="12"/>
  <c r="L503" i="12"/>
  <c r="L519" i="12"/>
  <c r="L535" i="12"/>
  <c r="L551" i="12"/>
  <c r="L567" i="12"/>
  <c r="M344" i="12"/>
  <c r="M360" i="12"/>
  <c r="M376" i="12"/>
  <c r="M392" i="12"/>
  <c r="M408" i="12"/>
  <c r="M424" i="12"/>
  <c r="M440" i="12"/>
  <c r="M456" i="12"/>
  <c r="M472" i="12"/>
  <c r="M488" i="12"/>
  <c r="M504" i="12"/>
  <c r="M520" i="12"/>
  <c r="M536" i="12"/>
  <c r="M552" i="12"/>
  <c r="M568" i="12"/>
  <c r="U595" i="12"/>
  <c r="M601" i="12"/>
  <c r="L599" i="12"/>
  <c r="V691" i="12"/>
  <c r="M698" i="12"/>
  <c r="V707" i="12"/>
  <c r="M714" i="12"/>
  <c r="V723" i="12"/>
  <c r="M730" i="12"/>
  <c r="V755" i="12"/>
  <c r="M762" i="12"/>
  <c r="V611" i="12"/>
  <c r="U611" i="12"/>
  <c r="M617" i="12"/>
  <c r="V643" i="12"/>
  <c r="U643" i="12"/>
  <c r="M649" i="12"/>
  <c r="V675" i="12"/>
  <c r="L679" i="12"/>
  <c r="M615" i="12"/>
  <c r="T611" i="12"/>
  <c r="M647" i="12"/>
  <c r="T643" i="12"/>
  <c r="V739" i="12"/>
  <c r="M746" i="12"/>
  <c r="L695" i="12"/>
  <c r="L711" i="12"/>
  <c r="L727" i="12"/>
  <c r="L743" i="12"/>
  <c r="L759" i="12"/>
  <c r="L775" i="12"/>
  <c r="M778" i="12"/>
  <c r="L791" i="12"/>
  <c r="M794" i="12"/>
  <c r="U675" i="12"/>
  <c r="M696" i="12"/>
  <c r="M712" i="12"/>
  <c r="M728" i="12"/>
  <c r="M744" i="12"/>
  <c r="M760" i="12"/>
  <c r="M776" i="12"/>
  <c r="M792" i="12"/>
  <c r="W803" i="12"/>
  <c r="L807" i="12"/>
  <c r="X803" i="12"/>
  <c r="L8" i="5"/>
  <c r="L183" i="5"/>
  <c r="M184" i="5"/>
  <c r="M202" i="5"/>
  <c r="V195" i="5"/>
  <c r="W227" i="5"/>
  <c r="M238" i="5"/>
  <c r="L247" i="5"/>
  <c r="M248" i="5"/>
  <c r="M266" i="5"/>
  <c r="V259" i="5"/>
  <c r="W291" i="5"/>
  <c r="M302" i="5"/>
  <c r="L311" i="5"/>
  <c r="M312" i="5"/>
  <c r="M330" i="5"/>
  <c r="V323" i="5"/>
  <c r="W355" i="5"/>
  <c r="M366" i="5"/>
  <c r="L375" i="5"/>
  <c r="M376" i="5"/>
  <c r="M394" i="5"/>
  <c r="V387" i="5"/>
  <c r="W419" i="5"/>
  <c r="M430" i="5"/>
  <c r="L439" i="5"/>
  <c r="M440" i="5"/>
  <c r="M458" i="5"/>
  <c r="V451" i="5"/>
  <c r="L487" i="5"/>
  <c r="M488" i="5"/>
  <c r="M506" i="5"/>
  <c r="V499" i="5"/>
  <c r="M39" i="6"/>
  <c r="T35" i="6"/>
  <c r="V35" i="6"/>
  <c r="M43" i="6"/>
  <c r="X67" i="6"/>
  <c r="M76" i="6"/>
  <c r="L103" i="6"/>
  <c r="M104" i="6"/>
  <c r="X131" i="6"/>
  <c r="M140" i="6"/>
  <c r="W547" i="6"/>
  <c r="M558" i="6"/>
  <c r="M570" i="6"/>
  <c r="V563" i="6"/>
  <c r="W675" i="6"/>
  <c r="M686" i="6"/>
  <c r="M698" i="6"/>
  <c r="V691" i="6"/>
  <c r="W163" i="5"/>
  <c r="M174" i="5"/>
  <c r="X147" i="5"/>
  <c r="M154" i="5"/>
  <c r="V147" i="5"/>
  <c r="W179" i="5"/>
  <c r="M190" i="5"/>
  <c r="L199" i="5"/>
  <c r="M200" i="5"/>
  <c r="X211" i="5"/>
  <c r="M218" i="5"/>
  <c r="V211" i="5"/>
  <c r="W243" i="5"/>
  <c r="M254" i="5"/>
  <c r="L263" i="5"/>
  <c r="M264" i="5"/>
  <c r="X275" i="5"/>
  <c r="M282" i="5"/>
  <c r="V275" i="5"/>
  <c r="W307" i="5"/>
  <c r="M318" i="5"/>
  <c r="L327" i="5"/>
  <c r="M328" i="5"/>
  <c r="X339" i="5"/>
  <c r="M346" i="5"/>
  <c r="V339" i="5"/>
  <c r="W371" i="5"/>
  <c r="M382" i="5"/>
  <c r="L391" i="5"/>
  <c r="M392" i="5"/>
  <c r="X403" i="5"/>
  <c r="M410" i="5"/>
  <c r="V403" i="5"/>
  <c r="W435" i="5"/>
  <c r="M446" i="5"/>
  <c r="L455" i="5"/>
  <c r="M456" i="5"/>
  <c r="X467" i="5"/>
  <c r="M474" i="5"/>
  <c r="V467" i="5"/>
  <c r="U483" i="5"/>
  <c r="W483" i="5"/>
  <c r="M494" i="5"/>
  <c r="L503" i="5"/>
  <c r="M504" i="5"/>
  <c r="X3" i="6"/>
  <c r="U19" i="6"/>
  <c r="M25" i="6"/>
  <c r="M74" i="6"/>
  <c r="V67" i="6"/>
  <c r="W99" i="6"/>
  <c r="M110" i="6"/>
  <c r="M138" i="6"/>
  <c r="V131" i="6"/>
  <c r="L247" i="6"/>
  <c r="M248" i="6"/>
  <c r="U243" i="6"/>
  <c r="W515" i="6"/>
  <c r="M526" i="6"/>
  <c r="M538" i="6"/>
  <c r="V531" i="6"/>
  <c r="W643" i="6"/>
  <c r="M654" i="6"/>
  <c r="M666" i="6"/>
  <c r="V659" i="6"/>
  <c r="T19" i="5"/>
  <c r="M25" i="5"/>
  <c r="T35" i="5"/>
  <c r="M41" i="5"/>
  <c r="T51" i="5"/>
  <c r="M57" i="5"/>
  <c r="M73" i="5"/>
  <c r="T83" i="5"/>
  <c r="M89" i="5"/>
  <c r="T99" i="5"/>
  <c r="M105" i="5"/>
  <c r="T115" i="5"/>
  <c r="M121" i="5"/>
  <c r="T131" i="5"/>
  <c r="X131" i="5"/>
  <c r="M137" i="5"/>
  <c r="L151" i="5"/>
  <c r="M152" i="5"/>
  <c r="X163" i="5"/>
  <c r="M170" i="5"/>
  <c r="V163" i="5"/>
  <c r="U179" i="5"/>
  <c r="W195" i="5"/>
  <c r="M206" i="5"/>
  <c r="L215" i="5"/>
  <c r="M216" i="5"/>
  <c r="X227" i="5"/>
  <c r="M234" i="5"/>
  <c r="V227" i="5"/>
  <c r="U243" i="5"/>
  <c r="W259" i="5"/>
  <c r="M270" i="5"/>
  <c r="L279" i="5"/>
  <c r="M280" i="5"/>
  <c r="X291" i="5"/>
  <c r="M298" i="5"/>
  <c r="V291" i="5"/>
  <c r="U307" i="5"/>
  <c r="W323" i="5"/>
  <c r="M334" i="5"/>
  <c r="L343" i="5"/>
  <c r="M344" i="5"/>
  <c r="X355" i="5"/>
  <c r="M362" i="5"/>
  <c r="V355" i="5"/>
  <c r="U371" i="5"/>
  <c r="W387" i="5"/>
  <c r="M398" i="5"/>
  <c r="L407" i="5"/>
  <c r="M408" i="5"/>
  <c r="X419" i="5"/>
  <c r="M426" i="5"/>
  <c r="V419" i="5"/>
  <c r="U435" i="5"/>
  <c r="W451" i="5"/>
  <c r="M462" i="5"/>
  <c r="L471" i="5"/>
  <c r="M472" i="5"/>
  <c r="W499" i="5"/>
  <c r="M510" i="5"/>
  <c r="T531" i="5"/>
  <c r="T579" i="5"/>
  <c r="L8" i="6"/>
  <c r="L13" i="6"/>
  <c r="M13" i="6" s="1"/>
  <c r="L16" i="6"/>
  <c r="M16" i="6" s="1"/>
  <c r="U35" i="6"/>
  <c r="M41" i="6"/>
  <c r="L71" i="6"/>
  <c r="M72" i="6"/>
  <c r="X99" i="6"/>
  <c r="M108" i="6"/>
  <c r="L135" i="6"/>
  <c r="M136" i="6"/>
  <c r="W451" i="6"/>
  <c r="M462" i="6"/>
  <c r="M474" i="6"/>
  <c r="V467" i="6"/>
  <c r="W483" i="6"/>
  <c r="M494" i="6"/>
  <c r="M506" i="6"/>
  <c r="V499" i="6"/>
  <c r="W611" i="6"/>
  <c r="M622" i="6"/>
  <c r="M634" i="6"/>
  <c r="V627" i="6"/>
  <c r="W147" i="5"/>
  <c r="M158" i="5"/>
  <c r="L167" i="5"/>
  <c r="M168" i="5"/>
  <c r="M186" i="5"/>
  <c r="V179" i="5"/>
  <c r="U195" i="5"/>
  <c r="W211" i="5"/>
  <c r="M222" i="5"/>
  <c r="L231" i="5"/>
  <c r="M232" i="5"/>
  <c r="M250" i="5"/>
  <c r="V243" i="5"/>
  <c r="U259" i="5"/>
  <c r="W275" i="5"/>
  <c r="M286" i="5"/>
  <c r="L295" i="5"/>
  <c r="M296" i="5"/>
  <c r="M314" i="5"/>
  <c r="V307" i="5"/>
  <c r="U323" i="5"/>
  <c r="W339" i="5"/>
  <c r="M350" i="5"/>
  <c r="L359" i="5"/>
  <c r="M360" i="5"/>
  <c r="M378" i="5"/>
  <c r="V371" i="5"/>
  <c r="U387" i="5"/>
  <c r="W403" i="5"/>
  <c r="M414" i="5"/>
  <c r="L423" i="5"/>
  <c r="M424" i="5"/>
  <c r="M442" i="5"/>
  <c r="V435" i="5"/>
  <c r="U451" i="5"/>
  <c r="W467" i="5"/>
  <c r="M478" i="5"/>
  <c r="M490" i="5"/>
  <c r="V483" i="5"/>
  <c r="U499" i="5"/>
  <c r="T547" i="5"/>
  <c r="T643" i="5"/>
  <c r="T707" i="5"/>
  <c r="T771" i="5"/>
  <c r="T19" i="6"/>
  <c r="V19" i="6"/>
  <c r="M27" i="6"/>
  <c r="M55" i="6"/>
  <c r="T51" i="6"/>
  <c r="W67" i="6"/>
  <c r="M78" i="6"/>
  <c r="U99" i="6"/>
  <c r="M106" i="6"/>
  <c r="V99" i="6"/>
  <c r="W131" i="6"/>
  <c r="M142" i="6"/>
  <c r="W291" i="6"/>
  <c r="M302" i="6"/>
  <c r="L311" i="6"/>
  <c r="M312" i="6"/>
  <c r="U307" i="6"/>
  <c r="L391" i="6"/>
  <c r="M392" i="6"/>
  <c r="U387" i="6"/>
  <c r="W579" i="6"/>
  <c r="M590" i="6"/>
  <c r="M602" i="6"/>
  <c r="V595" i="6"/>
  <c r="T163" i="6"/>
  <c r="M183" i="6"/>
  <c r="T179" i="6"/>
  <c r="M199" i="6"/>
  <c r="T195" i="6"/>
  <c r="M215" i="6"/>
  <c r="T211" i="6"/>
  <c r="M231" i="6"/>
  <c r="T227" i="6"/>
  <c r="W243" i="6"/>
  <c r="M254" i="6"/>
  <c r="M263" i="6"/>
  <c r="T259" i="6"/>
  <c r="W307" i="6"/>
  <c r="M318" i="6"/>
  <c r="M327" i="6"/>
  <c r="T323" i="6"/>
  <c r="L407" i="6"/>
  <c r="M408" i="6"/>
  <c r="X451" i="6"/>
  <c r="M460" i="6"/>
  <c r="L471" i="6"/>
  <c r="M472" i="6"/>
  <c r="X483" i="6"/>
  <c r="M492" i="6"/>
  <c r="L503" i="6"/>
  <c r="M504" i="6"/>
  <c r="X515" i="6"/>
  <c r="M524" i="6"/>
  <c r="L535" i="6"/>
  <c r="M536" i="6"/>
  <c r="X547" i="6"/>
  <c r="M556" i="6"/>
  <c r="L567" i="6"/>
  <c r="M568" i="6"/>
  <c r="X579" i="6"/>
  <c r="M588" i="6"/>
  <c r="L599" i="6"/>
  <c r="M600" i="6"/>
  <c r="X611" i="6"/>
  <c r="M620" i="6"/>
  <c r="L631" i="6"/>
  <c r="M632" i="6"/>
  <c r="X643" i="6"/>
  <c r="M652" i="6"/>
  <c r="L663" i="6"/>
  <c r="M664" i="6"/>
  <c r="X675" i="6"/>
  <c r="M684" i="6"/>
  <c r="L695" i="6"/>
  <c r="M696" i="6"/>
  <c r="V515" i="5"/>
  <c r="M520" i="5"/>
  <c r="M526" i="5"/>
  <c r="V531" i="5"/>
  <c r="M536" i="5"/>
  <c r="M542" i="5"/>
  <c r="V547" i="5"/>
  <c r="M552" i="5"/>
  <c r="M558" i="5"/>
  <c r="V563" i="5"/>
  <c r="M568" i="5"/>
  <c r="M574" i="5"/>
  <c r="V579" i="5"/>
  <c r="M584" i="5"/>
  <c r="M590" i="5"/>
  <c r="V595" i="5"/>
  <c r="M600" i="5"/>
  <c r="M606" i="5"/>
  <c r="V611" i="5"/>
  <c r="M616" i="5"/>
  <c r="M622" i="5"/>
  <c r="V627" i="5"/>
  <c r="M632" i="5"/>
  <c r="M638" i="5"/>
  <c r="V643" i="5"/>
  <c r="M648" i="5"/>
  <c r="M654" i="5"/>
  <c r="V659" i="5"/>
  <c r="M664" i="5"/>
  <c r="M670" i="5"/>
  <c r="V675" i="5"/>
  <c r="M680" i="5"/>
  <c r="M686" i="5"/>
  <c r="V691" i="5"/>
  <c r="M696" i="5"/>
  <c r="M702" i="5"/>
  <c r="V707" i="5"/>
  <c r="M712" i="5"/>
  <c r="M718" i="5"/>
  <c r="V723" i="5"/>
  <c r="M728" i="5"/>
  <c r="M734" i="5"/>
  <c r="V739" i="5"/>
  <c r="M744" i="5"/>
  <c r="M750" i="5"/>
  <c r="V755" i="5"/>
  <c r="M760" i="5"/>
  <c r="M766" i="5"/>
  <c r="V771" i="5"/>
  <c r="M776" i="5"/>
  <c r="M782" i="5"/>
  <c r="V787" i="5"/>
  <c r="M792" i="5"/>
  <c r="M798" i="5"/>
  <c r="V803" i="5"/>
  <c r="M808" i="5"/>
  <c r="M814" i="5"/>
  <c r="U147" i="6"/>
  <c r="M152" i="6"/>
  <c r="M154" i="6"/>
  <c r="M158" i="6"/>
  <c r="V163" i="6"/>
  <c r="M168" i="6"/>
  <c r="M172" i="6"/>
  <c r="M174" i="6"/>
  <c r="V179" i="6"/>
  <c r="M184" i="6"/>
  <c r="M188" i="6"/>
  <c r="M190" i="6"/>
  <c r="V195" i="6"/>
  <c r="M200" i="6"/>
  <c r="M204" i="6"/>
  <c r="M206" i="6"/>
  <c r="V211" i="6"/>
  <c r="M216" i="6"/>
  <c r="M220" i="6"/>
  <c r="M222" i="6"/>
  <c r="V227" i="6"/>
  <c r="M232" i="6"/>
  <c r="M236" i="6"/>
  <c r="M238" i="6"/>
  <c r="U259" i="6"/>
  <c r="M264" i="6"/>
  <c r="W259" i="6"/>
  <c r="M270" i="6"/>
  <c r="M279" i="6"/>
  <c r="T275" i="6"/>
  <c r="U323" i="6"/>
  <c r="M328" i="6"/>
  <c r="W323" i="6"/>
  <c r="M334" i="6"/>
  <c r="M343" i="6"/>
  <c r="T339" i="6"/>
  <c r="L359" i="6"/>
  <c r="M360" i="6"/>
  <c r="L423" i="6"/>
  <c r="M424" i="6"/>
  <c r="M458" i="6"/>
  <c r="V451" i="6"/>
  <c r="W467" i="6"/>
  <c r="M478" i="6"/>
  <c r="M490" i="6"/>
  <c r="V483" i="6"/>
  <c r="W499" i="6"/>
  <c r="M510" i="6"/>
  <c r="M522" i="6"/>
  <c r="V515" i="6"/>
  <c r="W531" i="6"/>
  <c r="M542" i="6"/>
  <c r="M554" i="6"/>
  <c r="V547" i="6"/>
  <c r="W563" i="6"/>
  <c r="M574" i="6"/>
  <c r="M586" i="6"/>
  <c r="V579" i="6"/>
  <c r="W595" i="6"/>
  <c r="M606" i="6"/>
  <c r="M618" i="6"/>
  <c r="V611" i="6"/>
  <c r="W627" i="6"/>
  <c r="M638" i="6"/>
  <c r="M650" i="6"/>
  <c r="V643" i="6"/>
  <c r="W659" i="6"/>
  <c r="M670" i="6"/>
  <c r="M682" i="6"/>
  <c r="V675" i="6"/>
  <c r="W691" i="6"/>
  <c r="M702" i="6"/>
  <c r="M714" i="6"/>
  <c r="V707" i="6"/>
  <c r="G7" i="6"/>
  <c r="M88" i="6"/>
  <c r="M94" i="6"/>
  <c r="M120" i="6"/>
  <c r="M126" i="6"/>
  <c r="M280" i="6"/>
  <c r="W275" i="6"/>
  <c r="M286" i="6"/>
  <c r="M295" i="6"/>
  <c r="T291" i="6"/>
  <c r="U339" i="6"/>
  <c r="M344" i="6"/>
  <c r="W339" i="6"/>
  <c r="M350" i="6"/>
  <c r="L375" i="6"/>
  <c r="M376" i="6"/>
  <c r="U403" i="6"/>
  <c r="L439" i="6"/>
  <c r="M440" i="6"/>
  <c r="L455" i="6"/>
  <c r="M456" i="6"/>
  <c r="X467" i="6"/>
  <c r="M476" i="6"/>
  <c r="L487" i="6"/>
  <c r="M488" i="6"/>
  <c r="X499" i="6"/>
  <c r="M508" i="6"/>
  <c r="L519" i="6"/>
  <c r="M520" i="6"/>
  <c r="X531" i="6"/>
  <c r="M540" i="6"/>
  <c r="L551" i="6"/>
  <c r="M552" i="6"/>
  <c r="X563" i="6"/>
  <c r="M572" i="6"/>
  <c r="L583" i="6"/>
  <c r="M584" i="6"/>
  <c r="X595" i="6"/>
  <c r="M604" i="6"/>
  <c r="L615" i="6"/>
  <c r="M616" i="6"/>
  <c r="X627" i="6"/>
  <c r="M636" i="6"/>
  <c r="L647" i="6"/>
  <c r="M648" i="6"/>
  <c r="X659" i="6"/>
  <c r="M668" i="6"/>
  <c r="L679" i="6"/>
  <c r="M680" i="6"/>
  <c r="X691" i="6"/>
  <c r="M700" i="6"/>
  <c r="L711" i="6"/>
  <c r="M712" i="6"/>
  <c r="M366" i="6"/>
  <c r="M382" i="6"/>
  <c r="M398" i="6"/>
  <c r="M414" i="6"/>
  <c r="M430" i="6"/>
  <c r="M446" i="6"/>
  <c r="M775" i="6"/>
  <c r="T771" i="6"/>
  <c r="L23" i="7"/>
  <c r="M24" i="7"/>
  <c r="X35" i="7"/>
  <c r="M44" i="7"/>
  <c r="W51" i="7"/>
  <c r="M62" i="7"/>
  <c r="L71" i="7"/>
  <c r="M72" i="7"/>
  <c r="M90" i="7"/>
  <c r="V83" i="7"/>
  <c r="X99" i="7"/>
  <c r="M108" i="7"/>
  <c r="M126" i="7"/>
  <c r="W115" i="7"/>
  <c r="M172" i="7"/>
  <c r="X163" i="7"/>
  <c r="W179" i="7"/>
  <c r="M190" i="7"/>
  <c r="M236" i="7"/>
  <c r="X227" i="7"/>
  <c r="M266" i="7"/>
  <c r="V259" i="7"/>
  <c r="M330" i="7"/>
  <c r="V323" i="7"/>
  <c r="L503" i="7"/>
  <c r="M504" i="7"/>
  <c r="U499" i="7"/>
  <c r="M791" i="6"/>
  <c r="T787" i="6"/>
  <c r="L9" i="7"/>
  <c r="M9" i="7" s="1"/>
  <c r="L11" i="7"/>
  <c r="M11" i="7" s="1"/>
  <c r="L14" i="7"/>
  <c r="W19" i="7"/>
  <c r="M30" i="7"/>
  <c r="M42" i="7"/>
  <c r="V35" i="7"/>
  <c r="X51" i="7"/>
  <c r="M60" i="7"/>
  <c r="W67" i="7"/>
  <c r="M78" i="7"/>
  <c r="L87" i="7"/>
  <c r="M88" i="7"/>
  <c r="M106" i="7"/>
  <c r="V99" i="7"/>
  <c r="X115" i="7"/>
  <c r="M124" i="7"/>
  <c r="M284" i="7"/>
  <c r="X275" i="7"/>
  <c r="W291" i="7"/>
  <c r="M302" i="7"/>
  <c r="M343" i="7"/>
  <c r="T339" i="7"/>
  <c r="M727" i="6"/>
  <c r="T723" i="6"/>
  <c r="M743" i="6"/>
  <c r="T739" i="6"/>
  <c r="M807" i="6"/>
  <c r="T803" i="6"/>
  <c r="X19" i="7"/>
  <c r="M28" i="7"/>
  <c r="L39" i="7"/>
  <c r="M40" i="7"/>
  <c r="M58" i="7"/>
  <c r="V51" i="7"/>
  <c r="X67" i="7"/>
  <c r="M76" i="7"/>
  <c r="W83" i="7"/>
  <c r="M94" i="7"/>
  <c r="L103" i="7"/>
  <c r="M104" i="7"/>
  <c r="M122" i="7"/>
  <c r="V115" i="7"/>
  <c r="L135" i="7"/>
  <c r="M136" i="7"/>
  <c r="U131" i="7"/>
  <c r="L199" i="7"/>
  <c r="M200" i="7"/>
  <c r="U195" i="7"/>
  <c r="M442" i="7"/>
  <c r="V435" i="7"/>
  <c r="M460" i="7"/>
  <c r="X451" i="7"/>
  <c r="M716" i="6"/>
  <c r="M759" i="6"/>
  <c r="T755" i="6"/>
  <c r="L8" i="7"/>
  <c r="G7" i="7"/>
  <c r="M26" i="7"/>
  <c r="V19" i="7"/>
  <c r="W35" i="7"/>
  <c r="M46" i="7"/>
  <c r="L55" i="7"/>
  <c r="M56" i="7"/>
  <c r="M74" i="7"/>
  <c r="V67" i="7"/>
  <c r="X83" i="7"/>
  <c r="M92" i="7"/>
  <c r="W99" i="7"/>
  <c r="M110" i="7"/>
  <c r="L119" i="7"/>
  <c r="M120" i="7"/>
  <c r="M154" i="7"/>
  <c r="V147" i="7"/>
  <c r="M218" i="7"/>
  <c r="V211" i="7"/>
  <c r="L247" i="7"/>
  <c r="M248" i="7"/>
  <c r="U243" i="7"/>
  <c r="L311" i="7"/>
  <c r="M312" i="7"/>
  <c r="U307" i="7"/>
  <c r="W131" i="7"/>
  <c r="M142" i="7"/>
  <c r="L151" i="7"/>
  <c r="M152" i="7"/>
  <c r="M170" i="7"/>
  <c r="V163" i="7"/>
  <c r="W195" i="7"/>
  <c r="M206" i="7"/>
  <c r="L215" i="7"/>
  <c r="M216" i="7"/>
  <c r="M234" i="7"/>
  <c r="V227" i="7"/>
  <c r="W243" i="7"/>
  <c r="M254" i="7"/>
  <c r="L263" i="7"/>
  <c r="M264" i="7"/>
  <c r="M282" i="7"/>
  <c r="V275" i="7"/>
  <c r="W307" i="7"/>
  <c r="M318" i="7"/>
  <c r="L327" i="7"/>
  <c r="M328" i="7"/>
  <c r="L375" i="7"/>
  <c r="M376" i="7"/>
  <c r="U371" i="7"/>
  <c r="W147" i="7"/>
  <c r="M158" i="7"/>
  <c r="L167" i="7"/>
  <c r="M168" i="7"/>
  <c r="M186" i="7"/>
  <c r="V179" i="7"/>
  <c r="W211" i="7"/>
  <c r="M222" i="7"/>
  <c r="L231" i="7"/>
  <c r="M232" i="7"/>
  <c r="W259" i="7"/>
  <c r="M270" i="7"/>
  <c r="L279" i="7"/>
  <c r="M280" i="7"/>
  <c r="M298" i="7"/>
  <c r="V291" i="7"/>
  <c r="W323" i="7"/>
  <c r="M334" i="7"/>
  <c r="W355" i="7"/>
  <c r="M366" i="7"/>
  <c r="M394" i="7"/>
  <c r="V387" i="7"/>
  <c r="M412" i="7"/>
  <c r="X403" i="7"/>
  <c r="W419" i="7"/>
  <c r="M430" i="7"/>
  <c r="L471" i="7"/>
  <c r="M472" i="7"/>
  <c r="U467" i="7"/>
  <c r="L535" i="7"/>
  <c r="M536" i="7"/>
  <c r="U531" i="7"/>
  <c r="M138" i="7"/>
  <c r="V131" i="7"/>
  <c r="W163" i="7"/>
  <c r="M174" i="7"/>
  <c r="L183" i="7"/>
  <c r="M184" i="7"/>
  <c r="M202" i="7"/>
  <c r="V195" i="7"/>
  <c r="W227" i="7"/>
  <c r="M238" i="7"/>
  <c r="M250" i="7"/>
  <c r="V243" i="7"/>
  <c r="W275" i="7"/>
  <c r="M286" i="7"/>
  <c r="L295" i="7"/>
  <c r="M296" i="7"/>
  <c r="M314" i="7"/>
  <c r="V307" i="7"/>
  <c r="U659" i="7"/>
  <c r="M665" i="7"/>
  <c r="L663" i="7"/>
  <c r="U723" i="7"/>
  <c r="M729" i="7"/>
  <c r="L727" i="7"/>
  <c r="U787" i="7"/>
  <c r="M793" i="7"/>
  <c r="L791" i="7"/>
  <c r="W371" i="7"/>
  <c r="M382" i="7"/>
  <c r="L391" i="7"/>
  <c r="M392" i="7"/>
  <c r="M410" i="7"/>
  <c r="V403" i="7"/>
  <c r="L439" i="7"/>
  <c r="M440" i="7"/>
  <c r="M458" i="7"/>
  <c r="V451" i="7"/>
  <c r="W467" i="7"/>
  <c r="M478" i="7"/>
  <c r="M490" i="7"/>
  <c r="V483" i="7"/>
  <c r="W499" i="7"/>
  <c r="M510" i="7"/>
  <c r="M522" i="7"/>
  <c r="V515" i="7"/>
  <c r="W531" i="7"/>
  <c r="M542" i="7"/>
  <c r="M554" i="7"/>
  <c r="V547" i="7"/>
  <c r="M583" i="7"/>
  <c r="U627" i="7"/>
  <c r="M633" i="7"/>
  <c r="L631" i="7"/>
  <c r="V339" i="7"/>
  <c r="M344" i="7"/>
  <c r="M350" i="7"/>
  <c r="X355" i="7"/>
  <c r="M362" i="7"/>
  <c r="V355" i="7"/>
  <c r="W387" i="7"/>
  <c r="M398" i="7"/>
  <c r="L407" i="7"/>
  <c r="M408" i="7"/>
  <c r="X419" i="7"/>
  <c r="M426" i="7"/>
  <c r="V419" i="7"/>
  <c r="U435" i="7"/>
  <c r="W435" i="7"/>
  <c r="M446" i="7"/>
  <c r="L455" i="7"/>
  <c r="M456" i="7"/>
  <c r="L487" i="7"/>
  <c r="M488" i="7"/>
  <c r="L519" i="7"/>
  <c r="M520" i="7"/>
  <c r="L551" i="7"/>
  <c r="M552" i="7"/>
  <c r="M571" i="7"/>
  <c r="U595" i="7"/>
  <c r="M601" i="7"/>
  <c r="L599" i="7"/>
  <c r="U691" i="7"/>
  <c r="M697" i="7"/>
  <c r="L695" i="7"/>
  <c r="U755" i="7"/>
  <c r="M761" i="7"/>
  <c r="L759" i="7"/>
  <c r="U3" i="8"/>
  <c r="M8" i="8"/>
  <c r="L359" i="7"/>
  <c r="M360" i="7"/>
  <c r="X371" i="7"/>
  <c r="M378" i="7"/>
  <c r="V371" i="7"/>
  <c r="U387" i="7"/>
  <c r="W403" i="7"/>
  <c r="M414" i="7"/>
  <c r="L423" i="7"/>
  <c r="M424" i="7"/>
  <c r="W451" i="7"/>
  <c r="M462" i="7"/>
  <c r="M474" i="7"/>
  <c r="V467" i="7"/>
  <c r="U483" i="7"/>
  <c r="W483" i="7"/>
  <c r="M494" i="7"/>
  <c r="M506" i="7"/>
  <c r="V499" i="7"/>
  <c r="U515" i="7"/>
  <c r="W515" i="7"/>
  <c r="M526" i="7"/>
  <c r="M538" i="7"/>
  <c r="V531" i="7"/>
  <c r="U547" i="7"/>
  <c r="W547" i="7"/>
  <c r="M558" i="7"/>
  <c r="U563" i="7"/>
  <c r="M569" i="7"/>
  <c r="L567" i="7"/>
  <c r="M647" i="7"/>
  <c r="J7" i="8"/>
  <c r="L9" i="8"/>
  <c r="M9" i="8" s="1"/>
  <c r="G7" i="8"/>
  <c r="M10" i="8"/>
  <c r="V3" i="8"/>
  <c r="L12" i="8"/>
  <c r="M26" i="8"/>
  <c r="V19" i="8"/>
  <c r="L23" i="8"/>
  <c r="M40" i="8"/>
  <c r="L39" i="8"/>
  <c r="U35" i="8"/>
  <c r="U51" i="8"/>
  <c r="M57" i="8"/>
  <c r="L55" i="8"/>
  <c r="X19" i="8"/>
  <c r="V595" i="7"/>
  <c r="V611" i="7"/>
  <c r="V627" i="7"/>
  <c r="V643" i="7"/>
  <c r="V659" i="7"/>
  <c r="V675" i="7"/>
  <c r="V691" i="7"/>
  <c r="V707" i="7"/>
  <c r="V723" i="7"/>
  <c r="V739" i="7"/>
  <c r="V755" i="7"/>
  <c r="V771" i="7"/>
  <c r="V787" i="7"/>
  <c r="V803" i="7"/>
  <c r="L16" i="8"/>
  <c r="M16" i="8" s="1"/>
  <c r="M42" i="8"/>
  <c r="V35" i="8"/>
  <c r="V51" i="8"/>
  <c r="V67" i="8"/>
  <c r="V83" i="8"/>
  <c r="V99" i="8"/>
  <c r="V115" i="8"/>
  <c r="V131" i="8"/>
  <c r="V147" i="8"/>
  <c r="V163" i="8"/>
  <c r="V179" i="8"/>
  <c r="V195" i="8"/>
  <c r="X227" i="8"/>
  <c r="X259" i="8"/>
  <c r="M295" i="8"/>
  <c r="T291" i="8"/>
  <c r="M311" i="8"/>
  <c r="T307" i="8"/>
  <c r="M334" i="8"/>
  <c r="W323" i="8"/>
  <c r="M348" i="8"/>
  <c r="X339" i="8"/>
  <c r="M362" i="8"/>
  <c r="V355" i="8"/>
  <c r="M376" i="8"/>
  <c r="L375" i="8"/>
  <c r="M398" i="8"/>
  <c r="W387" i="8"/>
  <c r="T227" i="8"/>
  <c r="T259" i="8"/>
  <c r="V323" i="8"/>
  <c r="M332" i="8"/>
  <c r="X323" i="8"/>
  <c r="M346" i="8"/>
  <c r="V339" i="8"/>
  <c r="M360" i="8"/>
  <c r="L359" i="8"/>
  <c r="M382" i="8"/>
  <c r="W371" i="8"/>
  <c r="M396" i="8"/>
  <c r="X387" i="8"/>
  <c r="T435" i="8"/>
  <c r="M344" i="8"/>
  <c r="L343" i="8"/>
  <c r="M366" i="8"/>
  <c r="W355" i="8"/>
  <c r="M380" i="8"/>
  <c r="X371" i="8"/>
  <c r="M394" i="8"/>
  <c r="V387" i="8"/>
  <c r="V227" i="8"/>
  <c r="M232" i="8"/>
  <c r="M238" i="8"/>
  <c r="V259" i="8"/>
  <c r="M264" i="8"/>
  <c r="M270" i="8"/>
  <c r="M328" i="8"/>
  <c r="L327" i="8"/>
  <c r="M350" i="8"/>
  <c r="W339" i="8"/>
  <c r="U355" i="8"/>
  <c r="M364" i="8"/>
  <c r="X355" i="8"/>
  <c r="M378" i="8"/>
  <c r="V371" i="8"/>
  <c r="M392" i="8"/>
  <c r="L391" i="8"/>
  <c r="M599" i="8"/>
  <c r="T595" i="8"/>
  <c r="L679" i="8"/>
  <c r="M700" i="8"/>
  <c r="M716" i="8"/>
  <c r="M775" i="8"/>
  <c r="T771" i="8"/>
  <c r="M695" i="8"/>
  <c r="T691" i="8"/>
  <c r="M711" i="8"/>
  <c r="T707" i="8"/>
  <c r="M727" i="8"/>
  <c r="T723" i="8"/>
  <c r="M791" i="8"/>
  <c r="T787" i="8"/>
  <c r="U675" i="8"/>
  <c r="M696" i="8"/>
  <c r="M712" i="8"/>
  <c r="M743" i="8"/>
  <c r="T739" i="8"/>
  <c r="M807" i="8"/>
  <c r="T803" i="8"/>
  <c r="M718" i="8"/>
  <c r="M759" i="8"/>
  <c r="T755" i="8"/>
  <c r="X3" i="3"/>
  <c r="M14" i="3"/>
  <c r="W3" i="3"/>
  <c r="T19" i="3"/>
  <c r="M25" i="3"/>
  <c r="T35" i="3"/>
  <c r="M41" i="3"/>
  <c r="T51" i="3"/>
  <c r="M57" i="3"/>
  <c r="T67" i="3"/>
  <c r="M73" i="3"/>
  <c r="T83" i="3"/>
  <c r="M89" i="3"/>
  <c r="T99" i="3"/>
  <c r="M105" i="3"/>
  <c r="T115" i="3"/>
  <c r="M121" i="3"/>
  <c r="T131" i="3"/>
  <c r="M137" i="3"/>
  <c r="T147" i="3"/>
  <c r="M153" i="3"/>
  <c r="T163" i="3"/>
  <c r="M169" i="3"/>
  <c r="T179" i="3"/>
  <c r="M185" i="3"/>
  <c r="T195" i="3"/>
  <c r="M201" i="3"/>
  <c r="T211" i="3"/>
  <c r="M217" i="3"/>
  <c r="M233" i="3"/>
  <c r="U243" i="3"/>
  <c r="X259" i="3"/>
  <c r="M268" i="3"/>
  <c r="L279" i="3"/>
  <c r="U291" i="3"/>
  <c r="M298" i="3"/>
  <c r="V291" i="3"/>
  <c r="V243" i="3"/>
  <c r="X275" i="3"/>
  <c r="M284" i="3"/>
  <c r="W291" i="3"/>
  <c r="L295" i="3"/>
  <c r="U307" i="3"/>
  <c r="M314" i="3"/>
  <c r="V307" i="3"/>
  <c r="L327" i="3"/>
  <c r="M247" i="3"/>
  <c r="T243" i="3"/>
  <c r="M266" i="3"/>
  <c r="V259" i="3"/>
  <c r="X291" i="3"/>
  <c r="M300" i="3"/>
  <c r="M311" i="3"/>
  <c r="T307" i="3"/>
  <c r="L8" i="3"/>
  <c r="X243" i="3"/>
  <c r="M252" i="3"/>
  <c r="W259" i="3"/>
  <c r="L263" i="3"/>
  <c r="U275" i="3"/>
  <c r="M282" i="3"/>
  <c r="V275" i="3"/>
  <c r="X307" i="3"/>
  <c r="M316" i="3"/>
  <c r="M487" i="3"/>
  <c r="T483" i="3"/>
  <c r="V323" i="3"/>
  <c r="M332" i="3"/>
  <c r="V339" i="3"/>
  <c r="M348" i="3"/>
  <c r="V355" i="3"/>
  <c r="M364" i="3"/>
  <c r="V371" i="3"/>
  <c r="M380" i="3"/>
  <c r="V387" i="3"/>
  <c r="M396" i="3"/>
  <c r="V403" i="3"/>
  <c r="M412" i="3"/>
  <c r="V419" i="3"/>
  <c r="M428" i="3"/>
  <c r="V435" i="3"/>
  <c r="M444" i="3"/>
  <c r="V451" i="3"/>
  <c r="M460" i="3"/>
  <c r="V467" i="3"/>
  <c r="M476" i="3"/>
  <c r="V483" i="3"/>
  <c r="M488" i="3"/>
  <c r="M492" i="3"/>
  <c r="V499" i="3"/>
  <c r="M519" i="3"/>
  <c r="T515" i="3"/>
  <c r="M647" i="3"/>
  <c r="T643" i="3"/>
  <c r="L503" i="3"/>
  <c r="M551" i="3"/>
  <c r="T547" i="3"/>
  <c r="M583" i="3"/>
  <c r="T579" i="3"/>
  <c r="T339" i="3"/>
  <c r="M345" i="3"/>
  <c r="T355" i="3"/>
  <c r="M361" i="3"/>
  <c r="T371" i="3"/>
  <c r="M377" i="3"/>
  <c r="T387" i="3"/>
  <c r="M393" i="3"/>
  <c r="T403" i="3"/>
  <c r="M409" i="3"/>
  <c r="T419" i="3"/>
  <c r="M425" i="3"/>
  <c r="T435" i="3"/>
  <c r="T451" i="3"/>
  <c r="T467" i="3"/>
  <c r="M567" i="3"/>
  <c r="T563" i="3"/>
  <c r="M599" i="3"/>
  <c r="T595" i="3"/>
  <c r="M615" i="3"/>
  <c r="T611" i="3"/>
  <c r="G7" i="4"/>
  <c r="U19" i="4"/>
  <c r="T531" i="3"/>
  <c r="T627" i="3"/>
  <c r="T659" i="3"/>
  <c r="T675" i="3"/>
  <c r="T691" i="3"/>
  <c r="T707" i="3"/>
  <c r="M713" i="3"/>
  <c r="T723" i="3"/>
  <c r="M729" i="3"/>
  <c r="T739" i="3"/>
  <c r="M745" i="3"/>
  <c r="T755" i="3"/>
  <c r="M761" i="3"/>
  <c r="T771" i="3"/>
  <c r="M777" i="3"/>
  <c r="T787" i="3"/>
  <c r="M793" i="3"/>
  <c r="T803" i="3"/>
  <c r="M809" i="3"/>
  <c r="M40" i="4"/>
  <c r="L39" i="4"/>
  <c r="M44" i="4"/>
  <c r="X35" i="4"/>
  <c r="M56" i="4"/>
  <c r="L55" i="4"/>
  <c r="M60" i="4"/>
  <c r="X51" i="4"/>
  <c r="M72" i="4"/>
  <c r="L71" i="4"/>
  <c r="M76" i="4"/>
  <c r="X67" i="4"/>
  <c r="M88" i="4"/>
  <c r="L87" i="4"/>
  <c r="M92" i="4"/>
  <c r="X83" i="4"/>
  <c r="M104" i="4"/>
  <c r="L103" i="4"/>
  <c r="M108" i="4"/>
  <c r="X99" i="4"/>
  <c r="M120" i="4"/>
  <c r="L119" i="4"/>
  <c r="M124" i="4"/>
  <c r="X115" i="4"/>
  <c r="M136" i="4"/>
  <c r="L135" i="4"/>
  <c r="L23" i="4"/>
  <c r="U35" i="4"/>
  <c r="U51" i="4"/>
  <c r="U67" i="4"/>
  <c r="U83" i="4"/>
  <c r="U99" i="4"/>
  <c r="M295" i="4"/>
  <c r="T291" i="4"/>
  <c r="M28" i="4"/>
  <c r="X19" i="4"/>
  <c r="M42" i="4"/>
  <c r="V35" i="4"/>
  <c r="M46" i="4"/>
  <c r="W35" i="4"/>
  <c r="M58" i="4"/>
  <c r="V51" i="4"/>
  <c r="M62" i="4"/>
  <c r="W51" i="4"/>
  <c r="M74" i="4"/>
  <c r="V67" i="4"/>
  <c r="M78" i="4"/>
  <c r="W67" i="4"/>
  <c r="M90" i="4"/>
  <c r="V83" i="4"/>
  <c r="M94" i="4"/>
  <c r="W83" i="4"/>
  <c r="M106" i="4"/>
  <c r="V99" i="4"/>
  <c r="M110" i="4"/>
  <c r="W99" i="4"/>
  <c r="M122" i="4"/>
  <c r="V115" i="4"/>
  <c r="M126" i="4"/>
  <c r="W115" i="4"/>
  <c r="W131" i="4"/>
  <c r="W147" i="4"/>
  <c r="L151" i="4"/>
  <c r="W163" i="4"/>
  <c r="L167" i="4"/>
  <c r="W179" i="4"/>
  <c r="L183" i="4"/>
  <c r="W195" i="4"/>
  <c r="L199" i="4"/>
  <c r="W211" i="4"/>
  <c r="L215" i="4"/>
  <c r="W227" i="4"/>
  <c r="L231" i="4"/>
  <c r="W243" i="4"/>
  <c r="L247" i="4"/>
  <c r="W259" i="4"/>
  <c r="L263" i="4"/>
  <c r="L279" i="4"/>
  <c r="U291" i="4"/>
  <c r="L311" i="4"/>
  <c r="M329" i="4"/>
  <c r="U323" i="4"/>
  <c r="M583" i="4"/>
  <c r="T579" i="4"/>
  <c r="X131" i="4"/>
  <c r="X147" i="4"/>
  <c r="X163" i="4"/>
  <c r="X179" i="4"/>
  <c r="X195" i="4"/>
  <c r="X211" i="4"/>
  <c r="X227" i="4"/>
  <c r="X243" i="4"/>
  <c r="X259" i="4"/>
  <c r="X275" i="4"/>
  <c r="M296" i="4"/>
  <c r="X307" i="4"/>
  <c r="M316" i="4"/>
  <c r="M345" i="4"/>
  <c r="U339" i="4"/>
  <c r="M551" i="4"/>
  <c r="T547" i="4"/>
  <c r="M327" i="4"/>
  <c r="T323" i="4"/>
  <c r="V131" i="4"/>
  <c r="V147" i="4"/>
  <c r="V163" i="4"/>
  <c r="V179" i="4"/>
  <c r="V195" i="4"/>
  <c r="V211" i="4"/>
  <c r="V227" i="4"/>
  <c r="V243" i="4"/>
  <c r="V259" i="4"/>
  <c r="M300" i="4"/>
  <c r="V307" i="4"/>
  <c r="M343" i="4"/>
  <c r="T339" i="4"/>
  <c r="M599" i="4"/>
  <c r="T595" i="4"/>
  <c r="U355" i="4"/>
  <c r="U371" i="4"/>
  <c r="U403" i="4"/>
  <c r="M409" i="4"/>
  <c r="U435" i="4"/>
  <c r="M441" i="4"/>
  <c r="L455" i="4"/>
  <c r="U499" i="4"/>
  <c r="M505" i="4"/>
  <c r="L519" i="4"/>
  <c r="V531" i="4"/>
  <c r="M539" i="4"/>
  <c r="V563" i="4"/>
  <c r="M571" i="4"/>
  <c r="V627" i="4"/>
  <c r="M635" i="4"/>
  <c r="U643" i="4"/>
  <c r="M649" i="4"/>
  <c r="V323" i="4"/>
  <c r="M332" i="4"/>
  <c r="V339" i="4"/>
  <c r="M348" i="4"/>
  <c r="V355" i="4"/>
  <c r="M364" i="4"/>
  <c r="V387" i="4"/>
  <c r="U387" i="4"/>
  <c r="M393" i="4"/>
  <c r="L407" i="4"/>
  <c r="L439" i="4"/>
  <c r="U483" i="4"/>
  <c r="M489" i="4"/>
  <c r="U531" i="4"/>
  <c r="M537" i="4"/>
  <c r="U563" i="4"/>
  <c r="M569" i="4"/>
  <c r="V611" i="4"/>
  <c r="M619" i="4"/>
  <c r="U627" i="4"/>
  <c r="M633" i="4"/>
  <c r="M647" i="4"/>
  <c r="T643" i="4"/>
  <c r="M711" i="4"/>
  <c r="T707" i="4"/>
  <c r="M391" i="4"/>
  <c r="T387" i="4"/>
  <c r="U419" i="4"/>
  <c r="M425" i="4"/>
  <c r="U467" i="4"/>
  <c r="M473" i="4"/>
  <c r="M487" i="4"/>
  <c r="T483" i="4"/>
  <c r="M535" i="4"/>
  <c r="T531" i="4"/>
  <c r="V547" i="4"/>
  <c r="M555" i="4"/>
  <c r="M567" i="4"/>
  <c r="T563" i="4"/>
  <c r="V579" i="4"/>
  <c r="M587" i="4"/>
  <c r="V595" i="4"/>
  <c r="M603" i="4"/>
  <c r="U611" i="4"/>
  <c r="M617" i="4"/>
  <c r="M631" i="4"/>
  <c r="T627" i="4"/>
  <c r="T355" i="4"/>
  <c r="L375" i="4"/>
  <c r="L423" i="4"/>
  <c r="V451" i="4"/>
  <c r="U451" i="4"/>
  <c r="M457" i="4"/>
  <c r="L471" i="4"/>
  <c r="V515" i="4"/>
  <c r="U515" i="4"/>
  <c r="M521" i="4"/>
  <c r="U547" i="4"/>
  <c r="M553" i="4"/>
  <c r="U579" i="4"/>
  <c r="M585" i="4"/>
  <c r="U595" i="4"/>
  <c r="M601" i="4"/>
  <c r="L615" i="4"/>
  <c r="V643" i="4"/>
  <c r="M651" i="4"/>
  <c r="M668" i="4"/>
  <c r="X659" i="4"/>
  <c r="T659" i="4"/>
  <c r="M679" i="4"/>
  <c r="T675" i="4"/>
  <c r="M727" i="4"/>
  <c r="T723" i="4"/>
  <c r="M695" i="4"/>
  <c r="T691" i="4"/>
  <c r="M777" i="4"/>
  <c r="M793" i="4"/>
  <c r="M87" i="2"/>
  <c r="T83" i="2"/>
  <c r="M103" i="2"/>
  <c r="T99" i="2"/>
  <c r="M23" i="2"/>
  <c r="T19" i="2"/>
  <c r="M39" i="2"/>
  <c r="T35" i="2"/>
  <c r="M71" i="2"/>
  <c r="T67" i="2"/>
  <c r="M55" i="2"/>
  <c r="T51" i="2"/>
  <c r="U803" i="2"/>
  <c r="M809" i="2"/>
  <c r="L807" i="2"/>
  <c r="H7" i="2"/>
  <c r="M295" i="2"/>
  <c r="T291" i="2"/>
  <c r="M343" i="2"/>
  <c r="T339" i="2"/>
  <c r="M602" i="2"/>
  <c r="V595" i="2"/>
  <c r="W595" i="2"/>
  <c r="M606" i="2"/>
  <c r="M650" i="2"/>
  <c r="V643" i="2"/>
  <c r="W643" i="2"/>
  <c r="M654" i="2"/>
  <c r="M696" i="2"/>
  <c r="L695" i="2"/>
  <c r="U691" i="2"/>
  <c r="M700" i="2"/>
  <c r="X691" i="2"/>
  <c r="M519" i="2"/>
  <c r="T515" i="2"/>
  <c r="M571" i="2"/>
  <c r="V563" i="2"/>
  <c r="M455" i="2"/>
  <c r="T451" i="2"/>
  <c r="M503" i="2"/>
  <c r="T499" i="2"/>
  <c r="M535" i="2"/>
  <c r="T531" i="2"/>
  <c r="M618" i="2"/>
  <c r="V611" i="2"/>
  <c r="W611" i="2"/>
  <c r="M622" i="2"/>
  <c r="M567" i="2"/>
  <c r="T563" i="2"/>
  <c r="M586" i="2"/>
  <c r="V579" i="2"/>
  <c r="M590" i="2"/>
  <c r="W579" i="2"/>
  <c r="M423" i="2"/>
  <c r="T419" i="2"/>
  <c r="M551" i="2"/>
  <c r="T547" i="2"/>
  <c r="M634" i="2"/>
  <c r="V627" i="2"/>
  <c r="W627" i="2"/>
  <c r="M638" i="2"/>
  <c r="M666" i="2"/>
  <c r="V659" i="2"/>
  <c r="W659" i="2"/>
  <c r="M670" i="2"/>
  <c r="X563" i="2"/>
  <c r="M572" i="2"/>
  <c r="L583" i="2"/>
  <c r="M681" i="2"/>
  <c r="L679" i="2"/>
  <c r="U739" i="2"/>
  <c r="M745" i="2"/>
  <c r="L743" i="2"/>
  <c r="M775" i="2"/>
  <c r="T771" i="2"/>
  <c r="X579" i="2"/>
  <c r="M588" i="2"/>
  <c r="L599" i="2"/>
  <c r="M600" i="2"/>
  <c r="X595" i="2"/>
  <c r="M604" i="2"/>
  <c r="L615" i="2"/>
  <c r="M616" i="2"/>
  <c r="X611" i="2"/>
  <c r="M620" i="2"/>
  <c r="L631" i="2"/>
  <c r="M632" i="2"/>
  <c r="X627" i="2"/>
  <c r="M636" i="2"/>
  <c r="L647" i="2"/>
  <c r="M648" i="2"/>
  <c r="X643" i="2"/>
  <c r="M652" i="2"/>
  <c r="L663" i="2"/>
  <c r="M664" i="2"/>
  <c r="X659" i="2"/>
  <c r="M668" i="2"/>
  <c r="U595" i="2"/>
  <c r="U611" i="2"/>
  <c r="U627" i="2"/>
  <c r="M711" i="2"/>
  <c r="T707" i="2"/>
  <c r="M727" i="2"/>
  <c r="T723" i="2"/>
  <c r="V675" i="2"/>
  <c r="U755" i="2"/>
  <c r="M761" i="2"/>
  <c r="M791" i="2"/>
  <c r="T787" i="2"/>
  <c r="M698" i="2"/>
  <c r="V691" i="2"/>
  <c r="U771" i="2"/>
  <c r="M777" i="2"/>
  <c r="V803" i="2"/>
  <c r="M811" i="2"/>
  <c r="W691" i="2"/>
  <c r="U707" i="2"/>
  <c r="U723" i="2"/>
  <c r="M729" i="2"/>
  <c r="L759" i="2"/>
  <c r="U787" i="2"/>
  <c r="M793" i="2"/>
  <c r="X707" i="2"/>
  <c r="X723" i="2"/>
  <c r="X739" i="2"/>
  <c r="X755" i="2"/>
  <c r="X771" i="2"/>
  <c r="X787" i="2"/>
  <c r="X803" i="2"/>
  <c r="V707" i="2"/>
  <c r="V723" i="2"/>
  <c r="V739" i="2"/>
  <c r="V755" i="2"/>
  <c r="V771" i="2"/>
  <c r="V787" i="2"/>
  <c r="W803" i="1"/>
  <c r="L791" i="1"/>
  <c r="L775" i="1"/>
  <c r="W739" i="1"/>
  <c r="L711" i="1"/>
  <c r="M711" i="1" s="1"/>
  <c r="W675" i="1"/>
  <c r="V675" i="1"/>
  <c r="M663" i="1"/>
  <c r="T659" i="1"/>
  <c r="M664" i="1"/>
  <c r="M670" i="1"/>
  <c r="U659" i="1"/>
  <c r="V659" i="1"/>
  <c r="H7" i="1"/>
  <c r="L647" i="1"/>
  <c r="M647" i="1" s="1"/>
  <c r="M634" i="1"/>
  <c r="U627" i="1"/>
  <c r="M616" i="1"/>
  <c r="U611" i="1"/>
  <c r="X611" i="1"/>
  <c r="W595" i="1"/>
  <c r="U595" i="1"/>
  <c r="L583" i="1"/>
  <c r="M583" i="1" s="1"/>
  <c r="V563" i="1"/>
  <c r="M574" i="1"/>
  <c r="L567" i="1"/>
  <c r="V547" i="1"/>
  <c r="M558" i="1"/>
  <c r="L551" i="1"/>
  <c r="M551" i="1" s="1"/>
  <c r="V531" i="1"/>
  <c r="M542" i="1"/>
  <c r="L535" i="1"/>
  <c r="U515" i="1"/>
  <c r="M520" i="1"/>
  <c r="V515" i="1"/>
  <c r="M524" i="1"/>
  <c r="U499" i="1"/>
  <c r="M504" i="1"/>
  <c r="M506" i="1"/>
  <c r="U483" i="1"/>
  <c r="M491" i="1"/>
  <c r="W467" i="1"/>
  <c r="X467" i="1"/>
  <c r="L471" i="1"/>
  <c r="M472" i="1"/>
  <c r="U451" i="1"/>
  <c r="M459" i="1"/>
  <c r="W435" i="1"/>
  <c r="M440" i="1"/>
  <c r="M444" i="1"/>
  <c r="L439" i="1"/>
  <c r="L423" i="1"/>
  <c r="T419" i="1" s="1"/>
  <c r="M425" i="1"/>
  <c r="M392" i="1"/>
  <c r="M377" i="1"/>
  <c r="L375" i="1"/>
  <c r="M379" i="1"/>
  <c r="M376" i="1"/>
  <c r="L359" i="1"/>
  <c r="M360" i="1"/>
  <c r="V339" i="1"/>
  <c r="M344" i="1"/>
  <c r="M348" i="1"/>
  <c r="M350" i="1"/>
  <c r="T339" i="1"/>
  <c r="M327" i="1"/>
  <c r="T323" i="1"/>
  <c r="T307" i="1"/>
  <c r="M311" i="1"/>
  <c r="M312" i="1"/>
  <c r="M295" i="1"/>
  <c r="T291" i="1"/>
  <c r="M296" i="1"/>
  <c r="U291" i="1"/>
  <c r="M298" i="1"/>
  <c r="V275" i="1"/>
  <c r="M280" i="1"/>
  <c r="M284" i="1"/>
  <c r="M286" i="1"/>
  <c r="T275" i="1"/>
  <c r="M264" i="1"/>
  <c r="J7" i="1"/>
  <c r="L11" i="1"/>
  <c r="M11" i="1" s="1"/>
  <c r="L12" i="1"/>
  <c r="X3" i="1" s="1"/>
  <c r="L14" i="1"/>
  <c r="M14" i="1" s="1"/>
  <c r="L15" i="1"/>
  <c r="M15" i="1" s="1"/>
  <c r="L16" i="1"/>
  <c r="M16" i="1" s="1"/>
  <c r="M247" i="1"/>
  <c r="T243" i="1"/>
  <c r="V227" i="1"/>
  <c r="L231" i="1"/>
  <c r="T227" i="1" s="1"/>
  <c r="M216" i="1"/>
  <c r="U211" i="1"/>
  <c r="M218" i="1"/>
  <c r="M222" i="1"/>
  <c r="V195" i="1"/>
  <c r="L199" i="1"/>
  <c r="M199" i="1" s="1"/>
  <c r="M200" i="1"/>
  <c r="M206" i="1"/>
  <c r="G7" i="1"/>
  <c r="M184" i="1"/>
  <c r="M190" i="1"/>
  <c r="U179" i="1"/>
  <c r="V163" i="1"/>
  <c r="L167" i="1"/>
  <c r="T163" i="1" s="1"/>
  <c r="M168" i="1"/>
  <c r="M174" i="1"/>
  <c r="U147" i="1"/>
  <c r="M152" i="1"/>
  <c r="M154" i="1"/>
  <c r="M158" i="1"/>
  <c r="M136" i="1"/>
  <c r="M119" i="1"/>
  <c r="U115" i="1"/>
  <c r="M121" i="1"/>
  <c r="M123" i="1"/>
  <c r="W99" i="1"/>
  <c r="M104" i="1"/>
  <c r="M108" i="1"/>
  <c r="L103" i="1"/>
  <c r="T83" i="1"/>
  <c r="M87" i="1"/>
  <c r="U83" i="1"/>
  <c r="M89" i="1"/>
  <c r="M91" i="1"/>
  <c r="W67" i="1"/>
  <c r="M72" i="1"/>
  <c r="M76" i="1"/>
  <c r="L71" i="1"/>
  <c r="T51" i="1"/>
  <c r="M55" i="1"/>
  <c r="U51" i="1"/>
  <c r="M57" i="1"/>
  <c r="M59" i="1"/>
  <c r="W35" i="1"/>
  <c r="M40" i="1"/>
  <c r="M44" i="1"/>
  <c r="L39" i="1"/>
  <c r="L13" i="1"/>
  <c r="M13" i="1" s="1"/>
  <c r="V19" i="1"/>
  <c r="K7" i="1"/>
  <c r="M791" i="1"/>
  <c r="T787" i="1"/>
  <c r="M679" i="1"/>
  <c r="T675" i="1"/>
  <c r="M764" i="1"/>
  <c r="X755" i="1"/>
  <c r="M775" i="1"/>
  <c r="T771" i="1"/>
  <c r="U675" i="1"/>
  <c r="M680" i="1"/>
  <c r="M716" i="1"/>
  <c r="X707" i="1"/>
  <c r="W723" i="1"/>
  <c r="L727" i="1"/>
  <c r="U739" i="1"/>
  <c r="M746" i="1"/>
  <c r="V739" i="1"/>
  <c r="M780" i="1"/>
  <c r="X771" i="1"/>
  <c r="W787" i="1"/>
  <c r="U803" i="1"/>
  <c r="M810" i="1"/>
  <c r="V803" i="1"/>
  <c r="M700" i="1"/>
  <c r="X691" i="1"/>
  <c r="M794" i="1"/>
  <c r="V787" i="1"/>
  <c r="U691" i="1"/>
  <c r="M698" i="1"/>
  <c r="V691" i="1"/>
  <c r="M732" i="1"/>
  <c r="X723" i="1"/>
  <c r="L743" i="1"/>
  <c r="U755" i="1"/>
  <c r="M762" i="1"/>
  <c r="V755" i="1"/>
  <c r="M796" i="1"/>
  <c r="X787" i="1"/>
  <c r="L807" i="1"/>
  <c r="M730" i="1"/>
  <c r="V723" i="1"/>
  <c r="L695" i="1"/>
  <c r="M714" i="1"/>
  <c r="V707" i="1"/>
  <c r="M748" i="1"/>
  <c r="X739" i="1"/>
  <c r="L759" i="1"/>
  <c r="M778" i="1"/>
  <c r="V771" i="1"/>
  <c r="M812" i="1"/>
  <c r="X803" i="1"/>
  <c r="M12" i="1"/>
  <c r="L8" i="1"/>
  <c r="I7" i="1"/>
  <c r="L9" i="1"/>
  <c r="M9" i="1" s="1"/>
  <c r="M151" i="1"/>
  <c r="T147" i="1"/>
  <c r="M183" i="1"/>
  <c r="T179" i="1"/>
  <c r="M215" i="1"/>
  <c r="T211" i="1"/>
  <c r="M135" i="1"/>
  <c r="T131" i="1"/>
  <c r="L10" i="1"/>
  <c r="M167" i="1"/>
  <c r="M231" i="1"/>
  <c r="U19" i="1"/>
  <c r="M391" i="1"/>
  <c r="T387" i="1"/>
  <c r="M503" i="1"/>
  <c r="T499" i="1"/>
  <c r="T19" i="1"/>
  <c r="M423" i="1"/>
  <c r="W515" i="1"/>
  <c r="U563" i="1"/>
  <c r="M569" i="1"/>
  <c r="M519" i="1"/>
  <c r="T515" i="1"/>
  <c r="M535" i="1"/>
  <c r="T531" i="1"/>
  <c r="M567" i="1"/>
  <c r="T563" i="1"/>
  <c r="U547" i="1"/>
  <c r="M553" i="1"/>
  <c r="T579" i="1"/>
  <c r="M585" i="1"/>
  <c r="T595" i="1"/>
  <c r="M601" i="1"/>
  <c r="T611" i="1"/>
  <c r="M617" i="1"/>
  <c r="T627" i="1"/>
  <c r="M633" i="1"/>
  <c r="T643" i="1"/>
  <c r="M649" i="1"/>
  <c r="U707" i="13" l="1"/>
  <c r="V467" i="13"/>
  <c r="U307" i="13"/>
  <c r="T243" i="12"/>
  <c r="U67" i="13"/>
  <c r="L71" i="13"/>
  <c r="T67" i="13" s="1"/>
  <c r="T19" i="12"/>
  <c r="V691" i="13"/>
  <c r="V531" i="13"/>
  <c r="M680" i="13"/>
  <c r="U691" i="13"/>
  <c r="M777" i="13"/>
  <c r="V659" i="13"/>
  <c r="X563" i="13"/>
  <c r="M620" i="13"/>
  <c r="M158" i="13"/>
  <c r="M206" i="13"/>
  <c r="X451" i="13"/>
  <c r="M684" i="13"/>
  <c r="M732" i="13"/>
  <c r="U83" i="13"/>
  <c r="M793" i="13"/>
  <c r="M652" i="13"/>
  <c r="V275" i="13"/>
  <c r="X691" i="13"/>
  <c r="M364" i="13"/>
  <c r="W387" i="13"/>
  <c r="M392" i="13"/>
  <c r="M696" i="13"/>
  <c r="M600" i="13"/>
  <c r="W675" i="13"/>
  <c r="T739" i="13"/>
  <c r="V163" i="13"/>
  <c r="W371" i="13"/>
  <c r="M713" i="13"/>
  <c r="V675" i="13"/>
  <c r="M779" i="13"/>
  <c r="M588" i="13"/>
  <c r="U803" i="13"/>
  <c r="M62" i="13"/>
  <c r="M238" i="13"/>
  <c r="M334" i="13"/>
  <c r="U531" i="13"/>
  <c r="M734" i="13"/>
  <c r="M748" i="13"/>
  <c r="M796" i="13"/>
  <c r="M94" i="13"/>
  <c r="U131" i="13"/>
  <c r="W515" i="13"/>
  <c r="M508" i="13"/>
  <c r="U195" i="13"/>
  <c r="L791" i="13"/>
  <c r="V755" i="13"/>
  <c r="M60" i="13"/>
  <c r="X707" i="13"/>
  <c r="V739" i="13"/>
  <c r="X547" i="13"/>
  <c r="V547" i="13"/>
  <c r="U611" i="13"/>
  <c r="W131" i="13"/>
  <c r="M444" i="13"/>
  <c r="L199" i="13"/>
  <c r="M199" i="13" s="1"/>
  <c r="T659" i="13"/>
  <c r="M679" i="13"/>
  <c r="M78" i="13"/>
  <c r="V563" i="13"/>
  <c r="T579" i="12"/>
  <c r="U259" i="13"/>
  <c r="M264" i="13"/>
  <c r="T211" i="12"/>
  <c r="U211" i="13"/>
  <c r="V707" i="13"/>
  <c r="L711" i="13"/>
  <c r="U627" i="13"/>
  <c r="W611" i="13"/>
  <c r="W563" i="13"/>
  <c r="L567" i="13"/>
  <c r="M567" i="13" s="1"/>
  <c r="W3" i="12"/>
  <c r="U355" i="13"/>
  <c r="X3" i="12"/>
  <c r="T275" i="12"/>
  <c r="V227" i="13"/>
  <c r="M190" i="13"/>
  <c r="V3" i="12"/>
  <c r="T51" i="12"/>
  <c r="V643" i="13"/>
  <c r="L647" i="13"/>
  <c r="T643" i="13" s="1"/>
  <c r="M617" i="13"/>
  <c r="U579" i="13"/>
  <c r="M555" i="13"/>
  <c r="L551" i="13"/>
  <c r="W483" i="13"/>
  <c r="V435" i="13"/>
  <c r="W291" i="13"/>
  <c r="W275" i="13"/>
  <c r="L215" i="13"/>
  <c r="T211" i="13" s="1"/>
  <c r="V195" i="13"/>
  <c r="U179" i="13"/>
  <c r="M124" i="13"/>
  <c r="W35" i="13"/>
  <c r="W19" i="13"/>
  <c r="M636" i="13"/>
  <c r="M538" i="13"/>
  <c r="M430" i="13"/>
  <c r="L391" i="13"/>
  <c r="T387" i="13" s="1"/>
  <c r="X339" i="13"/>
  <c r="U339" i="13"/>
  <c r="M218" i="13"/>
  <c r="M222" i="13"/>
  <c r="X3" i="7"/>
  <c r="V19" i="13"/>
  <c r="W547" i="13"/>
  <c r="L535" i="13"/>
  <c r="T531" i="13" s="1"/>
  <c r="V483" i="13"/>
  <c r="U435" i="13"/>
  <c r="U419" i="13"/>
  <c r="X419" i="13"/>
  <c r="M300" i="13"/>
  <c r="M204" i="13"/>
  <c r="M14" i="6"/>
  <c r="U163" i="13"/>
  <c r="V131" i="13"/>
  <c r="L135" i="13"/>
  <c r="T131" i="13" s="1"/>
  <c r="V3" i="6"/>
  <c r="L23" i="13"/>
  <c r="T19" i="13" s="1"/>
  <c r="U563" i="13"/>
  <c r="U451" i="13"/>
  <c r="U403" i="13"/>
  <c r="V323" i="13"/>
  <c r="M14" i="5"/>
  <c r="U291" i="13"/>
  <c r="L295" i="13"/>
  <c r="T291" i="13" s="1"/>
  <c r="W259" i="13"/>
  <c r="U243" i="13"/>
  <c r="V211" i="13"/>
  <c r="L167" i="13"/>
  <c r="M167" i="13" s="1"/>
  <c r="M156" i="13"/>
  <c r="V147" i="13"/>
  <c r="M12" i="5"/>
  <c r="M110" i="13"/>
  <c r="M108" i="13"/>
  <c r="U99" i="13"/>
  <c r="T67" i="5"/>
  <c r="M72" i="13"/>
  <c r="U51" i="13"/>
  <c r="V3" i="5"/>
  <c r="M44" i="13"/>
  <c r="V35" i="13"/>
  <c r="V627" i="13"/>
  <c r="V611" i="13"/>
  <c r="L615" i="13"/>
  <c r="T611" i="13" s="1"/>
  <c r="T499" i="4"/>
  <c r="M510" i="13"/>
  <c r="V499" i="13"/>
  <c r="M366" i="13"/>
  <c r="M332" i="13"/>
  <c r="M318" i="13"/>
  <c r="V291" i="13"/>
  <c r="X275" i="13"/>
  <c r="M248" i="13"/>
  <c r="M234" i="13"/>
  <c r="M174" i="13"/>
  <c r="W3" i="4"/>
  <c r="V3" i="4"/>
  <c r="L87" i="13"/>
  <c r="T83" i="13" s="1"/>
  <c r="M92" i="13"/>
  <c r="V83" i="13"/>
  <c r="X67" i="13"/>
  <c r="X3" i="4"/>
  <c r="U3" i="4"/>
  <c r="L7" i="4"/>
  <c r="T3" i="4" s="1"/>
  <c r="L20" i="15"/>
  <c r="M20" i="15" s="1"/>
  <c r="V595" i="13"/>
  <c r="U595" i="13"/>
  <c r="X531" i="13"/>
  <c r="V515" i="13"/>
  <c r="L439" i="13"/>
  <c r="M439" i="13" s="1"/>
  <c r="W403" i="13"/>
  <c r="X403" i="13"/>
  <c r="V355" i="13"/>
  <c r="M360" i="13"/>
  <c r="T227" i="3"/>
  <c r="V3" i="3"/>
  <c r="T163" i="8"/>
  <c r="M167" i="8"/>
  <c r="T707" i="7"/>
  <c r="M711" i="7"/>
  <c r="T147" i="8"/>
  <c r="M151" i="8"/>
  <c r="M615" i="5"/>
  <c r="T611" i="5"/>
  <c r="T659" i="5"/>
  <c r="M663" i="5"/>
  <c r="M791" i="4"/>
  <c r="T787" i="4"/>
  <c r="M119" i="6"/>
  <c r="T115" i="6"/>
  <c r="M807" i="4"/>
  <c r="T803" i="4"/>
  <c r="M183" i="2"/>
  <c r="T179" i="2"/>
  <c r="T195" i="1"/>
  <c r="T707" i="1"/>
  <c r="L759" i="13"/>
  <c r="M503" i="8"/>
  <c r="T499" i="8"/>
  <c r="M14" i="8"/>
  <c r="W3" i="8"/>
  <c r="M183" i="8"/>
  <c r="T179" i="8"/>
  <c r="M39" i="12"/>
  <c r="T35" i="12"/>
  <c r="T771" i="7"/>
  <c r="M775" i="7"/>
  <c r="M807" i="5"/>
  <c r="T803" i="5"/>
  <c r="T515" i="5"/>
  <c r="M519" i="5"/>
  <c r="T83" i="6"/>
  <c r="M87" i="6"/>
  <c r="T691" i="5"/>
  <c r="M695" i="5"/>
  <c r="M567" i="5"/>
  <c r="T563" i="5"/>
  <c r="T803" i="7"/>
  <c r="M807" i="7"/>
  <c r="T595" i="5"/>
  <c r="M599" i="5"/>
  <c r="M775" i="4"/>
  <c r="T771" i="4"/>
  <c r="M743" i="4"/>
  <c r="T739" i="4"/>
  <c r="T547" i="1"/>
  <c r="U643" i="13"/>
  <c r="V387" i="13"/>
  <c r="L631" i="13"/>
  <c r="M631" i="13" s="1"/>
  <c r="T115" i="8"/>
  <c r="M119" i="8"/>
  <c r="T243" i="8"/>
  <c r="M247" i="8"/>
  <c r="M151" i="6"/>
  <c r="T147" i="6"/>
  <c r="M743" i="5"/>
  <c r="T739" i="5"/>
  <c r="T787" i="5"/>
  <c r="M791" i="5"/>
  <c r="M759" i="4"/>
  <c r="T755" i="4"/>
  <c r="T675" i="7"/>
  <c r="M679" i="7"/>
  <c r="T83" i="8"/>
  <c r="M87" i="8"/>
  <c r="M567" i="8"/>
  <c r="T563" i="8"/>
  <c r="M679" i="5"/>
  <c r="T675" i="5"/>
  <c r="T211" i="8"/>
  <c r="M215" i="8"/>
  <c r="T755" i="5"/>
  <c r="M759" i="5"/>
  <c r="T627" i="5"/>
  <c r="M631" i="5"/>
  <c r="M135" i="8"/>
  <c r="T131" i="8"/>
  <c r="T723" i="5"/>
  <c r="M727" i="5"/>
  <c r="M535" i="8"/>
  <c r="T531" i="8"/>
  <c r="M638" i="13"/>
  <c r="U547" i="13"/>
  <c r="M12" i="2"/>
  <c r="W435" i="13"/>
  <c r="V371" i="13"/>
  <c r="M359" i="2"/>
  <c r="T355" i="2"/>
  <c r="M350" i="13"/>
  <c r="M279" i="2"/>
  <c r="T275" i="2"/>
  <c r="W3" i="2"/>
  <c r="T211" i="2"/>
  <c r="M215" i="2"/>
  <c r="V179" i="13"/>
  <c r="L16" i="13"/>
  <c r="M16" i="13" s="1"/>
  <c r="M10" i="2"/>
  <c r="W115" i="13"/>
  <c r="U115" i="13"/>
  <c r="L8" i="15"/>
  <c r="M8" i="15" s="1"/>
  <c r="U3" i="2"/>
  <c r="L7" i="2"/>
  <c r="M7" i="2" s="1"/>
  <c r="H6" i="15"/>
  <c r="L12" i="15"/>
  <c r="M12" i="15" s="1"/>
  <c r="L13" i="15"/>
  <c r="M13" i="15" s="1"/>
  <c r="I6" i="15"/>
  <c r="L9" i="15"/>
  <c r="M9" i="15" s="1"/>
  <c r="L10" i="15"/>
  <c r="M10" i="15" s="1"/>
  <c r="L11" i="15"/>
  <c r="M11" i="15" s="1"/>
  <c r="J6" i="15"/>
  <c r="K6" i="15"/>
  <c r="L7" i="15"/>
  <c r="G6" i="15"/>
  <c r="J805" i="13"/>
  <c r="J773" i="13"/>
  <c r="J677" i="13"/>
  <c r="J581" i="13"/>
  <c r="J469" i="13"/>
  <c r="J389" i="13"/>
  <c r="J373" i="13"/>
  <c r="J325" i="13"/>
  <c r="J181" i="13"/>
  <c r="J117" i="13"/>
  <c r="J101" i="13"/>
  <c r="J21" i="13"/>
  <c r="J789" i="13"/>
  <c r="J741" i="13"/>
  <c r="J517" i="13"/>
  <c r="J453" i="13"/>
  <c r="J437" i="13"/>
  <c r="J341" i="13"/>
  <c r="J309" i="13"/>
  <c r="J293" i="13"/>
  <c r="J165" i="13"/>
  <c r="J149" i="13"/>
  <c r="J133" i="13"/>
  <c r="J709" i="13"/>
  <c r="J693" i="13"/>
  <c r="J613" i="13"/>
  <c r="J565" i="13"/>
  <c r="J549" i="13"/>
  <c r="J421" i="13"/>
  <c r="J405" i="13"/>
  <c r="J357" i="13"/>
  <c r="J229" i="13"/>
  <c r="J213" i="13"/>
  <c r="J197" i="13"/>
  <c r="J85" i="13"/>
  <c r="J53" i="13"/>
  <c r="J37" i="13"/>
  <c r="J757" i="13"/>
  <c r="J725" i="13"/>
  <c r="J661" i="13"/>
  <c r="J645" i="13"/>
  <c r="J629" i="13"/>
  <c r="J597" i="13"/>
  <c r="J533" i="13"/>
  <c r="J501" i="13"/>
  <c r="J485" i="13"/>
  <c r="J277" i="13"/>
  <c r="J261" i="13"/>
  <c r="J245" i="13"/>
  <c r="J69" i="13"/>
  <c r="M520" i="13"/>
  <c r="U515" i="13"/>
  <c r="L519" i="13"/>
  <c r="U499" i="13"/>
  <c r="L503" i="13"/>
  <c r="M487" i="1"/>
  <c r="T483" i="1"/>
  <c r="M455" i="1"/>
  <c r="T451" i="1"/>
  <c r="M442" i="13"/>
  <c r="V419" i="13"/>
  <c r="L423" i="13"/>
  <c r="M423" i="13" s="1"/>
  <c r="M407" i="1"/>
  <c r="T403" i="1"/>
  <c r="M380" i="13"/>
  <c r="L359" i="13"/>
  <c r="L279" i="13"/>
  <c r="T275" i="13" s="1"/>
  <c r="U275" i="13"/>
  <c r="M263" i="1"/>
  <c r="T259" i="1"/>
  <c r="L247" i="13"/>
  <c r="M247" i="13" s="1"/>
  <c r="M254" i="13"/>
  <c r="L183" i="13"/>
  <c r="I7" i="13"/>
  <c r="M87" i="13"/>
  <c r="U35" i="13"/>
  <c r="L39" i="13"/>
  <c r="V579" i="13"/>
  <c r="L583" i="13"/>
  <c r="T579" i="13" s="1"/>
  <c r="T547" i="13"/>
  <c r="M551" i="13"/>
  <c r="J7" i="13"/>
  <c r="G7" i="13"/>
  <c r="L487" i="13"/>
  <c r="U483" i="13"/>
  <c r="M488" i="13"/>
  <c r="L471" i="13"/>
  <c r="U467" i="13"/>
  <c r="M472" i="13"/>
  <c r="L455" i="13"/>
  <c r="V451" i="13"/>
  <c r="V403" i="13"/>
  <c r="L407" i="13"/>
  <c r="L375" i="13"/>
  <c r="U371" i="13"/>
  <c r="M376" i="13"/>
  <c r="L12" i="13"/>
  <c r="M12" i="13" s="1"/>
  <c r="H7" i="13"/>
  <c r="K7" i="13"/>
  <c r="L343" i="13"/>
  <c r="L9" i="13"/>
  <c r="M9" i="13" s="1"/>
  <c r="V339" i="13"/>
  <c r="L327" i="13"/>
  <c r="M328" i="13"/>
  <c r="U323" i="13"/>
  <c r="L311" i="13"/>
  <c r="V307" i="13"/>
  <c r="M295" i="13"/>
  <c r="M267" i="13"/>
  <c r="V259" i="13"/>
  <c r="L10" i="13"/>
  <c r="M10" i="13" s="1"/>
  <c r="L263" i="13"/>
  <c r="V243" i="13"/>
  <c r="L231" i="13"/>
  <c r="U227" i="13"/>
  <c r="M232" i="13"/>
  <c r="L15" i="13"/>
  <c r="M15" i="13" s="1"/>
  <c r="T195" i="13"/>
  <c r="L151" i="13"/>
  <c r="M152" i="13"/>
  <c r="U147" i="13"/>
  <c r="M135" i="13"/>
  <c r="L14" i="13"/>
  <c r="W3" i="13" s="1"/>
  <c r="V115" i="13"/>
  <c r="L119" i="13"/>
  <c r="V99" i="13"/>
  <c r="L103" i="13"/>
  <c r="M71" i="13"/>
  <c r="L8" i="13"/>
  <c r="M8" i="13" s="1"/>
  <c r="L13" i="13"/>
  <c r="M13" i="13" s="1"/>
  <c r="M74" i="13"/>
  <c r="V67" i="13"/>
  <c r="L11" i="13"/>
  <c r="M11" i="13" s="1"/>
  <c r="L55" i="13"/>
  <c r="V51" i="13"/>
  <c r="M24" i="13"/>
  <c r="U19" i="13"/>
  <c r="M807" i="13"/>
  <c r="T803" i="13"/>
  <c r="M599" i="13"/>
  <c r="T595" i="13"/>
  <c r="M775" i="13"/>
  <c r="T771" i="13"/>
  <c r="M791" i="13"/>
  <c r="T787" i="13"/>
  <c r="M727" i="13"/>
  <c r="T723" i="13"/>
  <c r="M695" i="13"/>
  <c r="T691" i="13"/>
  <c r="M151" i="12"/>
  <c r="T147" i="12"/>
  <c r="M8" i="12"/>
  <c r="L7" i="12"/>
  <c r="U3" i="12"/>
  <c r="M711" i="12"/>
  <c r="T707" i="12"/>
  <c r="M599" i="12"/>
  <c r="T595" i="12"/>
  <c r="M535" i="12"/>
  <c r="T531" i="12"/>
  <c r="M759" i="12"/>
  <c r="T755" i="12"/>
  <c r="M695" i="12"/>
  <c r="T691" i="12"/>
  <c r="M519" i="12"/>
  <c r="T515" i="12"/>
  <c r="M455" i="12"/>
  <c r="T451" i="12"/>
  <c r="M391" i="12"/>
  <c r="T387" i="12"/>
  <c r="M663" i="12"/>
  <c r="T659" i="12"/>
  <c r="M199" i="12"/>
  <c r="T195" i="12"/>
  <c r="M135" i="12"/>
  <c r="T131" i="12"/>
  <c r="M775" i="12"/>
  <c r="T771" i="12"/>
  <c r="M471" i="12"/>
  <c r="T467" i="12"/>
  <c r="M407" i="12"/>
  <c r="T403" i="12"/>
  <c r="M791" i="12"/>
  <c r="T787" i="12"/>
  <c r="M743" i="12"/>
  <c r="T739" i="12"/>
  <c r="M567" i="12"/>
  <c r="T563" i="12"/>
  <c r="M503" i="12"/>
  <c r="T499" i="12"/>
  <c r="M439" i="12"/>
  <c r="T435" i="12"/>
  <c r="M375" i="12"/>
  <c r="T371" i="12"/>
  <c r="M327" i="12"/>
  <c r="T323" i="12"/>
  <c r="M631" i="12"/>
  <c r="T627" i="12"/>
  <c r="M183" i="12"/>
  <c r="T179" i="12"/>
  <c r="M119" i="12"/>
  <c r="T115" i="12"/>
  <c r="M679" i="12"/>
  <c r="T675" i="12"/>
  <c r="M343" i="12"/>
  <c r="T339" i="12"/>
  <c r="M807" i="12"/>
  <c r="T803" i="12"/>
  <c r="M727" i="12"/>
  <c r="T723" i="12"/>
  <c r="M551" i="12"/>
  <c r="T547" i="12"/>
  <c r="M487" i="12"/>
  <c r="T483" i="12"/>
  <c r="M423" i="12"/>
  <c r="T419" i="12"/>
  <c r="M359" i="12"/>
  <c r="T355" i="12"/>
  <c r="M167" i="12"/>
  <c r="T163" i="12"/>
  <c r="M343" i="8"/>
  <c r="T339" i="8"/>
  <c r="T51" i="8"/>
  <c r="M55" i="8"/>
  <c r="M567" i="7"/>
  <c r="T563" i="7"/>
  <c r="T323" i="7"/>
  <c r="M327" i="7"/>
  <c r="M119" i="7"/>
  <c r="T115" i="7"/>
  <c r="M711" i="6"/>
  <c r="T707" i="6"/>
  <c r="M647" i="6"/>
  <c r="T643" i="6"/>
  <c r="M551" i="6"/>
  <c r="T547" i="6"/>
  <c r="M487" i="6"/>
  <c r="T483" i="6"/>
  <c r="M695" i="6"/>
  <c r="T691" i="6"/>
  <c r="M631" i="6"/>
  <c r="T627" i="6"/>
  <c r="M567" i="6"/>
  <c r="T563" i="6"/>
  <c r="M503" i="6"/>
  <c r="T499" i="6"/>
  <c r="M471" i="6"/>
  <c r="T467" i="6"/>
  <c r="M311" i="6"/>
  <c r="T307" i="6"/>
  <c r="M231" i="5"/>
  <c r="T227" i="5"/>
  <c r="U3" i="6"/>
  <c r="M8" i="6"/>
  <c r="L7" i="6"/>
  <c r="T259" i="5"/>
  <c r="M263" i="5"/>
  <c r="M487" i="5"/>
  <c r="T483" i="5"/>
  <c r="M439" i="5"/>
  <c r="T435" i="5"/>
  <c r="M311" i="5"/>
  <c r="T307" i="5"/>
  <c r="M391" i="8"/>
  <c r="T387" i="8"/>
  <c r="M12" i="8"/>
  <c r="X3" i="8"/>
  <c r="M423" i="7"/>
  <c r="T419" i="7"/>
  <c r="M359" i="7"/>
  <c r="T355" i="7"/>
  <c r="T755" i="7"/>
  <c r="M759" i="7"/>
  <c r="T787" i="7"/>
  <c r="M791" i="7"/>
  <c r="M295" i="7"/>
  <c r="T291" i="7"/>
  <c r="M471" i="7"/>
  <c r="T467" i="7"/>
  <c r="T163" i="7"/>
  <c r="M167" i="7"/>
  <c r="W3" i="7"/>
  <c r="M14" i="7"/>
  <c r="M375" i="6"/>
  <c r="T371" i="6"/>
  <c r="M359" i="6"/>
  <c r="T355" i="6"/>
  <c r="M391" i="6"/>
  <c r="T387" i="6"/>
  <c r="M295" i="5"/>
  <c r="T291" i="5"/>
  <c r="T323" i="5"/>
  <c r="M327" i="5"/>
  <c r="U3" i="5"/>
  <c r="M8" i="5"/>
  <c r="L7" i="5"/>
  <c r="M39" i="8"/>
  <c r="T35" i="8"/>
  <c r="T691" i="7"/>
  <c r="M695" i="7"/>
  <c r="T547" i="7"/>
  <c r="M551" i="7"/>
  <c r="T483" i="7"/>
  <c r="M487" i="7"/>
  <c r="T723" i="7"/>
  <c r="M727" i="7"/>
  <c r="T211" i="7"/>
  <c r="M215" i="7"/>
  <c r="M55" i="7"/>
  <c r="T51" i="7"/>
  <c r="M199" i="7"/>
  <c r="T195" i="7"/>
  <c r="M87" i="7"/>
  <c r="T83" i="7"/>
  <c r="M71" i="7"/>
  <c r="T67" i="7"/>
  <c r="M679" i="6"/>
  <c r="T675" i="6"/>
  <c r="M615" i="6"/>
  <c r="T611" i="6"/>
  <c r="M583" i="6"/>
  <c r="T579" i="6"/>
  <c r="M519" i="6"/>
  <c r="T515" i="6"/>
  <c r="M455" i="6"/>
  <c r="T451" i="6"/>
  <c r="M663" i="6"/>
  <c r="T659" i="6"/>
  <c r="M599" i="6"/>
  <c r="T595" i="6"/>
  <c r="M535" i="6"/>
  <c r="T531" i="6"/>
  <c r="M407" i="6"/>
  <c r="T403" i="6"/>
  <c r="M183" i="5"/>
  <c r="T179" i="5"/>
  <c r="M679" i="8"/>
  <c r="T675" i="8"/>
  <c r="M327" i="8"/>
  <c r="T323" i="8"/>
  <c r="M375" i="8"/>
  <c r="T371" i="8"/>
  <c r="T19" i="8"/>
  <c r="M23" i="8"/>
  <c r="L7" i="8"/>
  <c r="T515" i="7"/>
  <c r="M519" i="7"/>
  <c r="T451" i="7"/>
  <c r="M455" i="7"/>
  <c r="T403" i="7"/>
  <c r="M407" i="7"/>
  <c r="T435" i="7"/>
  <c r="M439" i="7"/>
  <c r="T387" i="7"/>
  <c r="M391" i="7"/>
  <c r="M535" i="7"/>
  <c r="T531" i="7"/>
  <c r="M375" i="7"/>
  <c r="T371" i="7"/>
  <c r="T259" i="7"/>
  <c r="M263" i="7"/>
  <c r="T147" i="7"/>
  <c r="M151" i="7"/>
  <c r="M247" i="7"/>
  <c r="T243" i="7"/>
  <c r="U3" i="7"/>
  <c r="M8" i="7"/>
  <c r="L7" i="7"/>
  <c r="V3" i="7"/>
  <c r="M503" i="7"/>
  <c r="T499" i="7"/>
  <c r="M23" i="7"/>
  <c r="T19" i="7"/>
  <c r="M439" i="6"/>
  <c r="T435" i="6"/>
  <c r="M359" i="5"/>
  <c r="T355" i="5"/>
  <c r="T467" i="5"/>
  <c r="M471" i="5"/>
  <c r="T403" i="5"/>
  <c r="M407" i="5"/>
  <c r="T339" i="5"/>
  <c r="M343" i="5"/>
  <c r="T275" i="5"/>
  <c r="M279" i="5"/>
  <c r="T211" i="5"/>
  <c r="M215" i="5"/>
  <c r="T147" i="5"/>
  <c r="M151" i="5"/>
  <c r="M247" i="6"/>
  <c r="T243" i="6"/>
  <c r="T387" i="5"/>
  <c r="M391" i="5"/>
  <c r="M103" i="6"/>
  <c r="T99" i="6"/>
  <c r="M375" i="5"/>
  <c r="T371" i="5"/>
  <c r="M247" i="5"/>
  <c r="T243" i="5"/>
  <c r="M359" i="8"/>
  <c r="T355" i="8"/>
  <c r="M599" i="7"/>
  <c r="T595" i="7"/>
  <c r="M631" i="7"/>
  <c r="T627" i="7"/>
  <c r="M663" i="7"/>
  <c r="T659" i="7"/>
  <c r="M183" i="7"/>
  <c r="T179" i="7"/>
  <c r="T275" i="7"/>
  <c r="M279" i="7"/>
  <c r="T227" i="7"/>
  <c r="M231" i="7"/>
  <c r="M311" i="7"/>
  <c r="T307" i="7"/>
  <c r="M135" i="7"/>
  <c r="T131" i="7"/>
  <c r="M103" i="7"/>
  <c r="T99" i="7"/>
  <c r="M39" i="7"/>
  <c r="T35" i="7"/>
  <c r="M423" i="6"/>
  <c r="T419" i="6"/>
  <c r="M423" i="5"/>
  <c r="T419" i="5"/>
  <c r="T163" i="5"/>
  <c r="M167" i="5"/>
  <c r="M135" i="6"/>
  <c r="T131" i="6"/>
  <c r="M71" i="6"/>
  <c r="T67" i="6"/>
  <c r="T499" i="5"/>
  <c r="M503" i="5"/>
  <c r="T451" i="5"/>
  <c r="M455" i="5"/>
  <c r="T195" i="5"/>
  <c r="M199" i="5"/>
  <c r="M615" i="4"/>
  <c r="T611" i="4"/>
  <c r="M407" i="4"/>
  <c r="T403" i="4"/>
  <c r="M279" i="4"/>
  <c r="T275" i="4"/>
  <c r="M135" i="4"/>
  <c r="T131" i="4"/>
  <c r="M119" i="4"/>
  <c r="T115" i="4"/>
  <c r="M103" i="4"/>
  <c r="T99" i="4"/>
  <c r="M87" i="4"/>
  <c r="T83" i="4"/>
  <c r="M71" i="4"/>
  <c r="T67" i="4"/>
  <c r="M55" i="4"/>
  <c r="T51" i="4"/>
  <c r="M39" i="4"/>
  <c r="T35" i="4"/>
  <c r="M455" i="4"/>
  <c r="T451" i="4"/>
  <c r="M263" i="4"/>
  <c r="T259" i="4"/>
  <c r="M231" i="4"/>
  <c r="T227" i="4"/>
  <c r="M199" i="4"/>
  <c r="T195" i="4"/>
  <c r="M167" i="4"/>
  <c r="T163" i="4"/>
  <c r="M503" i="3"/>
  <c r="T499" i="3"/>
  <c r="M263" i="3"/>
  <c r="T259" i="3"/>
  <c r="M8" i="3"/>
  <c r="L7" i="3"/>
  <c r="U3" i="3"/>
  <c r="M471" i="4"/>
  <c r="T467" i="4"/>
  <c r="M423" i="4"/>
  <c r="T419" i="4"/>
  <c r="M519" i="4"/>
  <c r="T515" i="4"/>
  <c r="M311" i="4"/>
  <c r="T307" i="4"/>
  <c r="M327" i="3"/>
  <c r="T323" i="3"/>
  <c r="M295" i="3"/>
  <c r="T291" i="3"/>
  <c r="M279" i="3"/>
  <c r="T275" i="3"/>
  <c r="M375" i="4"/>
  <c r="T371" i="4"/>
  <c r="M439" i="4"/>
  <c r="T435" i="4"/>
  <c r="M247" i="4"/>
  <c r="T243" i="4"/>
  <c r="M215" i="4"/>
  <c r="T211" i="4"/>
  <c r="M183" i="4"/>
  <c r="T179" i="4"/>
  <c r="M151" i="4"/>
  <c r="T147" i="4"/>
  <c r="M23" i="4"/>
  <c r="T19" i="4"/>
  <c r="M807" i="2"/>
  <c r="T803" i="2"/>
  <c r="M663" i="2"/>
  <c r="T659" i="2"/>
  <c r="M647" i="2"/>
  <c r="T643" i="2"/>
  <c r="M631" i="2"/>
  <c r="T627" i="2"/>
  <c r="M615" i="2"/>
  <c r="T611" i="2"/>
  <c r="M599" i="2"/>
  <c r="T595" i="2"/>
  <c r="M679" i="2"/>
  <c r="T675" i="2"/>
  <c r="M695" i="2"/>
  <c r="T691" i="2"/>
  <c r="M743" i="2"/>
  <c r="T739" i="2"/>
  <c r="M759" i="2"/>
  <c r="T755" i="2"/>
  <c r="M583" i="2"/>
  <c r="T579" i="2"/>
  <c r="M471" i="1"/>
  <c r="T467" i="1"/>
  <c r="M439" i="1"/>
  <c r="T435" i="1"/>
  <c r="M375" i="1"/>
  <c r="T371" i="1"/>
  <c r="M359" i="1"/>
  <c r="T355" i="1"/>
  <c r="W3" i="1"/>
  <c r="M103" i="1"/>
  <c r="T99" i="1"/>
  <c r="M71" i="1"/>
  <c r="T67" i="1"/>
  <c r="M39" i="1"/>
  <c r="T35" i="1"/>
  <c r="M695" i="1"/>
  <c r="T691" i="1"/>
  <c r="M743" i="1"/>
  <c r="T739" i="1"/>
  <c r="M727" i="1"/>
  <c r="T723" i="1"/>
  <c r="M759" i="1"/>
  <c r="T755" i="1"/>
  <c r="M807" i="1"/>
  <c r="T803" i="1"/>
  <c r="U3" i="1"/>
  <c r="M8" i="1"/>
  <c r="L7" i="1"/>
  <c r="M10" i="1"/>
  <c r="V3" i="1"/>
  <c r="M23" i="13" l="1"/>
  <c r="M391" i="13"/>
  <c r="T563" i="13"/>
  <c r="M215" i="13"/>
  <c r="M711" i="13"/>
  <c r="T707" i="13"/>
  <c r="T627" i="13"/>
  <c r="M615" i="13"/>
  <c r="T163" i="13"/>
  <c r="M535" i="13"/>
  <c r="M647" i="13"/>
  <c r="M583" i="13"/>
  <c r="T435" i="13"/>
  <c r="T419" i="13"/>
  <c r="M7" i="4"/>
  <c r="M279" i="13"/>
  <c r="M759" i="13"/>
  <c r="T755" i="13"/>
  <c r="T3" i="2"/>
  <c r="T243" i="13"/>
  <c r="M7" i="15"/>
  <c r="L6" i="15"/>
  <c r="M6" i="15" s="1"/>
  <c r="K565" i="13"/>
  <c r="K197" i="13"/>
  <c r="K645" i="13"/>
  <c r="K181" i="13"/>
  <c r="K581" i="13"/>
  <c r="K389" i="13"/>
  <c r="K245" i="13"/>
  <c r="K85" i="13"/>
  <c r="K133" i="13"/>
  <c r="K677" i="13"/>
  <c r="K453" i="13"/>
  <c r="K533" i="13"/>
  <c r="K53" i="13"/>
  <c r="K757" i="13"/>
  <c r="K261" i="13"/>
  <c r="K309" i="13"/>
  <c r="K613" i="13"/>
  <c r="K325" i="13"/>
  <c r="K693" i="13"/>
  <c r="K485" i="13"/>
  <c r="K69" i="13"/>
  <c r="K469" i="13"/>
  <c r="K117" i="13"/>
  <c r="K597" i="13"/>
  <c r="K805" i="13"/>
  <c r="K549" i="13"/>
  <c r="K357" i="13"/>
  <c r="K229" i="13"/>
  <c r="K773" i="13"/>
  <c r="K21" i="13"/>
  <c r="K661" i="13"/>
  <c r="K405" i="13"/>
  <c r="K277" i="13"/>
  <c r="K789" i="13"/>
  <c r="K421" i="13"/>
  <c r="K101" i="13"/>
  <c r="K709" i="13"/>
  <c r="K149" i="13"/>
  <c r="K293" i="13"/>
  <c r="K37" i="13"/>
  <c r="K437" i="13"/>
  <c r="K629" i="13"/>
  <c r="K501" i="13"/>
  <c r="K341" i="13"/>
  <c r="K165" i="13"/>
  <c r="K741" i="13"/>
  <c r="K725" i="13"/>
  <c r="K517" i="13"/>
  <c r="K373" i="13"/>
  <c r="K213" i="13"/>
  <c r="M519" i="13"/>
  <c r="T515" i="13"/>
  <c r="M503" i="13"/>
  <c r="T499" i="13"/>
  <c r="M359" i="13"/>
  <c r="T355" i="13"/>
  <c r="M183" i="13"/>
  <c r="T179" i="13"/>
  <c r="M39" i="13"/>
  <c r="T35" i="13"/>
  <c r="T483" i="13"/>
  <c r="M487" i="13"/>
  <c r="T467" i="13"/>
  <c r="M471" i="13"/>
  <c r="M455" i="13"/>
  <c r="T451" i="13"/>
  <c r="M14" i="13"/>
  <c r="X3" i="13"/>
  <c r="M407" i="13"/>
  <c r="T403" i="13"/>
  <c r="T371" i="13"/>
  <c r="M375" i="13"/>
  <c r="M343" i="13"/>
  <c r="T339" i="13"/>
  <c r="T323" i="13"/>
  <c r="M327" i="13"/>
  <c r="M311" i="13"/>
  <c r="T307" i="13"/>
  <c r="M263" i="13"/>
  <c r="T259" i="13"/>
  <c r="T227" i="13"/>
  <c r="M231" i="13"/>
  <c r="L7" i="13"/>
  <c r="T3" i="13" s="1"/>
  <c r="U3" i="13"/>
  <c r="M151" i="13"/>
  <c r="T147" i="13"/>
  <c r="V3" i="13"/>
  <c r="T115" i="13"/>
  <c r="M119" i="13"/>
  <c r="M103" i="13"/>
  <c r="T99" i="13"/>
  <c r="T51" i="13"/>
  <c r="M55" i="13"/>
  <c r="T3" i="12"/>
  <c r="M7" i="12"/>
  <c r="M7" i="7"/>
  <c r="T3" i="7"/>
  <c r="M7" i="5"/>
  <c r="T3" i="5"/>
  <c r="M7" i="6"/>
  <c r="T3" i="6"/>
  <c r="M7" i="8"/>
  <c r="T3" i="8"/>
  <c r="T3" i="3"/>
  <c r="M7" i="3"/>
  <c r="M7" i="1"/>
  <c r="T3" i="1"/>
  <c r="M7" i="13" l="1"/>
</calcChain>
</file>

<file path=xl/sharedStrings.xml><?xml version="1.0" encoding="utf-8"?>
<sst xmlns="http://schemas.openxmlformats.org/spreadsheetml/2006/main" count="7001" uniqueCount="116">
  <si>
    <t>Number of Sundays</t>
  </si>
  <si>
    <t>ICBC</t>
  </si>
  <si>
    <t>Adults</t>
  </si>
  <si>
    <t>Youth &amp; Children</t>
  </si>
  <si>
    <t>Home Visits</t>
  </si>
  <si>
    <t>Total ICBC</t>
  </si>
  <si>
    <t>Total</t>
  </si>
  <si>
    <t>Average</t>
  </si>
  <si>
    <t>Church Attendance:</t>
  </si>
  <si>
    <t>Men</t>
  </si>
  <si>
    <t>Women</t>
  </si>
  <si>
    <t>Youth</t>
  </si>
  <si>
    <t>Children</t>
  </si>
  <si>
    <t>Salvations</t>
  </si>
  <si>
    <t>Baptisms</t>
  </si>
  <si>
    <t>Meals / Food Packs</t>
  </si>
  <si>
    <t>Preschool Attendance</t>
  </si>
  <si>
    <t>Hawane CLC Church</t>
  </si>
  <si>
    <t>Ngwenya</t>
  </si>
  <si>
    <t>Lavumisa</t>
  </si>
  <si>
    <t>Engcamini</t>
  </si>
  <si>
    <t>Pine Valley</t>
  </si>
  <si>
    <t>Ngwempisi</t>
  </si>
  <si>
    <t>Gebeni</t>
  </si>
  <si>
    <t>Mpolonjeni CLC</t>
  </si>
  <si>
    <t>Msahweni CLC</t>
  </si>
  <si>
    <t>Mhlangatane</t>
  </si>
  <si>
    <t>Tibane</t>
  </si>
  <si>
    <t>Nyathela</t>
  </si>
  <si>
    <t>Mlindazwe</t>
  </si>
  <si>
    <t>Lundzi</t>
  </si>
  <si>
    <t>Esigcaweni</t>
  </si>
  <si>
    <t>Lonhlalane</t>
  </si>
  <si>
    <t>Zondwako</t>
  </si>
  <si>
    <t>Mangcongco</t>
  </si>
  <si>
    <t>Kaliba</t>
  </si>
  <si>
    <t>Kancesi</t>
  </si>
  <si>
    <t>Mpuluzi</t>
  </si>
  <si>
    <t>Bulunga</t>
  </si>
  <si>
    <t>Mbowane</t>
  </si>
  <si>
    <t>Sibovini</t>
  </si>
  <si>
    <t>Nsubani</t>
  </si>
  <si>
    <t>Mhlabubovu</t>
  </si>
  <si>
    <t>Jubukweni</t>
  </si>
  <si>
    <t>Sigangeni</t>
  </si>
  <si>
    <t>Sgombeni</t>
  </si>
  <si>
    <t>Lushikishini</t>
  </si>
  <si>
    <t>Sigengeni (Shiselweni)</t>
  </si>
  <si>
    <t>Gundviwini</t>
  </si>
  <si>
    <t>Mcuba</t>
  </si>
  <si>
    <t>Phonjwane</t>
  </si>
  <si>
    <t>Njakeni</t>
  </si>
  <si>
    <t>Mantabeni</t>
  </si>
  <si>
    <t>Makhungutja</t>
  </si>
  <si>
    <t>ICBC Details</t>
  </si>
  <si>
    <t>Month Year</t>
  </si>
  <si>
    <t>Mnt</t>
  </si>
  <si>
    <t>Year</t>
  </si>
  <si>
    <t>Year to Date 2024/2025</t>
  </si>
  <si>
    <t>NB: Service was at Chiefdorm First week</t>
  </si>
  <si>
    <t>Moneni</t>
  </si>
  <si>
    <t>Mabhukwini</t>
  </si>
  <si>
    <t>YTD</t>
  </si>
  <si>
    <t>Week</t>
  </si>
  <si>
    <t>Weeks</t>
  </si>
  <si>
    <t>2024/25</t>
  </si>
  <si>
    <t>TOTAL YEAR TO DATE</t>
  </si>
  <si>
    <t>TOTAL MONTH</t>
  </si>
  <si>
    <t>Church Attendance</t>
  </si>
  <si>
    <t>Pre-School Children</t>
  </si>
  <si>
    <t>Pre-School Teachers</t>
  </si>
  <si>
    <t>Number of Weeks</t>
  </si>
  <si>
    <t>Average per Week</t>
  </si>
  <si>
    <t>NB: No report at point of submission for 2nd week</t>
  </si>
  <si>
    <t>NB: CHURCH SERVICE WAS HELD AT CHIEFDORM FORTH WEEK</t>
  </si>
  <si>
    <t>NB: No service first week</t>
  </si>
  <si>
    <t>Month</t>
  </si>
  <si>
    <t>Year to Date</t>
  </si>
  <si>
    <t>NB: No church service forth week due to bad weather</t>
  </si>
  <si>
    <t>Sep</t>
  </si>
  <si>
    <t>NB: No report at time of Submission</t>
  </si>
  <si>
    <t>Jul</t>
  </si>
  <si>
    <t>Aug</t>
  </si>
  <si>
    <t>Oct</t>
  </si>
  <si>
    <t>July 2024</t>
  </si>
  <si>
    <t>August 2024</t>
  </si>
  <si>
    <t>September 2024</t>
  </si>
  <si>
    <t>October 2024</t>
  </si>
  <si>
    <t>November 2024</t>
  </si>
  <si>
    <t>NB: Church Service held at Chiefdorm 17/11/24.</t>
  </si>
  <si>
    <t>NB: 24/11/24 Church Service was Held at Chiefdorm</t>
  </si>
  <si>
    <t>24/11/24 Church Service was at Chiefdorm</t>
  </si>
  <si>
    <t>NB: Church service was held at the Chiefdorm 10/11/24</t>
  </si>
  <si>
    <t>NB: Church Services were held at Chiefdorm 3/11/24</t>
  </si>
  <si>
    <t>NB: Church Services were held at Chiefdorm 24/11/24</t>
  </si>
  <si>
    <t>December 2024</t>
  </si>
  <si>
    <t>NB: Service was held at Msahweni as end of year services.</t>
  </si>
  <si>
    <t>NB: There was no Church Service.</t>
  </si>
  <si>
    <t>Phuzweni</t>
  </si>
  <si>
    <t>January 2025</t>
  </si>
  <si>
    <t>NB: 26/12/25 NO REPORT AT TIME OF SUBSSION</t>
  </si>
  <si>
    <t>NB: Church service was held at Chiefdorm on 12/12/24</t>
  </si>
  <si>
    <t>Jan</t>
  </si>
  <si>
    <t>GundvIwini</t>
  </si>
  <si>
    <t>ICBC Statistics
January 2025</t>
  </si>
  <si>
    <t>December</t>
  </si>
  <si>
    <t>December 2025</t>
  </si>
  <si>
    <t>NB:07/12/25 Service was held at Royal Kraal</t>
  </si>
  <si>
    <t>Nsingweni</t>
  </si>
  <si>
    <t>Ntontozi</t>
  </si>
  <si>
    <t>Nyamane</t>
  </si>
  <si>
    <t>Nyakeni</t>
  </si>
  <si>
    <t>NB: 07/12/25 Service was held at the royal Kraal</t>
  </si>
  <si>
    <t>NB: 07/12/25 NO REPORT</t>
  </si>
  <si>
    <t>NB: 14/12/25 NO SERVIVE DUE TO RAINFALL</t>
  </si>
  <si>
    <t>NB:14/12/25 Service was held at Royal Kraal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</si>
</sst>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4D5156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/>
    </xf>
    <xf numFmtId="0" fontId="2" fillId="3" borderId="1" xfId="0" applyFont="1" applyFill="1" applyBorder="1"/>
    <xf numFmtId="17" fontId="3" fillId="2" borderId="2" xfId="0" quotePrefix="1" applyNumberFormat="1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3" xfId="0" applyFont="1" applyFill="1" applyBorder="1"/>
    <xf numFmtId="17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4" xfId="0" applyFont="1" applyFill="1" applyBorder="1"/>
    <xf numFmtId="17" fontId="3" fillId="2" borderId="0" xfId="0" quotePrefix="1" applyNumberFormat="1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3" fillId="2" borderId="0" xfId="0" quotePrefix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5" xfId="0" applyFont="1" applyBorder="1"/>
    <xf numFmtId="164" fontId="2" fillId="0" borderId="9" xfId="1" applyNumberFormat="1" applyFont="1" applyFill="1" applyBorder="1"/>
    <xf numFmtId="164" fontId="2" fillId="0" borderId="5" xfId="1" applyNumberFormat="1" applyFont="1" applyFill="1" applyBorder="1"/>
    <xf numFmtId="0" fontId="2" fillId="0" borderId="0" xfId="1" applyNumberFormat="1" applyFont="1"/>
    <xf numFmtId="164" fontId="2" fillId="0" borderId="0" xfId="1" applyNumberFormat="1" applyFont="1"/>
    <xf numFmtId="164" fontId="2" fillId="0" borderId="0" xfId="1" applyNumberFormat="1" applyFont="1" applyFill="1" applyBorder="1"/>
    <xf numFmtId="0" fontId="2" fillId="0" borderId="6" xfId="0" applyFont="1" applyBorder="1"/>
    <xf numFmtId="0" fontId="2" fillId="0" borderId="7" xfId="0" applyFont="1" applyBorder="1"/>
    <xf numFmtId="164" fontId="2" fillId="0" borderId="7" xfId="1" applyNumberFormat="1" applyFont="1" applyFill="1" applyBorder="1"/>
    <xf numFmtId="164" fontId="2" fillId="0" borderId="8" xfId="1" applyNumberFormat="1" applyFont="1" applyFill="1" applyBorder="1"/>
    <xf numFmtId="0" fontId="3" fillId="3" borderId="1" xfId="0" applyFont="1" applyFill="1" applyBorder="1"/>
    <xf numFmtId="17" fontId="3" fillId="3" borderId="0" xfId="0" quotePrefix="1" applyNumberFormat="1" applyFont="1" applyFill="1" applyBorder="1"/>
    <xf numFmtId="164" fontId="2" fillId="2" borderId="0" xfId="1" applyNumberFormat="1" applyFont="1" applyFill="1" applyBorder="1"/>
    <xf numFmtId="164" fontId="2" fillId="2" borderId="9" xfId="1" applyNumberFormat="1" applyFont="1" applyFill="1" applyBorder="1"/>
    <xf numFmtId="43" fontId="2" fillId="0" borderId="0" xfId="1" applyFont="1"/>
    <xf numFmtId="43" fontId="5" fillId="0" borderId="0" xfId="1" applyFont="1"/>
    <xf numFmtId="0" fontId="2" fillId="4" borderId="0" xfId="0" applyFont="1" applyFill="1"/>
    <xf numFmtId="17" fontId="3" fillId="4" borderId="2" xfId="0" quotePrefix="1" applyNumberFormat="1" applyFont="1" applyFill="1" applyBorder="1"/>
    <xf numFmtId="0" fontId="2" fillId="4" borderId="2" xfId="0" applyFont="1" applyFill="1" applyBorder="1"/>
    <xf numFmtId="0" fontId="6" fillId="0" borderId="0" xfId="0" applyFont="1"/>
    <xf numFmtId="0" fontId="2" fillId="0" borderId="0" xfId="0" applyFont="1" applyFill="1"/>
    <xf numFmtId="43" fontId="2" fillId="0" borderId="0" xfId="1" applyFont="1" applyFill="1"/>
    <xf numFmtId="0" fontId="2" fillId="0" borderId="0" xfId="0" applyFont="1" applyFill="1" applyBorder="1"/>
    <xf numFmtId="17" fontId="3" fillId="3" borderId="2" xfId="0" quotePrefix="1" applyNumberFormat="1" applyFont="1" applyFill="1" applyBorder="1"/>
    <xf numFmtId="0" fontId="3" fillId="3" borderId="0" xfId="0" quotePrefix="1" applyFont="1" applyFill="1" applyBorder="1" applyAlignment="1">
      <alignment horizontal="center"/>
    </xf>
    <xf numFmtId="0" fontId="3" fillId="0" borderId="0" xfId="0" applyFont="1" applyBorder="1"/>
    <xf numFmtId="164" fontId="3" fillId="0" borderId="0" xfId="1" applyNumberFormat="1" applyFont="1" applyFill="1" applyBorder="1"/>
    <xf numFmtId="164" fontId="5" fillId="0" borderId="0" xfId="0" applyNumberFormat="1" applyFont="1"/>
    <xf numFmtId="0" fontId="3" fillId="3" borderId="7" xfId="0" applyFont="1" applyFill="1" applyBorder="1"/>
    <xf numFmtId="0" fontId="7" fillId="5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1" applyNumberFormat="1" applyFont="1"/>
    <xf numFmtId="0" fontId="10" fillId="0" borderId="0" xfId="0" applyFont="1"/>
    <xf numFmtId="0" fontId="8" fillId="0" borderId="0" xfId="1" applyNumberFormat="1" applyFont="1" applyBorder="1"/>
    <xf numFmtId="165" fontId="8" fillId="0" borderId="0" xfId="1" applyNumberFormat="1" applyFont="1"/>
    <xf numFmtId="43" fontId="8" fillId="0" borderId="0" xfId="1" applyFont="1"/>
    <xf numFmtId="165" fontId="8" fillId="0" borderId="0" xfId="1" applyNumberFormat="1" applyFont="1" applyFill="1" applyBorder="1"/>
    <xf numFmtId="0" fontId="8" fillId="0" borderId="0" xfId="1" applyNumberFormat="1" applyFont="1"/>
    <xf numFmtId="165" fontId="9" fillId="0" borderId="0" xfId="1" applyNumberFormat="1" applyFont="1"/>
    <xf numFmtId="165" fontId="8" fillId="0" borderId="0" xfId="0" applyNumberFormat="1" applyFont="1"/>
    <xf numFmtId="0" fontId="8" fillId="0" borderId="0" xfId="0" applyNumberFormat="1" applyFont="1"/>
    <xf numFmtId="164" fontId="8" fillId="0" borderId="0" xfId="1" applyNumberFormat="1" applyFont="1" applyFill="1" applyBorder="1"/>
    <xf numFmtId="0" fontId="7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wrapText="1"/>
    </xf>
    <xf numFmtId="0" fontId="8" fillId="0" borderId="10" xfId="0" applyFont="1" applyBorder="1"/>
    <xf numFmtId="165" fontId="8" fillId="0" borderId="10" xfId="1" applyNumberFormat="1" applyFont="1" applyBorder="1"/>
    <xf numFmtId="0" fontId="8" fillId="0" borderId="10" xfId="1" applyNumberFormat="1" applyFont="1" applyBorder="1"/>
    <xf numFmtId="0" fontId="8" fillId="0" borderId="10" xfId="1" applyNumberFormat="1" applyFont="1" applyBorder="1" applyAlignment="1">
      <alignment horizontal="center"/>
    </xf>
    <xf numFmtId="165" fontId="8" fillId="0" borderId="10" xfId="1" applyNumberFormat="1" applyFont="1" applyBorder="1" applyAlignment="1">
      <alignment horizontal="center"/>
    </xf>
    <xf numFmtId="0" fontId="9" fillId="3" borderId="10" xfId="0" applyFont="1" applyFill="1" applyBorder="1"/>
    <xf numFmtId="0" fontId="9" fillId="3" borderId="10" xfId="1" applyNumberFormat="1" applyFont="1" applyFill="1" applyBorder="1" applyAlignment="1">
      <alignment horizontal="center"/>
    </xf>
    <xf numFmtId="165" fontId="9" fillId="3" borderId="10" xfId="1" applyNumberFormat="1" applyFont="1" applyFill="1" applyBorder="1" applyAlignment="1">
      <alignment horizontal="center"/>
    </xf>
    <xf numFmtId="0" fontId="8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1" fillId="5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12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51"/>
  <sheetViews>
    <sheetView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2024</v>
      </c>
      <c r="H3" s="10">
        <f>+G3</f>
        <v>2024</v>
      </c>
      <c r="I3" s="10">
        <f t="shared" ref="I3:M4" si="0">+H3</f>
        <v>2024</v>
      </c>
      <c r="J3" s="10">
        <f t="shared" si="0"/>
        <v>2024</v>
      </c>
      <c r="K3" s="10">
        <f t="shared" si="0"/>
        <v>2024</v>
      </c>
      <c r="L3" s="10">
        <f t="shared" si="0"/>
        <v>2024</v>
      </c>
      <c r="M3" s="10">
        <f t="shared" si="0"/>
        <v>2024</v>
      </c>
      <c r="N3" s="11"/>
      <c r="S3" s="12" t="str">
        <f>+C3</f>
        <v>Total ICBC</v>
      </c>
      <c r="T3" s="13">
        <f>+L7</f>
        <v>10013</v>
      </c>
      <c r="U3" s="13">
        <f>+L8+L9</f>
        <v>2329</v>
      </c>
      <c r="V3" s="13">
        <f>+L10+L11</f>
        <v>7684</v>
      </c>
      <c r="W3" s="13">
        <f>+L14</f>
        <v>534</v>
      </c>
      <c r="X3" s="13">
        <f>+L12</f>
        <v>142</v>
      </c>
    </row>
    <row r="4" spans="1:41" x14ac:dyDescent="0.25">
      <c r="A4" s="14"/>
      <c r="B4" s="15"/>
      <c r="C4" s="16" t="s">
        <v>84</v>
      </c>
      <c r="D4" s="17"/>
      <c r="E4" s="18"/>
      <c r="F4" s="18"/>
      <c r="G4" s="19" t="s">
        <v>81</v>
      </c>
      <c r="H4" s="20" t="str">
        <f>+G4</f>
        <v>Jul</v>
      </c>
      <c r="I4" s="20" t="str">
        <f t="shared" si="0"/>
        <v>Jul</v>
      </c>
      <c r="J4" s="20" t="str">
        <f t="shared" si="0"/>
        <v>Jul</v>
      </c>
      <c r="K4" s="20" t="str">
        <f t="shared" si="0"/>
        <v>Jul</v>
      </c>
      <c r="L4" s="20" t="str">
        <f t="shared" si="0"/>
        <v>Jul</v>
      </c>
      <c r="M4" s="20" t="str">
        <f t="shared" si="0"/>
        <v>Jul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7</v>
      </c>
      <c r="H5" s="24">
        <v>14</v>
      </c>
      <c r="I5" s="24">
        <v>21</v>
      </c>
      <c r="J5" s="24">
        <v>28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2459</v>
      </c>
      <c r="H7" s="31">
        <f t="shared" ref="H7:L7" si="1">SUM(H8:H11)</f>
        <v>2425</v>
      </c>
      <c r="I7" s="31">
        <f t="shared" si="1"/>
        <v>2644</v>
      </c>
      <c r="J7" s="31">
        <f t="shared" si="1"/>
        <v>2485</v>
      </c>
      <c r="K7" s="31">
        <f t="shared" si="1"/>
        <v>0</v>
      </c>
      <c r="L7" s="31">
        <f t="shared" si="1"/>
        <v>10013</v>
      </c>
      <c r="M7" s="31">
        <f>ROUND((L7/$E$1),0)</f>
        <v>2503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167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150</v>
      </c>
      <c r="I8" s="35">
        <f t="shared" si="2"/>
        <v>161</v>
      </c>
      <c r="J8" s="35">
        <f t="shared" si="2"/>
        <v>157</v>
      </c>
      <c r="K8" s="35">
        <f t="shared" si="2"/>
        <v>0</v>
      </c>
      <c r="L8" s="35">
        <f>SUM(G8:K8)</f>
        <v>635</v>
      </c>
      <c r="M8" s="35">
        <f t="shared" ref="M8:M16" si="3">ROUND((L8/$E$1),0)</f>
        <v>159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9" si="4">+G25+G41+G57+G73+G89+G105+G121+G137+G153+G169+G185+G201+G217+G233+G249+G265+G281+G297+G313+G329+G345+G361+G377+G393+G409+G425+G441+G457+G473+G489+G505+G521+G537+G553+G569+G585+G601+G617+G633+G649+G665+G681+G697+G713+G729+G745+G761+G777+G793+G809</f>
        <v>428</v>
      </c>
      <c r="H9" s="35">
        <f t="shared" si="4"/>
        <v>412</v>
      </c>
      <c r="I9" s="35">
        <f t="shared" si="4"/>
        <v>460</v>
      </c>
      <c r="J9" s="35">
        <f t="shared" si="4"/>
        <v>394</v>
      </c>
      <c r="K9" s="35">
        <f t="shared" si="4"/>
        <v>0</v>
      </c>
      <c r="L9" s="35">
        <f t="shared" ref="L9:L16" si="5">SUM(G9:K9)</f>
        <v>1694</v>
      </c>
      <c r="M9" s="35">
        <f t="shared" si="3"/>
        <v>424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ref="G10:K10" si="6">+G26+G42+G58+G74+G90+G106+G122+G138+G154+G170+G186+G202+G218+G234+G250+G266+G282+G298+G314+G330+G346+G362+G378+G394+G410+G426+G442+G458+G474+G490+G506+G522+G538+G554+G570+G586+G602+G618+G634+G650+G666+G682+G698+G714+G730+G746+G762+G778+G794+G810</f>
        <v>619</v>
      </c>
      <c r="H10" s="35">
        <f t="shared" si="6"/>
        <v>583</v>
      </c>
      <c r="I10" s="35">
        <f t="shared" si="6"/>
        <v>668</v>
      </c>
      <c r="J10" s="35">
        <f t="shared" si="6"/>
        <v>647</v>
      </c>
      <c r="K10" s="35">
        <f t="shared" si="6"/>
        <v>0</v>
      </c>
      <c r="L10" s="35">
        <f t="shared" si="5"/>
        <v>2517</v>
      </c>
      <c r="M10" s="35">
        <f t="shared" si="3"/>
        <v>629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ref="G11:K11" si="7">+G27+G43+G59+G75+G91+G107+G123+G139+G155+G171+G187+G203+G219+G235+G251+G267+G283+G299+G315+G331+G347+G363+G379+G395+G411+G427+G443+G459+G475+G491+G507+G523+G539+G555+G571+G587+G603+G619+G635+G651+G667+G683+G699+G715+G731+G747+G763+G779+G795+G811</f>
        <v>1245</v>
      </c>
      <c r="H11" s="31">
        <f t="shared" si="7"/>
        <v>1280</v>
      </c>
      <c r="I11" s="31">
        <f t="shared" si="7"/>
        <v>1355</v>
      </c>
      <c r="J11" s="31">
        <f t="shared" si="7"/>
        <v>1287</v>
      </c>
      <c r="K11" s="31">
        <f t="shared" si="7"/>
        <v>0</v>
      </c>
      <c r="L11" s="31">
        <f t="shared" si="5"/>
        <v>5167</v>
      </c>
      <c r="M11" s="31">
        <f t="shared" si="3"/>
        <v>1292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ref="G12:K12" si="8">+G28+G44+G60+G76+G92+G108+G124+G140+G156+G172+G188+G204+G220+G236+G252+G268+G284+G300+G316+G332+G348+G364+G380+G396+G412+G428+G444+G460+G476+G492+G508+G524+G540+G556+G572+G588+G604+G620+G636+G652+G668+G684+G700+G716+G732+G748+G764+G780+G796+G812</f>
        <v>62</v>
      </c>
      <c r="H12" s="35">
        <f t="shared" si="8"/>
        <v>19</v>
      </c>
      <c r="I12" s="35">
        <f t="shared" si="8"/>
        <v>29</v>
      </c>
      <c r="J12" s="35">
        <f t="shared" si="8"/>
        <v>32</v>
      </c>
      <c r="K12" s="35">
        <f t="shared" si="8"/>
        <v>0</v>
      </c>
      <c r="L12" s="35">
        <f t="shared" si="5"/>
        <v>142</v>
      </c>
      <c r="M12" s="35">
        <f t="shared" si="3"/>
        <v>36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ref="G13:K13" si="9">+G29+G45+G61+G77+G93+G109+G125+G141+G157+G173+G189+G205+G221+G237+G253+G269+G285+G301+G317+G333+G349+G365+G381+G397+G413+G429+G445+G461+G477+G493+G509+G525+G541+G557+G573+G589+G605+G621+G637+G653+G669+G685+G701+G717+G733+G749+G765+G781+G797+G813</f>
        <v>0</v>
      </c>
      <c r="H13" s="35">
        <f t="shared" si="9"/>
        <v>0</v>
      </c>
      <c r="I13" s="35">
        <f t="shared" si="9"/>
        <v>2</v>
      </c>
      <c r="J13" s="35">
        <f t="shared" si="9"/>
        <v>0</v>
      </c>
      <c r="K13" s="35">
        <f t="shared" si="9"/>
        <v>0</v>
      </c>
      <c r="L13" s="35">
        <f t="shared" si="5"/>
        <v>2</v>
      </c>
      <c r="M13" s="35">
        <f t="shared" si="3"/>
        <v>1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ref="G14:K14" si="10">+G30+G46+G62+G78+G94+G110+G126+G142+G158+G174+G190+G206+G222+G238+G254+G270+G286+G302+G318+G334+G350+G366+G382+G398+G414+G430+G446+G462+G478+G494+G510+G526+G542+G558+G574+G590+G606+G622+G638+G654+G670+G686+G702+G718+G734+G750+G766+G782+G798+G814</f>
        <v>135</v>
      </c>
      <c r="H14" s="35">
        <f t="shared" si="10"/>
        <v>141</v>
      </c>
      <c r="I14" s="35">
        <f t="shared" si="10"/>
        <v>119</v>
      </c>
      <c r="J14" s="35">
        <f t="shared" si="10"/>
        <v>139</v>
      </c>
      <c r="K14" s="35">
        <f t="shared" si="10"/>
        <v>0</v>
      </c>
      <c r="L14" s="35">
        <f t="shared" si="5"/>
        <v>534</v>
      </c>
      <c r="M14" s="35">
        <f t="shared" si="3"/>
        <v>134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ref="G15:K15" si="11">+G31+G47+G63+G79+G95+G111+G127+G143+G159+G175+G191+G207+G223+G239+G255+G271+G287+G303+G319+G335+G351+G367+G383+G399+G415+G431+G447+G463+G479+G495+G511+G527+G543+G559+G575+G591+G607+G623+G639+G655+G671+G687+G703+G719+G735+G751+G767+G783+G799+G815</f>
        <v>2734</v>
      </c>
      <c r="H15" s="35">
        <f t="shared" si="11"/>
        <v>3207</v>
      </c>
      <c r="I15" s="35">
        <f t="shared" si="11"/>
        <v>2063</v>
      </c>
      <c r="J15" s="35">
        <f t="shared" si="11"/>
        <v>2115</v>
      </c>
      <c r="K15" s="35">
        <f t="shared" si="11"/>
        <v>0</v>
      </c>
      <c r="L15" s="35">
        <f t="shared" si="5"/>
        <v>10119</v>
      </c>
      <c r="M15" s="35">
        <f t="shared" si="3"/>
        <v>2530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ref="G16:K16" si="12">+G32+G48+G64+G80+G96+G112+G128+G144+G160+G176+G192+G208+G224+G240+G256+G272+G288+G304+G320+G336+G352+G368+G384+G400+G416+G432+G448+G464+G480+G496+G512+G528+G544+G560+G576+G592+G608+G624+G640+G656+G672+G688+G704+G720+G736+G752+G768+G784+G800+G816</f>
        <v>237</v>
      </c>
      <c r="H16" s="35">
        <f t="shared" si="12"/>
        <v>260</v>
      </c>
      <c r="I16" s="35">
        <f t="shared" si="12"/>
        <v>40</v>
      </c>
      <c r="J16" s="35">
        <f t="shared" si="12"/>
        <v>40</v>
      </c>
      <c r="K16" s="35">
        <f t="shared" si="12"/>
        <v>0</v>
      </c>
      <c r="L16" s="35">
        <f t="shared" si="5"/>
        <v>577</v>
      </c>
      <c r="M16" s="35">
        <f t="shared" si="3"/>
        <v>144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2024</v>
      </c>
      <c r="H19" s="10">
        <f>+G19</f>
        <v>2024</v>
      </c>
      <c r="I19" s="10">
        <f t="shared" ref="I19:M20" si="13">+H19</f>
        <v>2024</v>
      </c>
      <c r="J19" s="10">
        <f t="shared" si="13"/>
        <v>2024</v>
      </c>
      <c r="K19" s="10">
        <f t="shared" si="13"/>
        <v>2024</v>
      </c>
      <c r="L19" s="10">
        <f t="shared" si="13"/>
        <v>2024</v>
      </c>
      <c r="M19" s="10">
        <f t="shared" si="13"/>
        <v>2024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870</v>
      </c>
      <c r="U19" s="13">
        <f>+L24+L25</f>
        <v>233</v>
      </c>
      <c r="V19" s="13">
        <f>+L26+L27</f>
        <v>637</v>
      </c>
      <c r="W19" s="13">
        <f>+L30</f>
        <v>15</v>
      </c>
      <c r="X19" s="13">
        <f>+L28</f>
        <v>1</v>
      </c>
    </row>
    <row r="20" spans="1:24" x14ac:dyDescent="0.25">
      <c r="A20" s="14"/>
      <c r="B20" s="15"/>
      <c r="C20" s="41" t="str">
        <f>+$C4</f>
        <v>July 2024</v>
      </c>
      <c r="D20" s="18"/>
      <c r="E20" s="18"/>
      <c r="F20" s="18"/>
      <c r="G20" s="20" t="str">
        <f>+$G$4</f>
        <v>Jul</v>
      </c>
      <c r="H20" s="20" t="str">
        <f>+G20</f>
        <v>Jul</v>
      </c>
      <c r="I20" s="20" t="str">
        <f t="shared" si="13"/>
        <v>Jul</v>
      </c>
      <c r="J20" s="20" t="str">
        <f t="shared" si="13"/>
        <v>Jul</v>
      </c>
      <c r="K20" s="20" t="str">
        <f t="shared" si="13"/>
        <v>Jul</v>
      </c>
      <c r="L20" s="20" t="str">
        <f t="shared" si="13"/>
        <v>Jul</v>
      </c>
      <c r="M20" s="20" t="str">
        <f t="shared" si="13"/>
        <v>Jul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7</v>
      </c>
      <c r="H21" s="25">
        <f>+$H$5</f>
        <v>14</v>
      </c>
      <c r="I21" s="25">
        <f>+$I$5</f>
        <v>21</v>
      </c>
      <c r="J21" s="25">
        <f>+$J$5</f>
        <v>28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193</v>
      </c>
      <c r="H23" s="31">
        <f t="shared" ref="H23:L23" si="14">SUM(H24:H27)</f>
        <v>234</v>
      </c>
      <c r="I23" s="31">
        <f t="shared" si="14"/>
        <v>231</v>
      </c>
      <c r="J23" s="31">
        <f t="shared" si="14"/>
        <v>212</v>
      </c>
      <c r="K23" s="31">
        <f t="shared" si="14"/>
        <v>0</v>
      </c>
      <c r="L23" s="31">
        <f t="shared" si="14"/>
        <v>870</v>
      </c>
      <c r="M23" s="31">
        <f>ROUND((L23/$E$1),0)</f>
        <v>218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12</v>
      </c>
      <c r="H24" s="42">
        <v>20</v>
      </c>
      <c r="I24" s="42">
        <v>14</v>
      </c>
      <c r="J24" s="42">
        <v>18</v>
      </c>
      <c r="K24" s="42"/>
      <c r="L24" s="35">
        <f>SUM(G24:K24)</f>
        <v>64</v>
      </c>
      <c r="M24" s="35">
        <f t="shared" ref="M24:M32" si="15">ROUND((L24/$E$1),0)</f>
        <v>16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34</v>
      </c>
      <c r="H25" s="42">
        <v>46</v>
      </c>
      <c r="I25" s="42">
        <v>57</v>
      </c>
      <c r="J25" s="42">
        <v>32</v>
      </c>
      <c r="K25" s="42"/>
      <c r="L25" s="35">
        <f t="shared" ref="L25:L32" si="16">SUM(G25:K25)</f>
        <v>169</v>
      </c>
      <c r="M25" s="35">
        <f t="shared" si="15"/>
        <v>42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77</v>
      </c>
      <c r="H26" s="42">
        <v>85</v>
      </c>
      <c r="I26" s="42">
        <v>90</v>
      </c>
      <c r="J26" s="42">
        <v>100</v>
      </c>
      <c r="K26" s="42"/>
      <c r="L26" s="35">
        <f t="shared" si="16"/>
        <v>352</v>
      </c>
      <c r="M26" s="35">
        <f t="shared" si="15"/>
        <v>88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70</v>
      </c>
      <c r="H27" s="43">
        <v>83</v>
      </c>
      <c r="I27" s="43">
        <v>70</v>
      </c>
      <c r="J27" s="43">
        <v>62</v>
      </c>
      <c r="K27" s="43"/>
      <c r="L27" s="31">
        <f t="shared" si="16"/>
        <v>285</v>
      </c>
      <c r="M27" s="31">
        <f t="shared" si="15"/>
        <v>71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>
        <v>1</v>
      </c>
      <c r="K28" s="42"/>
      <c r="L28" s="35">
        <f t="shared" si="16"/>
        <v>1</v>
      </c>
      <c r="M28" s="35">
        <f t="shared" si="15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16"/>
        <v>0</v>
      </c>
      <c r="M29" s="35">
        <f t="shared" si="15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/>
      <c r="H30" s="42">
        <v>7</v>
      </c>
      <c r="I30" s="42">
        <v>3</v>
      </c>
      <c r="J30" s="42">
        <v>5</v>
      </c>
      <c r="K30" s="42"/>
      <c r="L30" s="35">
        <f t="shared" si="16"/>
        <v>15</v>
      </c>
      <c r="M30" s="35">
        <f t="shared" si="15"/>
        <v>4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>
        <v>108</v>
      </c>
      <c r="K31" s="42"/>
      <c r="L31" s="35">
        <f t="shared" si="16"/>
        <v>108</v>
      </c>
      <c r="M31" s="35">
        <f t="shared" si="15"/>
        <v>27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16"/>
        <v>0</v>
      </c>
      <c r="M32" s="35">
        <f t="shared" si="15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2024</v>
      </c>
      <c r="H35" s="10">
        <f>+G35</f>
        <v>2024</v>
      </c>
      <c r="I35" s="10">
        <f t="shared" ref="I35:M36" si="17">+H35</f>
        <v>2024</v>
      </c>
      <c r="J35" s="10">
        <f t="shared" si="17"/>
        <v>2024</v>
      </c>
      <c r="K35" s="10">
        <f t="shared" si="17"/>
        <v>2024</v>
      </c>
      <c r="L35" s="10">
        <f t="shared" si="17"/>
        <v>2024</v>
      </c>
      <c r="M35" s="10">
        <f t="shared" si="17"/>
        <v>2024</v>
      </c>
      <c r="N35" s="11"/>
      <c r="O35" s="44"/>
      <c r="P35" s="44"/>
      <c r="Q35" s="44"/>
      <c r="S35" s="12" t="str">
        <f>+C35</f>
        <v>Ngwenya</v>
      </c>
      <c r="T35" s="13">
        <f>+L39</f>
        <v>273</v>
      </c>
      <c r="U35" s="13">
        <f>+L40+L41</f>
        <v>63</v>
      </c>
      <c r="V35" s="13">
        <f>+L42+L43</f>
        <v>210</v>
      </c>
      <c r="W35" s="13">
        <f>+L46</f>
        <v>37</v>
      </c>
      <c r="X35" s="13">
        <f>+L44</f>
        <v>12</v>
      </c>
    </row>
    <row r="36" spans="1:24" x14ac:dyDescent="0.25">
      <c r="A36" s="14"/>
      <c r="B36" s="15"/>
      <c r="C36" s="41" t="str">
        <f>+$C20</f>
        <v>July 2024</v>
      </c>
      <c r="D36" s="18"/>
      <c r="E36" s="18"/>
      <c r="F36" s="18"/>
      <c r="G36" s="20" t="str">
        <f>+$G$4</f>
        <v>Jul</v>
      </c>
      <c r="H36" s="20" t="str">
        <f>+G36</f>
        <v>Jul</v>
      </c>
      <c r="I36" s="20" t="str">
        <f t="shared" si="17"/>
        <v>Jul</v>
      </c>
      <c r="J36" s="20" t="str">
        <f t="shared" si="17"/>
        <v>Jul</v>
      </c>
      <c r="K36" s="20" t="str">
        <f t="shared" si="17"/>
        <v>Jul</v>
      </c>
      <c r="L36" s="20" t="str">
        <f t="shared" si="17"/>
        <v>Jul</v>
      </c>
      <c r="M36" s="20" t="str">
        <f t="shared" si="17"/>
        <v>Jul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7</v>
      </c>
      <c r="H37" s="25">
        <f>+$H$5</f>
        <v>14</v>
      </c>
      <c r="I37" s="25">
        <f>+$I$5</f>
        <v>21</v>
      </c>
      <c r="J37" s="25">
        <f>+$J$5</f>
        <v>28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63</v>
      </c>
      <c r="H39" s="31">
        <f t="shared" ref="H39:L39" si="18">SUM(H40:H43)</f>
        <v>57</v>
      </c>
      <c r="I39" s="31">
        <f t="shared" si="18"/>
        <v>80</v>
      </c>
      <c r="J39" s="31">
        <f t="shared" si="18"/>
        <v>73</v>
      </c>
      <c r="K39" s="31">
        <f t="shared" si="18"/>
        <v>0</v>
      </c>
      <c r="L39" s="31">
        <f t="shared" si="18"/>
        <v>273</v>
      </c>
      <c r="M39" s="31">
        <f>ROUND((L39/$E$1),0)</f>
        <v>68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3</v>
      </c>
      <c r="H40" s="42">
        <v>2</v>
      </c>
      <c r="I40" s="42">
        <v>6</v>
      </c>
      <c r="J40" s="42">
        <v>4</v>
      </c>
      <c r="K40" s="42"/>
      <c r="L40" s="35">
        <f>SUM(G40:K40)</f>
        <v>15</v>
      </c>
      <c r="M40" s="35">
        <f t="shared" ref="M40:M48" si="19">ROUND((L40/$E$1),0)</f>
        <v>4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10</v>
      </c>
      <c r="H41" s="42">
        <v>10</v>
      </c>
      <c r="I41" s="42">
        <v>14</v>
      </c>
      <c r="J41" s="42">
        <v>14</v>
      </c>
      <c r="K41" s="42"/>
      <c r="L41" s="35">
        <f t="shared" ref="L41:L48" si="20">SUM(G41:K41)</f>
        <v>48</v>
      </c>
      <c r="M41" s="35">
        <f t="shared" si="19"/>
        <v>12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15</v>
      </c>
      <c r="H42" s="42">
        <v>15</v>
      </c>
      <c r="I42" s="42">
        <v>20</v>
      </c>
      <c r="J42" s="42">
        <v>20</v>
      </c>
      <c r="K42" s="42"/>
      <c r="L42" s="35">
        <f t="shared" si="20"/>
        <v>70</v>
      </c>
      <c r="M42" s="35">
        <f t="shared" si="19"/>
        <v>18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35</v>
      </c>
      <c r="H43" s="43">
        <v>30</v>
      </c>
      <c r="I43" s="43">
        <v>40</v>
      </c>
      <c r="J43" s="43">
        <v>35</v>
      </c>
      <c r="K43" s="43"/>
      <c r="L43" s="31">
        <f t="shared" si="20"/>
        <v>140</v>
      </c>
      <c r="M43" s="31">
        <f t="shared" si="19"/>
        <v>35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>
        <v>5</v>
      </c>
      <c r="H44" s="42"/>
      <c r="I44" s="42">
        <v>3</v>
      </c>
      <c r="J44" s="42">
        <v>4</v>
      </c>
      <c r="K44" s="42"/>
      <c r="L44" s="35">
        <f t="shared" si="20"/>
        <v>12</v>
      </c>
      <c r="M44" s="35">
        <f t="shared" si="19"/>
        <v>3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20"/>
        <v>0</v>
      </c>
      <c r="M45" s="35">
        <f t="shared" si="19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8</v>
      </c>
      <c r="H46" s="42">
        <v>12</v>
      </c>
      <c r="I46" s="42">
        <v>9</v>
      </c>
      <c r="J46" s="42">
        <v>8</v>
      </c>
      <c r="K46" s="42"/>
      <c r="L46" s="35">
        <f t="shared" si="20"/>
        <v>37</v>
      </c>
      <c r="M46" s="35">
        <f t="shared" si="19"/>
        <v>9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144</v>
      </c>
      <c r="H47" s="42">
        <v>108</v>
      </c>
      <c r="I47" s="42">
        <v>144</v>
      </c>
      <c r="J47" s="42">
        <v>144</v>
      </c>
      <c r="K47" s="42"/>
      <c r="L47" s="35">
        <f t="shared" si="20"/>
        <v>540</v>
      </c>
      <c r="M47" s="35">
        <f t="shared" si="19"/>
        <v>135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20"/>
        <v>0</v>
      </c>
      <c r="M48" s="35">
        <f t="shared" si="19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2024</v>
      </c>
      <c r="H51" s="10">
        <f>+G51</f>
        <v>2024</v>
      </c>
      <c r="I51" s="10">
        <f t="shared" ref="I51:M52" si="21">+H51</f>
        <v>2024</v>
      </c>
      <c r="J51" s="10">
        <f t="shared" si="21"/>
        <v>2024</v>
      </c>
      <c r="K51" s="10">
        <f t="shared" si="21"/>
        <v>2024</v>
      </c>
      <c r="L51" s="10">
        <f t="shared" si="21"/>
        <v>2024</v>
      </c>
      <c r="M51" s="10">
        <f t="shared" si="21"/>
        <v>2024</v>
      </c>
      <c r="N51" s="11"/>
      <c r="O51" s="44"/>
      <c r="P51" s="44"/>
      <c r="Q51" s="44"/>
      <c r="S51" s="12" t="str">
        <f>+C51</f>
        <v>Lavumisa</v>
      </c>
      <c r="T51" s="13">
        <f>+L55</f>
        <v>238</v>
      </c>
      <c r="U51" s="13">
        <f>+L56+L57</f>
        <v>66</v>
      </c>
      <c r="V51" s="13">
        <f>+L58+L59</f>
        <v>172</v>
      </c>
      <c r="W51" s="13">
        <f>+L62</f>
        <v>26</v>
      </c>
      <c r="X51" s="13">
        <f>+L60</f>
        <v>0</v>
      </c>
    </row>
    <row r="52" spans="1:24" x14ac:dyDescent="0.25">
      <c r="A52" s="14"/>
      <c r="B52" s="15"/>
      <c r="C52" s="41" t="str">
        <f>+$C36</f>
        <v>July 2024</v>
      </c>
      <c r="D52" s="18"/>
      <c r="E52" s="18"/>
      <c r="F52" s="18"/>
      <c r="G52" s="20" t="str">
        <f>+$G$4</f>
        <v>Jul</v>
      </c>
      <c r="H52" s="20" t="str">
        <f>+G52</f>
        <v>Jul</v>
      </c>
      <c r="I52" s="20" t="str">
        <f t="shared" si="21"/>
        <v>Jul</v>
      </c>
      <c r="J52" s="20" t="str">
        <f t="shared" si="21"/>
        <v>Jul</v>
      </c>
      <c r="K52" s="20" t="str">
        <f t="shared" si="21"/>
        <v>Jul</v>
      </c>
      <c r="L52" s="20" t="str">
        <f t="shared" si="21"/>
        <v>Jul</v>
      </c>
      <c r="M52" s="20" t="str">
        <f t="shared" si="21"/>
        <v>Jul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7</v>
      </c>
      <c r="H53" s="25">
        <f>+$H$5</f>
        <v>14</v>
      </c>
      <c r="I53" s="25">
        <f>+$I$5</f>
        <v>21</v>
      </c>
      <c r="J53" s="25">
        <f>+$J$5</f>
        <v>28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59</v>
      </c>
      <c r="H55" s="31">
        <f t="shared" ref="H55:L55" si="22">SUM(H56:H59)</f>
        <v>66</v>
      </c>
      <c r="I55" s="31">
        <f t="shared" si="22"/>
        <v>69</v>
      </c>
      <c r="J55" s="31">
        <f t="shared" si="22"/>
        <v>44</v>
      </c>
      <c r="K55" s="31">
        <f t="shared" si="22"/>
        <v>0</v>
      </c>
      <c r="L55" s="31">
        <f t="shared" si="22"/>
        <v>238</v>
      </c>
      <c r="M55" s="31">
        <f>ROUND((L55/$E$1),0)</f>
        <v>60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3</v>
      </c>
      <c r="H56" s="42">
        <v>2</v>
      </c>
      <c r="I56" s="42">
        <v>2</v>
      </c>
      <c r="J56" s="42">
        <v>2</v>
      </c>
      <c r="K56" s="42"/>
      <c r="L56" s="35">
        <f>SUM(G56:K56)</f>
        <v>9</v>
      </c>
      <c r="M56" s="35">
        <f t="shared" ref="M56:M64" si="23">ROUND((L56/$E$1),0)</f>
        <v>2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17</v>
      </c>
      <c r="H57" s="42">
        <v>13</v>
      </c>
      <c r="I57" s="42">
        <v>23</v>
      </c>
      <c r="J57" s="42">
        <v>4</v>
      </c>
      <c r="K57" s="42"/>
      <c r="L57" s="35">
        <f t="shared" ref="L57:L64" si="24">SUM(G57:K57)</f>
        <v>57</v>
      </c>
      <c r="M57" s="35">
        <f t="shared" si="23"/>
        <v>14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19</v>
      </c>
      <c r="H58" s="42">
        <v>17</v>
      </c>
      <c r="I58" s="42">
        <v>8</v>
      </c>
      <c r="J58" s="42">
        <v>7</v>
      </c>
      <c r="K58" s="42"/>
      <c r="L58" s="35">
        <f t="shared" si="24"/>
        <v>51</v>
      </c>
      <c r="M58" s="35">
        <f t="shared" si="23"/>
        <v>13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20</v>
      </c>
      <c r="H59" s="43">
        <v>34</v>
      </c>
      <c r="I59" s="43">
        <v>36</v>
      </c>
      <c r="J59" s="43">
        <v>31</v>
      </c>
      <c r="K59" s="43"/>
      <c r="L59" s="31">
        <f t="shared" si="24"/>
        <v>121</v>
      </c>
      <c r="M59" s="31">
        <f t="shared" si="23"/>
        <v>30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24"/>
        <v>0</v>
      </c>
      <c r="M60" s="35">
        <f t="shared" si="23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24"/>
        <v>0</v>
      </c>
      <c r="M61" s="35">
        <f t="shared" si="23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8</v>
      </c>
      <c r="H62" s="42">
        <v>7</v>
      </c>
      <c r="I62" s="42">
        <v>5</v>
      </c>
      <c r="J62" s="42">
        <v>6</v>
      </c>
      <c r="K62" s="42"/>
      <c r="L62" s="35">
        <f t="shared" si="24"/>
        <v>26</v>
      </c>
      <c r="M62" s="35">
        <f t="shared" si="23"/>
        <v>7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24"/>
        <v>0</v>
      </c>
      <c r="M63" s="35">
        <f t="shared" si="23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24"/>
        <v>0</v>
      </c>
      <c r="M64" s="35">
        <f t="shared" si="23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2024</v>
      </c>
      <c r="H67" s="10">
        <f>+G67</f>
        <v>2024</v>
      </c>
      <c r="I67" s="10">
        <f t="shared" ref="I67:M68" si="25">+H67</f>
        <v>2024</v>
      </c>
      <c r="J67" s="10">
        <f t="shared" si="25"/>
        <v>2024</v>
      </c>
      <c r="K67" s="10">
        <f t="shared" si="25"/>
        <v>2024</v>
      </c>
      <c r="L67" s="10">
        <f t="shared" si="25"/>
        <v>2024</v>
      </c>
      <c r="M67" s="10">
        <f t="shared" si="25"/>
        <v>2024</v>
      </c>
      <c r="N67" s="11"/>
      <c r="O67" s="44"/>
      <c r="P67" s="44"/>
      <c r="Q67" s="44"/>
      <c r="S67" s="12" t="str">
        <f>+C67</f>
        <v>Engcamini</v>
      </c>
      <c r="T67" s="13">
        <f>+L71</f>
        <v>417</v>
      </c>
      <c r="U67" s="13">
        <f>+L72+L73</f>
        <v>60</v>
      </c>
      <c r="V67" s="13">
        <f>+L74+L75</f>
        <v>357</v>
      </c>
      <c r="W67" s="13">
        <f>+L78</f>
        <v>2</v>
      </c>
      <c r="X67" s="13">
        <f>+L76</f>
        <v>38</v>
      </c>
    </row>
    <row r="68" spans="1:24" x14ac:dyDescent="0.25">
      <c r="A68" s="14"/>
      <c r="B68" s="15"/>
      <c r="C68" s="41" t="str">
        <f>+$C52</f>
        <v>July 2024</v>
      </c>
      <c r="D68" s="18"/>
      <c r="E68" s="18"/>
      <c r="F68" s="18"/>
      <c r="G68" s="20" t="str">
        <f>+$G$4</f>
        <v>Jul</v>
      </c>
      <c r="H68" s="20" t="str">
        <f>+G68</f>
        <v>Jul</v>
      </c>
      <c r="I68" s="20" t="str">
        <f t="shared" si="25"/>
        <v>Jul</v>
      </c>
      <c r="J68" s="20" t="str">
        <f t="shared" si="25"/>
        <v>Jul</v>
      </c>
      <c r="K68" s="20" t="str">
        <f t="shared" si="25"/>
        <v>Jul</v>
      </c>
      <c r="L68" s="20" t="str">
        <f t="shared" si="25"/>
        <v>Jul</v>
      </c>
      <c r="M68" s="20" t="str">
        <f t="shared" si="25"/>
        <v>Jul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7</v>
      </c>
      <c r="H69" s="25">
        <f>+$H$5</f>
        <v>14</v>
      </c>
      <c r="I69" s="25">
        <f>+$I$5</f>
        <v>21</v>
      </c>
      <c r="J69" s="25">
        <f>+$J$5</f>
        <v>28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104</v>
      </c>
      <c r="H71" s="31">
        <f t="shared" ref="H71:L71" si="26">SUM(H72:H75)</f>
        <v>87</v>
      </c>
      <c r="I71" s="31">
        <f t="shared" si="26"/>
        <v>114</v>
      </c>
      <c r="J71" s="31">
        <f t="shared" si="26"/>
        <v>112</v>
      </c>
      <c r="K71" s="31">
        <f t="shared" si="26"/>
        <v>0</v>
      </c>
      <c r="L71" s="31">
        <f t="shared" si="26"/>
        <v>417</v>
      </c>
      <c r="M71" s="31">
        <f>ROUND((L71/$E$1),0)</f>
        <v>104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3</v>
      </c>
      <c r="I72" s="42">
        <v>4</v>
      </c>
      <c r="J72" s="42">
        <v>2</v>
      </c>
      <c r="K72" s="42"/>
      <c r="L72" s="35">
        <f>SUM(G72:K72)</f>
        <v>12</v>
      </c>
      <c r="M72" s="35">
        <f t="shared" ref="M72:M80" si="27">ROUND((L72/$E$1),0)</f>
        <v>3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14</v>
      </c>
      <c r="H73" s="42">
        <v>12</v>
      </c>
      <c r="I73" s="42">
        <v>13</v>
      </c>
      <c r="J73" s="42">
        <v>9</v>
      </c>
      <c r="K73" s="42"/>
      <c r="L73" s="35">
        <f t="shared" ref="L73:L80" si="28">SUM(G73:K73)</f>
        <v>48</v>
      </c>
      <c r="M73" s="35">
        <f t="shared" si="27"/>
        <v>12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20</v>
      </c>
      <c r="H74" s="42">
        <v>11</v>
      </c>
      <c r="I74" s="42">
        <v>11</v>
      </c>
      <c r="J74" s="42">
        <v>9</v>
      </c>
      <c r="K74" s="42"/>
      <c r="L74" s="35">
        <f t="shared" si="28"/>
        <v>51</v>
      </c>
      <c r="M74" s="35">
        <f t="shared" si="27"/>
        <v>13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67</v>
      </c>
      <c r="H75" s="43">
        <v>61</v>
      </c>
      <c r="I75" s="43">
        <v>86</v>
      </c>
      <c r="J75" s="43">
        <v>92</v>
      </c>
      <c r="K75" s="43"/>
      <c r="L75" s="31">
        <f t="shared" si="28"/>
        <v>306</v>
      </c>
      <c r="M75" s="31">
        <f t="shared" si="27"/>
        <v>77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>
        <v>19</v>
      </c>
      <c r="H76" s="42"/>
      <c r="I76" s="42">
        <v>14</v>
      </c>
      <c r="J76" s="42">
        <v>5</v>
      </c>
      <c r="K76" s="42"/>
      <c r="L76" s="35">
        <f t="shared" si="28"/>
        <v>38</v>
      </c>
      <c r="M76" s="35">
        <f t="shared" si="27"/>
        <v>10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8"/>
        <v>0</v>
      </c>
      <c r="M77" s="35">
        <f t="shared" si="27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/>
      <c r="H78" s="42"/>
      <c r="I78" s="42">
        <v>2</v>
      </c>
      <c r="J78" s="42"/>
      <c r="K78" s="42"/>
      <c r="L78" s="35">
        <f t="shared" si="28"/>
        <v>2</v>
      </c>
      <c r="M78" s="35">
        <f t="shared" si="27"/>
        <v>1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>
        <v>180</v>
      </c>
      <c r="H79" s="42">
        <v>216</v>
      </c>
      <c r="I79" s="42">
        <v>140</v>
      </c>
      <c r="J79" s="42">
        <v>108</v>
      </c>
      <c r="K79" s="42"/>
      <c r="L79" s="35">
        <f t="shared" si="28"/>
        <v>644</v>
      </c>
      <c r="M79" s="35">
        <f t="shared" si="27"/>
        <v>161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8"/>
        <v>0</v>
      </c>
      <c r="M80" s="35">
        <f t="shared" si="27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2024</v>
      </c>
      <c r="H83" s="10">
        <f>+G83</f>
        <v>2024</v>
      </c>
      <c r="I83" s="10">
        <f t="shared" ref="I83:M84" si="29">+H83</f>
        <v>2024</v>
      </c>
      <c r="J83" s="10">
        <f t="shared" si="29"/>
        <v>2024</v>
      </c>
      <c r="K83" s="10">
        <f t="shared" si="29"/>
        <v>2024</v>
      </c>
      <c r="L83" s="10">
        <f t="shared" si="29"/>
        <v>2024</v>
      </c>
      <c r="M83" s="10">
        <f t="shared" si="29"/>
        <v>2024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July 2024</v>
      </c>
      <c r="D84" s="18"/>
      <c r="E84" s="18"/>
      <c r="F84" s="18"/>
      <c r="G84" s="20" t="str">
        <f>+$G$4</f>
        <v>Jul</v>
      </c>
      <c r="H84" s="20" t="str">
        <f>+G84</f>
        <v>Jul</v>
      </c>
      <c r="I84" s="20" t="str">
        <f t="shared" si="29"/>
        <v>Jul</v>
      </c>
      <c r="J84" s="20" t="str">
        <f t="shared" si="29"/>
        <v>Jul</v>
      </c>
      <c r="K84" s="20" t="str">
        <f t="shared" si="29"/>
        <v>Jul</v>
      </c>
      <c r="L84" s="20" t="str">
        <f t="shared" si="29"/>
        <v>Jul</v>
      </c>
      <c r="M84" s="20" t="str">
        <f t="shared" si="29"/>
        <v>Jul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7</v>
      </c>
      <c r="H85" s="25">
        <f>+$H$5</f>
        <v>14</v>
      </c>
      <c r="I85" s="25">
        <f>+$I$5</f>
        <v>21</v>
      </c>
      <c r="J85" s="25">
        <f>+$J$5</f>
        <v>28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30">SUM(H88:H91)</f>
        <v>0</v>
      </c>
      <c r="I87" s="31">
        <f t="shared" si="30"/>
        <v>0</v>
      </c>
      <c r="J87" s="31">
        <f t="shared" si="30"/>
        <v>0</v>
      </c>
      <c r="K87" s="31">
        <f t="shared" si="30"/>
        <v>0</v>
      </c>
      <c r="L87" s="31">
        <f t="shared" si="30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31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32">SUM(G89:K89)</f>
        <v>0</v>
      </c>
      <c r="M89" s="35">
        <f t="shared" si="31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32"/>
        <v>0</v>
      </c>
      <c r="M90" s="35">
        <f t="shared" si="31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32"/>
        <v>0</v>
      </c>
      <c r="M91" s="31">
        <f t="shared" si="31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32"/>
        <v>0</v>
      </c>
      <c r="M92" s="35">
        <f t="shared" si="31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32"/>
        <v>0</v>
      </c>
      <c r="M93" s="35">
        <f t="shared" si="31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32"/>
        <v>0</v>
      </c>
      <c r="M94" s="35">
        <f t="shared" si="31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32"/>
        <v>0</v>
      </c>
      <c r="M95" s="35">
        <f t="shared" si="31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32"/>
        <v>0</v>
      </c>
      <c r="M96" s="35">
        <f t="shared" si="31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2024</v>
      </c>
      <c r="H99" s="10">
        <f>+G99</f>
        <v>2024</v>
      </c>
      <c r="I99" s="10">
        <f t="shared" ref="I99:M100" si="33">+H99</f>
        <v>2024</v>
      </c>
      <c r="J99" s="10">
        <f t="shared" si="33"/>
        <v>2024</v>
      </c>
      <c r="K99" s="10">
        <f t="shared" si="33"/>
        <v>2024</v>
      </c>
      <c r="L99" s="10">
        <f t="shared" si="33"/>
        <v>2024</v>
      </c>
      <c r="M99" s="10">
        <f t="shared" si="33"/>
        <v>2024</v>
      </c>
      <c r="N99" s="11"/>
      <c r="O99" s="44"/>
      <c r="P99" s="44"/>
      <c r="Q99" s="44"/>
      <c r="S99" s="12" t="str">
        <f>+C99</f>
        <v>Ngwempisi</v>
      </c>
      <c r="T99" s="13">
        <f>+L103</f>
        <v>338</v>
      </c>
      <c r="U99" s="13">
        <f>+L104+L105</f>
        <v>108</v>
      </c>
      <c r="V99" s="13">
        <f>+L106+L107</f>
        <v>230</v>
      </c>
      <c r="W99" s="13">
        <f>+L110</f>
        <v>10</v>
      </c>
      <c r="X99" s="13">
        <f>+L108</f>
        <v>0</v>
      </c>
    </row>
    <row r="100" spans="1:24" x14ac:dyDescent="0.25">
      <c r="A100" s="14"/>
      <c r="B100" s="15"/>
      <c r="C100" s="41" t="str">
        <f>+$C84</f>
        <v>July 2024</v>
      </c>
      <c r="D100" s="18"/>
      <c r="E100" s="18"/>
      <c r="F100" s="18"/>
      <c r="G100" s="20" t="str">
        <f>+$G$4</f>
        <v>Jul</v>
      </c>
      <c r="H100" s="20" t="str">
        <f>+G100</f>
        <v>Jul</v>
      </c>
      <c r="I100" s="20" t="str">
        <f t="shared" si="33"/>
        <v>Jul</v>
      </c>
      <c r="J100" s="20" t="str">
        <f t="shared" si="33"/>
        <v>Jul</v>
      </c>
      <c r="K100" s="20" t="str">
        <f t="shared" si="33"/>
        <v>Jul</v>
      </c>
      <c r="L100" s="20" t="str">
        <f t="shared" si="33"/>
        <v>Jul</v>
      </c>
      <c r="M100" s="20" t="str">
        <f t="shared" si="33"/>
        <v>Jul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7</v>
      </c>
      <c r="H101" s="25">
        <f>+$H$5</f>
        <v>14</v>
      </c>
      <c r="I101" s="25">
        <f>+$I$5</f>
        <v>21</v>
      </c>
      <c r="J101" s="25">
        <f>+$J$5</f>
        <v>28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79</v>
      </c>
      <c r="H103" s="31">
        <f t="shared" ref="H103:L103" si="34">SUM(H104:H107)</f>
        <v>87</v>
      </c>
      <c r="I103" s="31">
        <f t="shared" si="34"/>
        <v>86</v>
      </c>
      <c r="J103" s="31">
        <f t="shared" si="34"/>
        <v>86</v>
      </c>
      <c r="K103" s="31">
        <f t="shared" si="34"/>
        <v>0</v>
      </c>
      <c r="L103" s="31">
        <f t="shared" si="34"/>
        <v>338</v>
      </c>
      <c r="M103" s="31">
        <f>ROUND((L103/$E$1),0)</f>
        <v>85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4</v>
      </c>
      <c r="H104" s="42">
        <v>3</v>
      </c>
      <c r="I104" s="42">
        <v>3</v>
      </c>
      <c r="J104" s="42">
        <v>4</v>
      </c>
      <c r="K104" s="42"/>
      <c r="L104" s="35">
        <f>SUM(G104:K104)</f>
        <v>14</v>
      </c>
      <c r="M104" s="35">
        <f t="shared" ref="M104:M112" si="35">ROUND((L104/$E$1),0)</f>
        <v>4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23</v>
      </c>
      <c r="H105" s="42">
        <v>25</v>
      </c>
      <c r="I105" s="42">
        <v>23</v>
      </c>
      <c r="J105" s="42">
        <v>23</v>
      </c>
      <c r="K105" s="42"/>
      <c r="L105" s="35">
        <f t="shared" ref="L105:L112" si="36">SUM(G105:K105)</f>
        <v>94</v>
      </c>
      <c r="M105" s="35">
        <f t="shared" si="35"/>
        <v>24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15</v>
      </c>
      <c r="H106" s="42">
        <v>21</v>
      </c>
      <c r="I106" s="42">
        <v>21</v>
      </c>
      <c r="J106" s="42">
        <v>21</v>
      </c>
      <c r="K106" s="42"/>
      <c r="L106" s="35">
        <f t="shared" si="36"/>
        <v>78</v>
      </c>
      <c r="M106" s="35">
        <f t="shared" si="35"/>
        <v>20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37</v>
      </c>
      <c r="H107" s="43">
        <v>38</v>
      </c>
      <c r="I107" s="43">
        <v>39</v>
      </c>
      <c r="J107" s="43">
        <v>38</v>
      </c>
      <c r="K107" s="43"/>
      <c r="L107" s="31">
        <f t="shared" si="36"/>
        <v>152</v>
      </c>
      <c r="M107" s="31">
        <f t="shared" si="35"/>
        <v>38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36"/>
        <v>0</v>
      </c>
      <c r="M108" s="35">
        <f t="shared" si="35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36"/>
        <v>0</v>
      </c>
      <c r="M109" s="35">
        <f t="shared" si="35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>
        <v>4</v>
      </c>
      <c r="H110" s="42">
        <v>6</v>
      </c>
      <c r="I110" s="42"/>
      <c r="J110" s="42"/>
      <c r="K110" s="42"/>
      <c r="L110" s="35">
        <f t="shared" si="36"/>
        <v>10</v>
      </c>
      <c r="M110" s="35">
        <f t="shared" si="35"/>
        <v>3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36"/>
        <v>0</v>
      </c>
      <c r="M111" s="35">
        <f t="shared" si="35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36"/>
        <v>0</v>
      </c>
      <c r="M112" s="35">
        <f t="shared" si="35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2024</v>
      </c>
      <c r="H115" s="10">
        <f>+G115</f>
        <v>2024</v>
      </c>
      <c r="I115" s="10">
        <f t="shared" ref="I115:M116" si="37">+H115</f>
        <v>2024</v>
      </c>
      <c r="J115" s="10">
        <f t="shared" si="37"/>
        <v>2024</v>
      </c>
      <c r="K115" s="10">
        <f t="shared" si="37"/>
        <v>2024</v>
      </c>
      <c r="L115" s="10">
        <f t="shared" si="37"/>
        <v>2024</v>
      </c>
      <c r="M115" s="10">
        <f t="shared" si="37"/>
        <v>2024</v>
      </c>
      <c r="N115" s="11"/>
      <c r="O115" s="44"/>
      <c r="P115" s="44"/>
      <c r="Q115" s="44"/>
      <c r="S115" s="12" t="str">
        <f>+C115</f>
        <v>Gebeni</v>
      </c>
      <c r="T115" s="13">
        <f>+L119</f>
        <v>218</v>
      </c>
      <c r="U115" s="13">
        <f>+L120+L121</f>
        <v>52</v>
      </c>
      <c r="V115" s="13">
        <f>+L122+L123</f>
        <v>166</v>
      </c>
      <c r="W115" s="13">
        <f>+L126</f>
        <v>22</v>
      </c>
      <c r="X115" s="13">
        <f>+L124</f>
        <v>6</v>
      </c>
    </row>
    <row r="116" spans="1:24" x14ac:dyDescent="0.25">
      <c r="A116" s="14"/>
      <c r="B116" s="15"/>
      <c r="C116" s="41" t="str">
        <f>+$C100</f>
        <v>July 2024</v>
      </c>
      <c r="D116" s="18"/>
      <c r="E116" s="18"/>
      <c r="F116" s="18"/>
      <c r="G116" s="20" t="str">
        <f>+$G$4</f>
        <v>Jul</v>
      </c>
      <c r="H116" s="20" t="str">
        <f>+G116</f>
        <v>Jul</v>
      </c>
      <c r="I116" s="20" t="str">
        <f t="shared" si="37"/>
        <v>Jul</v>
      </c>
      <c r="J116" s="20" t="str">
        <f t="shared" si="37"/>
        <v>Jul</v>
      </c>
      <c r="K116" s="20" t="str">
        <f t="shared" si="37"/>
        <v>Jul</v>
      </c>
      <c r="L116" s="20" t="str">
        <f t="shared" si="37"/>
        <v>Jul</v>
      </c>
      <c r="M116" s="20" t="str">
        <f t="shared" si="37"/>
        <v>Jul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7</v>
      </c>
      <c r="H117" s="25">
        <f>+$H$5</f>
        <v>14</v>
      </c>
      <c r="I117" s="25">
        <f>+$I$5</f>
        <v>21</v>
      </c>
      <c r="J117" s="25">
        <f>+$J$5</f>
        <v>28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45</v>
      </c>
      <c r="H119" s="31">
        <f t="shared" ref="H119:L119" si="38">SUM(H120:H123)</f>
        <v>53</v>
      </c>
      <c r="I119" s="31">
        <f t="shared" si="38"/>
        <v>47</v>
      </c>
      <c r="J119" s="31">
        <f t="shared" si="38"/>
        <v>73</v>
      </c>
      <c r="K119" s="31">
        <f t="shared" si="38"/>
        <v>0</v>
      </c>
      <c r="L119" s="31">
        <f t="shared" si="38"/>
        <v>218</v>
      </c>
      <c r="M119" s="31">
        <f>ROUND((L119/$E$1),0)</f>
        <v>55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2</v>
      </c>
      <c r="H120" s="42">
        <v>3</v>
      </c>
      <c r="I120" s="42">
        <v>3</v>
      </c>
      <c r="J120" s="42">
        <v>3</v>
      </c>
      <c r="K120" s="42"/>
      <c r="L120" s="35">
        <f>SUM(G120:K120)</f>
        <v>11</v>
      </c>
      <c r="M120" s="35">
        <f t="shared" ref="M120:M128" si="39">ROUND((L120/$E$1),0)</f>
        <v>3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8</v>
      </c>
      <c r="H121" s="42">
        <v>9</v>
      </c>
      <c r="I121" s="42">
        <v>8</v>
      </c>
      <c r="J121" s="42">
        <v>16</v>
      </c>
      <c r="K121" s="42"/>
      <c r="L121" s="35">
        <f t="shared" ref="L121:L128" si="40">SUM(G121:K121)</f>
        <v>41</v>
      </c>
      <c r="M121" s="35">
        <f t="shared" si="39"/>
        <v>10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12</v>
      </c>
      <c r="H122" s="42">
        <v>14</v>
      </c>
      <c r="I122" s="42">
        <v>18</v>
      </c>
      <c r="J122" s="42">
        <v>17</v>
      </c>
      <c r="K122" s="42"/>
      <c r="L122" s="35">
        <f t="shared" si="40"/>
        <v>61</v>
      </c>
      <c r="M122" s="35">
        <f t="shared" si="39"/>
        <v>15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23</v>
      </c>
      <c r="H123" s="43">
        <v>27</v>
      </c>
      <c r="I123" s="43">
        <v>18</v>
      </c>
      <c r="J123" s="43">
        <v>37</v>
      </c>
      <c r="K123" s="43"/>
      <c r="L123" s="31">
        <f t="shared" si="40"/>
        <v>105</v>
      </c>
      <c r="M123" s="31">
        <f t="shared" si="39"/>
        <v>26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4</v>
      </c>
      <c r="H124" s="42"/>
      <c r="I124" s="42">
        <v>1</v>
      </c>
      <c r="J124" s="42">
        <v>1</v>
      </c>
      <c r="K124" s="42"/>
      <c r="L124" s="35">
        <f t="shared" si="40"/>
        <v>6</v>
      </c>
      <c r="M124" s="35">
        <f t="shared" si="39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40"/>
        <v>0</v>
      </c>
      <c r="M125" s="35">
        <f t="shared" si="39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7</v>
      </c>
      <c r="H126" s="42">
        <v>8</v>
      </c>
      <c r="I126" s="42"/>
      <c r="J126" s="42">
        <v>7</v>
      </c>
      <c r="K126" s="42"/>
      <c r="L126" s="35">
        <f t="shared" si="40"/>
        <v>22</v>
      </c>
      <c r="M126" s="35">
        <f t="shared" si="39"/>
        <v>6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>
        <v>72</v>
      </c>
      <c r="H127" s="42">
        <v>12</v>
      </c>
      <c r="I127" s="42"/>
      <c r="J127" s="42">
        <v>72</v>
      </c>
      <c r="K127" s="42"/>
      <c r="L127" s="35">
        <f t="shared" si="40"/>
        <v>156</v>
      </c>
      <c r="M127" s="35">
        <f t="shared" si="39"/>
        <v>39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>
        <v>40</v>
      </c>
      <c r="H128" s="42">
        <v>40</v>
      </c>
      <c r="I128" s="42"/>
      <c r="J128" s="42"/>
      <c r="K128" s="42"/>
      <c r="L128" s="35">
        <f t="shared" si="40"/>
        <v>80</v>
      </c>
      <c r="M128" s="35">
        <f t="shared" si="39"/>
        <v>20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2024</v>
      </c>
      <c r="H131" s="10">
        <f>+G131</f>
        <v>2024</v>
      </c>
      <c r="I131" s="10">
        <f t="shared" ref="I131:M132" si="41">+H131</f>
        <v>2024</v>
      </c>
      <c r="J131" s="10">
        <f t="shared" si="41"/>
        <v>2024</v>
      </c>
      <c r="K131" s="10">
        <f t="shared" si="41"/>
        <v>2024</v>
      </c>
      <c r="L131" s="10">
        <f t="shared" si="41"/>
        <v>2024</v>
      </c>
      <c r="M131" s="10">
        <f t="shared" si="41"/>
        <v>2024</v>
      </c>
      <c r="N131" s="11"/>
      <c r="O131" s="44"/>
      <c r="P131" s="44"/>
      <c r="Q131" s="44"/>
      <c r="S131" s="12" t="str">
        <f>+C131</f>
        <v>Mpolonjeni CLC</v>
      </c>
      <c r="T131" s="13">
        <f>+L135</f>
        <v>212</v>
      </c>
      <c r="U131" s="13">
        <f>+L136+L137</f>
        <v>81</v>
      </c>
      <c r="V131" s="13">
        <f>+L138+L139</f>
        <v>131</v>
      </c>
      <c r="W131" s="13">
        <f>+L142</f>
        <v>5</v>
      </c>
      <c r="X131" s="13">
        <f>+L140</f>
        <v>0</v>
      </c>
    </row>
    <row r="132" spans="1:24" x14ac:dyDescent="0.25">
      <c r="A132" s="14"/>
      <c r="B132" s="15"/>
      <c r="C132" s="41" t="str">
        <f>+$C116</f>
        <v>July 2024</v>
      </c>
      <c r="D132" s="18"/>
      <c r="E132" s="18"/>
      <c r="F132" s="18"/>
      <c r="G132" s="20" t="str">
        <f>+$G$4</f>
        <v>Jul</v>
      </c>
      <c r="H132" s="20" t="str">
        <f>+G132</f>
        <v>Jul</v>
      </c>
      <c r="I132" s="20" t="str">
        <f t="shared" si="41"/>
        <v>Jul</v>
      </c>
      <c r="J132" s="20" t="str">
        <f t="shared" si="41"/>
        <v>Jul</v>
      </c>
      <c r="K132" s="20" t="str">
        <f t="shared" si="41"/>
        <v>Jul</v>
      </c>
      <c r="L132" s="20" t="str">
        <f t="shared" si="41"/>
        <v>Jul</v>
      </c>
      <c r="M132" s="20" t="str">
        <f t="shared" si="41"/>
        <v>Jul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7</v>
      </c>
      <c r="H133" s="25">
        <f>+$H$5</f>
        <v>14</v>
      </c>
      <c r="I133" s="25">
        <f>+$I$5</f>
        <v>21</v>
      </c>
      <c r="J133" s="25">
        <f>+$J$5</f>
        <v>28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33</v>
      </c>
      <c r="H135" s="31">
        <f t="shared" ref="H135:L135" si="42">SUM(H136:H139)</f>
        <v>62</v>
      </c>
      <c r="I135" s="31">
        <f t="shared" si="42"/>
        <v>57</v>
      </c>
      <c r="J135" s="31">
        <f t="shared" si="42"/>
        <v>60</v>
      </c>
      <c r="K135" s="31">
        <f t="shared" si="42"/>
        <v>0</v>
      </c>
      <c r="L135" s="31">
        <f t="shared" si="42"/>
        <v>212</v>
      </c>
      <c r="M135" s="31">
        <f>ROUND((L135/$E$1),0)</f>
        <v>53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4</v>
      </c>
      <c r="H136" s="42">
        <v>4</v>
      </c>
      <c r="I136" s="42">
        <v>4</v>
      </c>
      <c r="J136" s="42">
        <v>5</v>
      </c>
      <c r="K136" s="42"/>
      <c r="L136" s="35">
        <f>SUM(G136:K136)</f>
        <v>17</v>
      </c>
      <c r="M136" s="35">
        <f t="shared" ref="M136:M144" si="43">ROUND((L136/$E$1),0)</f>
        <v>4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16</v>
      </c>
      <c r="H137" s="42">
        <v>16</v>
      </c>
      <c r="I137" s="42">
        <v>15</v>
      </c>
      <c r="J137" s="42">
        <v>17</v>
      </c>
      <c r="K137" s="42"/>
      <c r="L137" s="35">
        <f t="shared" ref="L137:L144" si="44">SUM(G137:K137)</f>
        <v>64</v>
      </c>
      <c r="M137" s="35">
        <f t="shared" si="43"/>
        <v>16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12</v>
      </c>
      <c r="H138" s="42">
        <v>13</v>
      </c>
      <c r="I138" s="42">
        <v>12</v>
      </c>
      <c r="J138" s="42">
        <v>14</v>
      </c>
      <c r="K138" s="42"/>
      <c r="L138" s="35">
        <f t="shared" si="44"/>
        <v>51</v>
      </c>
      <c r="M138" s="35">
        <f t="shared" si="43"/>
        <v>13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1</v>
      </c>
      <c r="H139" s="43">
        <v>29</v>
      </c>
      <c r="I139" s="43">
        <v>26</v>
      </c>
      <c r="J139" s="43">
        <v>24</v>
      </c>
      <c r="K139" s="43"/>
      <c r="L139" s="31">
        <f t="shared" si="44"/>
        <v>80</v>
      </c>
      <c r="M139" s="31">
        <f t="shared" si="43"/>
        <v>20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44"/>
        <v>0</v>
      </c>
      <c r="M140" s="35">
        <f t="shared" si="43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44"/>
        <v>0</v>
      </c>
      <c r="M141" s="35">
        <f t="shared" si="43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>
        <v>1</v>
      </c>
      <c r="H142" s="42">
        <v>1</v>
      </c>
      <c r="I142" s="42">
        <v>1</v>
      </c>
      <c r="J142" s="42">
        <v>2</v>
      </c>
      <c r="K142" s="42"/>
      <c r="L142" s="35">
        <f t="shared" si="44"/>
        <v>5</v>
      </c>
      <c r="M142" s="35">
        <f t="shared" si="43"/>
        <v>1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>
        <v>144</v>
      </c>
      <c r="H143" s="42">
        <v>180</v>
      </c>
      <c r="I143" s="42">
        <v>148</v>
      </c>
      <c r="J143" s="42">
        <v>122</v>
      </c>
      <c r="K143" s="42"/>
      <c r="L143" s="35">
        <f t="shared" si="44"/>
        <v>594</v>
      </c>
      <c r="M143" s="35">
        <f t="shared" si="43"/>
        <v>149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44"/>
        <v>0</v>
      </c>
      <c r="M144" s="35">
        <f t="shared" si="43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2024</v>
      </c>
      <c r="H147" s="10">
        <f>+G147</f>
        <v>2024</v>
      </c>
      <c r="I147" s="10">
        <f t="shared" ref="I147:M148" si="45">+H147</f>
        <v>2024</v>
      </c>
      <c r="J147" s="10">
        <f t="shared" si="45"/>
        <v>2024</v>
      </c>
      <c r="K147" s="10">
        <f t="shared" si="45"/>
        <v>2024</v>
      </c>
      <c r="L147" s="10">
        <f t="shared" si="45"/>
        <v>2024</v>
      </c>
      <c r="M147" s="10">
        <f t="shared" si="45"/>
        <v>2024</v>
      </c>
      <c r="N147" s="11"/>
      <c r="O147" s="44"/>
      <c r="P147" s="44"/>
      <c r="Q147" s="44"/>
      <c r="S147" s="12" t="str">
        <f>+C147</f>
        <v>Msahweni CLC</v>
      </c>
      <c r="T147" s="13">
        <f>+L151</f>
        <v>385</v>
      </c>
      <c r="U147" s="13">
        <f>+L152+L153</f>
        <v>116</v>
      </c>
      <c r="V147" s="13">
        <f>+L154+L155</f>
        <v>269</v>
      </c>
      <c r="W147" s="13">
        <f>+L158</f>
        <v>3</v>
      </c>
      <c r="X147" s="13">
        <f>+L156</f>
        <v>12</v>
      </c>
    </row>
    <row r="148" spans="1:24" x14ac:dyDescent="0.25">
      <c r="A148" s="14"/>
      <c r="B148" s="15"/>
      <c r="C148" s="41" t="str">
        <f>+$C132</f>
        <v>July 2024</v>
      </c>
      <c r="D148" s="18"/>
      <c r="E148" s="18"/>
      <c r="F148" s="18"/>
      <c r="G148" s="20" t="str">
        <f>+$G$4</f>
        <v>Jul</v>
      </c>
      <c r="H148" s="20" t="str">
        <f>+G148</f>
        <v>Jul</v>
      </c>
      <c r="I148" s="20" t="str">
        <f t="shared" si="45"/>
        <v>Jul</v>
      </c>
      <c r="J148" s="20" t="str">
        <f t="shared" si="45"/>
        <v>Jul</v>
      </c>
      <c r="K148" s="20" t="str">
        <f t="shared" si="45"/>
        <v>Jul</v>
      </c>
      <c r="L148" s="20" t="str">
        <f t="shared" si="45"/>
        <v>Jul</v>
      </c>
      <c r="M148" s="20" t="str">
        <f t="shared" si="45"/>
        <v>Jul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7</v>
      </c>
      <c r="H149" s="25">
        <f>+$H$5</f>
        <v>14</v>
      </c>
      <c r="I149" s="25">
        <f>+$I$5</f>
        <v>21</v>
      </c>
      <c r="J149" s="25">
        <f>+$J$5</f>
        <v>28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125</v>
      </c>
      <c r="H151" s="31">
        <f t="shared" ref="H151:L151" si="46">SUM(H152:H155)</f>
        <v>75</v>
      </c>
      <c r="I151" s="31">
        <f t="shared" si="46"/>
        <v>67</v>
      </c>
      <c r="J151" s="31">
        <f t="shared" si="46"/>
        <v>118</v>
      </c>
      <c r="K151" s="31">
        <f t="shared" si="46"/>
        <v>0</v>
      </c>
      <c r="L151" s="31">
        <f t="shared" si="46"/>
        <v>385</v>
      </c>
      <c r="M151" s="31">
        <f>ROUND((L151/$E$1),0)</f>
        <v>96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7</v>
      </c>
      <c r="H152" s="42">
        <v>3</v>
      </c>
      <c r="I152" s="42">
        <v>3</v>
      </c>
      <c r="J152" s="42">
        <v>4</v>
      </c>
      <c r="K152" s="42"/>
      <c r="L152" s="35">
        <f>SUM(G152:K152)</f>
        <v>17</v>
      </c>
      <c r="M152" s="35">
        <f t="shared" ref="M152:M160" si="47">ROUND((L152/$E$1),0)</f>
        <v>4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34</v>
      </c>
      <c r="H153" s="42">
        <v>17</v>
      </c>
      <c r="I153" s="42">
        <v>13</v>
      </c>
      <c r="J153" s="42">
        <v>35</v>
      </c>
      <c r="K153" s="42"/>
      <c r="L153" s="35">
        <f t="shared" ref="L153:L160" si="48">SUM(G153:K153)</f>
        <v>99</v>
      </c>
      <c r="M153" s="35">
        <f t="shared" si="47"/>
        <v>25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41</v>
      </c>
      <c r="H154" s="42">
        <v>24</v>
      </c>
      <c r="I154" s="42">
        <v>19</v>
      </c>
      <c r="J154" s="42">
        <v>42</v>
      </c>
      <c r="K154" s="42"/>
      <c r="L154" s="35">
        <f t="shared" si="48"/>
        <v>126</v>
      </c>
      <c r="M154" s="35">
        <f t="shared" si="47"/>
        <v>32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43</v>
      </c>
      <c r="H155" s="43">
        <v>31</v>
      </c>
      <c r="I155" s="43">
        <v>32</v>
      </c>
      <c r="J155" s="43">
        <v>37</v>
      </c>
      <c r="K155" s="43"/>
      <c r="L155" s="31">
        <f t="shared" si="48"/>
        <v>143</v>
      </c>
      <c r="M155" s="31">
        <f t="shared" si="47"/>
        <v>36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>
        <v>12</v>
      </c>
      <c r="K156" s="42"/>
      <c r="L156" s="35">
        <f t="shared" si="48"/>
        <v>12</v>
      </c>
      <c r="M156" s="35">
        <f t="shared" si="47"/>
        <v>3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8"/>
        <v>0</v>
      </c>
      <c r="M157" s="35">
        <f t="shared" si="47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1</v>
      </c>
      <c r="H158" s="42"/>
      <c r="I158" s="42">
        <v>2</v>
      </c>
      <c r="J158" s="42"/>
      <c r="K158" s="42"/>
      <c r="L158" s="35">
        <f t="shared" si="48"/>
        <v>3</v>
      </c>
      <c r="M158" s="35">
        <f t="shared" si="47"/>
        <v>1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/>
      <c r="H159" s="42">
        <v>20</v>
      </c>
      <c r="I159" s="42">
        <v>23</v>
      </c>
      <c r="J159" s="42">
        <v>23</v>
      </c>
      <c r="K159" s="42"/>
      <c r="L159" s="35">
        <f t="shared" si="48"/>
        <v>66</v>
      </c>
      <c r="M159" s="35">
        <f t="shared" si="47"/>
        <v>17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8"/>
        <v>0</v>
      </c>
      <c r="M160" s="35">
        <f t="shared" si="47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2024</v>
      </c>
      <c r="H163" s="10">
        <f>+G163</f>
        <v>2024</v>
      </c>
      <c r="I163" s="10">
        <f t="shared" ref="I163:M164" si="49">+H163</f>
        <v>2024</v>
      </c>
      <c r="J163" s="10">
        <f t="shared" si="49"/>
        <v>2024</v>
      </c>
      <c r="K163" s="10">
        <f t="shared" si="49"/>
        <v>2024</v>
      </c>
      <c r="L163" s="10">
        <f t="shared" si="49"/>
        <v>2024</v>
      </c>
      <c r="M163" s="10">
        <f t="shared" si="49"/>
        <v>2024</v>
      </c>
      <c r="N163" s="11"/>
      <c r="O163" s="44"/>
      <c r="P163" s="44"/>
      <c r="Q163" s="44"/>
      <c r="S163" s="12" t="str">
        <f>+C163</f>
        <v>Mhlangatane</v>
      </c>
      <c r="T163" s="13">
        <f>+L167</f>
        <v>141</v>
      </c>
      <c r="U163" s="13">
        <f>+L168+L169</f>
        <v>34</v>
      </c>
      <c r="V163" s="13">
        <f>+L170+L171</f>
        <v>107</v>
      </c>
      <c r="W163" s="13">
        <f>+L174</f>
        <v>8</v>
      </c>
      <c r="X163" s="13">
        <f>+L172</f>
        <v>0</v>
      </c>
    </row>
    <row r="164" spans="1:24" x14ac:dyDescent="0.25">
      <c r="A164" s="14"/>
      <c r="B164" s="15"/>
      <c r="C164" s="41" t="str">
        <f>+$C148</f>
        <v>July 2024</v>
      </c>
      <c r="D164" s="18"/>
      <c r="E164" s="18"/>
      <c r="F164" s="18"/>
      <c r="G164" s="20" t="str">
        <f>+$G$4</f>
        <v>Jul</v>
      </c>
      <c r="H164" s="20" t="str">
        <f>+G164</f>
        <v>Jul</v>
      </c>
      <c r="I164" s="20" t="str">
        <f t="shared" si="49"/>
        <v>Jul</v>
      </c>
      <c r="J164" s="20" t="str">
        <f t="shared" si="49"/>
        <v>Jul</v>
      </c>
      <c r="K164" s="20" t="str">
        <f t="shared" si="49"/>
        <v>Jul</v>
      </c>
      <c r="L164" s="20" t="str">
        <f t="shared" si="49"/>
        <v>Jul</v>
      </c>
      <c r="M164" s="20" t="str">
        <f t="shared" si="49"/>
        <v>Jul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7</v>
      </c>
      <c r="H165" s="25">
        <f>+$H$5</f>
        <v>14</v>
      </c>
      <c r="I165" s="25">
        <f>+$I$5</f>
        <v>21</v>
      </c>
      <c r="J165" s="25">
        <f>+$J$5</f>
        <v>28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35</v>
      </c>
      <c r="H167" s="31">
        <f t="shared" ref="H167:L167" si="50">SUM(H168:H171)</f>
        <v>36</v>
      </c>
      <c r="I167" s="31">
        <f t="shared" si="50"/>
        <v>40</v>
      </c>
      <c r="J167" s="31">
        <f t="shared" si="50"/>
        <v>30</v>
      </c>
      <c r="K167" s="31">
        <f t="shared" si="50"/>
        <v>0</v>
      </c>
      <c r="L167" s="31">
        <f t="shared" si="50"/>
        <v>141</v>
      </c>
      <c r="M167" s="31">
        <f>ROUND((L167/$E$1),0)</f>
        <v>35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1</v>
      </c>
      <c r="H168" s="42">
        <v>1</v>
      </c>
      <c r="I168" s="42">
        <v>3</v>
      </c>
      <c r="J168" s="42">
        <v>3</v>
      </c>
      <c r="K168" s="42"/>
      <c r="L168" s="35">
        <f>SUM(G168:K168)</f>
        <v>8</v>
      </c>
      <c r="M168" s="35">
        <f t="shared" ref="M168:M176" si="51">ROUND((L168/$E$1),0)</f>
        <v>2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7</v>
      </c>
      <c r="H169" s="42">
        <v>8</v>
      </c>
      <c r="I169" s="42">
        <v>8</v>
      </c>
      <c r="J169" s="42">
        <v>3</v>
      </c>
      <c r="K169" s="42"/>
      <c r="L169" s="35">
        <f t="shared" ref="L169:L176" si="52">SUM(G169:K169)</f>
        <v>26</v>
      </c>
      <c r="M169" s="35">
        <f t="shared" si="51"/>
        <v>7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7</v>
      </c>
      <c r="H170" s="42">
        <v>6</v>
      </c>
      <c r="I170" s="42">
        <v>7</v>
      </c>
      <c r="J170" s="42">
        <v>5</v>
      </c>
      <c r="K170" s="42"/>
      <c r="L170" s="35">
        <f t="shared" si="52"/>
        <v>25</v>
      </c>
      <c r="M170" s="35">
        <f t="shared" si="51"/>
        <v>6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20</v>
      </c>
      <c r="H171" s="43">
        <v>21</v>
      </c>
      <c r="I171" s="43">
        <v>22</v>
      </c>
      <c r="J171" s="43">
        <v>19</v>
      </c>
      <c r="K171" s="43"/>
      <c r="L171" s="31">
        <f t="shared" si="52"/>
        <v>82</v>
      </c>
      <c r="M171" s="31">
        <f t="shared" si="51"/>
        <v>21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52"/>
        <v>0</v>
      </c>
      <c r="M172" s="35">
        <f t="shared" si="51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52"/>
        <v>0</v>
      </c>
      <c r="M173" s="35">
        <f t="shared" si="51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2</v>
      </c>
      <c r="H174" s="42">
        <v>1</v>
      </c>
      <c r="I174" s="42">
        <v>3</v>
      </c>
      <c r="J174" s="42">
        <v>2</v>
      </c>
      <c r="K174" s="42"/>
      <c r="L174" s="35">
        <f t="shared" si="52"/>
        <v>8</v>
      </c>
      <c r="M174" s="35">
        <f t="shared" si="51"/>
        <v>2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150</v>
      </c>
      <c r="H175" s="42">
        <v>50</v>
      </c>
      <c r="I175" s="42">
        <v>60</v>
      </c>
      <c r="J175" s="42">
        <v>80</v>
      </c>
      <c r="K175" s="42"/>
      <c r="L175" s="35">
        <f t="shared" si="52"/>
        <v>340</v>
      </c>
      <c r="M175" s="35">
        <f t="shared" si="51"/>
        <v>85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52"/>
        <v>0</v>
      </c>
      <c r="M176" s="35">
        <f t="shared" si="51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2024</v>
      </c>
      <c r="H179" s="10">
        <f>+G179</f>
        <v>2024</v>
      </c>
      <c r="I179" s="10">
        <f t="shared" ref="I179:M180" si="53">+H179</f>
        <v>2024</v>
      </c>
      <c r="J179" s="10">
        <f t="shared" si="53"/>
        <v>2024</v>
      </c>
      <c r="K179" s="10">
        <f t="shared" si="53"/>
        <v>2024</v>
      </c>
      <c r="L179" s="10">
        <f t="shared" si="53"/>
        <v>2024</v>
      </c>
      <c r="M179" s="10">
        <f t="shared" si="53"/>
        <v>2024</v>
      </c>
      <c r="N179" s="11"/>
      <c r="O179" s="44"/>
      <c r="P179" s="44"/>
      <c r="Q179" s="44"/>
      <c r="S179" s="12" t="str">
        <f>+C179</f>
        <v>Tibane</v>
      </c>
      <c r="T179" s="13">
        <f>+L183</f>
        <v>237</v>
      </c>
      <c r="U179" s="13">
        <f>+L184+L185</f>
        <v>45</v>
      </c>
      <c r="V179" s="13">
        <f>+L186+L187</f>
        <v>192</v>
      </c>
      <c r="W179" s="13">
        <f>+L190</f>
        <v>54</v>
      </c>
      <c r="X179" s="13">
        <f>+L188</f>
        <v>3</v>
      </c>
    </row>
    <row r="180" spans="1:24" x14ac:dyDescent="0.25">
      <c r="A180" s="14"/>
      <c r="B180" s="15"/>
      <c r="C180" s="41" t="str">
        <f>+$C164</f>
        <v>July 2024</v>
      </c>
      <c r="D180" s="18"/>
      <c r="E180" s="18"/>
      <c r="F180" s="18"/>
      <c r="G180" s="20" t="str">
        <f>+$G$4</f>
        <v>Jul</v>
      </c>
      <c r="H180" s="20" t="str">
        <f>+G180</f>
        <v>Jul</v>
      </c>
      <c r="I180" s="20" t="str">
        <f t="shared" si="53"/>
        <v>Jul</v>
      </c>
      <c r="J180" s="20" t="str">
        <f t="shared" si="53"/>
        <v>Jul</v>
      </c>
      <c r="K180" s="20" t="str">
        <f t="shared" si="53"/>
        <v>Jul</v>
      </c>
      <c r="L180" s="20" t="str">
        <f t="shared" si="53"/>
        <v>Jul</v>
      </c>
      <c r="M180" s="20" t="str">
        <f t="shared" si="53"/>
        <v>Jul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7</v>
      </c>
      <c r="H181" s="25">
        <f>+$H$5</f>
        <v>14</v>
      </c>
      <c r="I181" s="25">
        <f>+$I$5</f>
        <v>21</v>
      </c>
      <c r="J181" s="25">
        <f>+$J$5</f>
        <v>28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55</v>
      </c>
      <c r="H183" s="31">
        <f t="shared" ref="H183:L183" si="54">SUM(H184:H187)</f>
        <v>59</v>
      </c>
      <c r="I183" s="31">
        <f t="shared" si="54"/>
        <v>63</v>
      </c>
      <c r="J183" s="31">
        <f t="shared" si="54"/>
        <v>60</v>
      </c>
      <c r="K183" s="31">
        <f t="shared" si="54"/>
        <v>0</v>
      </c>
      <c r="L183" s="31">
        <f t="shared" si="54"/>
        <v>237</v>
      </c>
      <c r="M183" s="31">
        <f>ROUND((L183/$E$1),0)</f>
        <v>59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1</v>
      </c>
      <c r="H184" s="42">
        <v>2</v>
      </c>
      <c r="I184" s="42">
        <v>3</v>
      </c>
      <c r="J184" s="42">
        <v>2</v>
      </c>
      <c r="K184" s="42"/>
      <c r="L184" s="35">
        <f>SUM(G184:K184)</f>
        <v>8</v>
      </c>
      <c r="M184" s="35">
        <f t="shared" ref="M184:M192" si="55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9</v>
      </c>
      <c r="H185" s="42">
        <v>10</v>
      </c>
      <c r="I185" s="42">
        <v>9</v>
      </c>
      <c r="J185" s="42">
        <v>9</v>
      </c>
      <c r="K185" s="42"/>
      <c r="L185" s="35">
        <f t="shared" ref="L185:L192" si="56">SUM(G185:K185)</f>
        <v>37</v>
      </c>
      <c r="M185" s="35">
        <f t="shared" si="55"/>
        <v>9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15</v>
      </c>
      <c r="H186" s="42">
        <v>15</v>
      </c>
      <c r="I186" s="42">
        <v>15</v>
      </c>
      <c r="J186" s="42">
        <v>15</v>
      </c>
      <c r="K186" s="42"/>
      <c r="L186" s="35">
        <f t="shared" si="56"/>
        <v>60</v>
      </c>
      <c r="M186" s="35">
        <f t="shared" si="55"/>
        <v>15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30</v>
      </c>
      <c r="H187" s="43">
        <v>32</v>
      </c>
      <c r="I187" s="43">
        <v>36</v>
      </c>
      <c r="J187" s="43">
        <v>34</v>
      </c>
      <c r="K187" s="43"/>
      <c r="L187" s="31">
        <f t="shared" si="56"/>
        <v>132</v>
      </c>
      <c r="M187" s="31">
        <f t="shared" si="55"/>
        <v>33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>
        <v>1</v>
      </c>
      <c r="H188" s="42"/>
      <c r="I188" s="42">
        <v>2</v>
      </c>
      <c r="J188" s="42"/>
      <c r="K188" s="42"/>
      <c r="L188" s="35">
        <f t="shared" si="56"/>
        <v>3</v>
      </c>
      <c r="M188" s="35">
        <f t="shared" si="55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56"/>
        <v>0</v>
      </c>
      <c r="M189" s="35">
        <f t="shared" si="55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13</v>
      </c>
      <c r="H190" s="42">
        <v>15</v>
      </c>
      <c r="I190" s="42">
        <v>12</v>
      </c>
      <c r="J190" s="42">
        <v>14</v>
      </c>
      <c r="K190" s="42"/>
      <c r="L190" s="35">
        <f t="shared" si="56"/>
        <v>54</v>
      </c>
      <c r="M190" s="35">
        <f t="shared" si="55"/>
        <v>14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180</v>
      </c>
      <c r="H191" s="42">
        <v>180</v>
      </c>
      <c r="I191" s="42">
        <v>144</v>
      </c>
      <c r="J191" s="42">
        <v>144</v>
      </c>
      <c r="K191" s="42"/>
      <c r="L191" s="35">
        <f t="shared" si="56"/>
        <v>648</v>
      </c>
      <c r="M191" s="35">
        <f t="shared" si="55"/>
        <v>162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56"/>
        <v>0</v>
      </c>
      <c r="M192" s="35">
        <f t="shared" si="55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2024</v>
      </c>
      <c r="H195" s="10">
        <f>+G195</f>
        <v>2024</v>
      </c>
      <c r="I195" s="10">
        <f t="shared" ref="I195:M196" si="57">+H195</f>
        <v>2024</v>
      </c>
      <c r="J195" s="10">
        <f t="shared" si="57"/>
        <v>2024</v>
      </c>
      <c r="K195" s="10">
        <f t="shared" si="57"/>
        <v>2024</v>
      </c>
      <c r="L195" s="10">
        <f t="shared" si="57"/>
        <v>2024</v>
      </c>
      <c r="M195" s="10">
        <f t="shared" si="57"/>
        <v>2024</v>
      </c>
      <c r="N195" s="11"/>
      <c r="O195" s="44"/>
      <c r="P195" s="44"/>
      <c r="Q195" s="44"/>
      <c r="S195" s="12" t="str">
        <f>+C195</f>
        <v>Nyathela</v>
      </c>
      <c r="T195" s="13">
        <f>+L199</f>
        <v>222</v>
      </c>
      <c r="U195" s="13">
        <f>+L200+L201</f>
        <v>52</v>
      </c>
      <c r="V195" s="13">
        <f>+L202+L203</f>
        <v>170</v>
      </c>
      <c r="W195" s="13">
        <f>+L206</f>
        <v>13</v>
      </c>
      <c r="X195" s="13">
        <f>+L204</f>
        <v>0</v>
      </c>
    </row>
    <row r="196" spans="1:24" x14ac:dyDescent="0.25">
      <c r="A196" s="14"/>
      <c r="B196" s="15"/>
      <c r="C196" s="41" t="str">
        <f>+$C180</f>
        <v>July 2024</v>
      </c>
      <c r="D196" s="18"/>
      <c r="E196" s="18"/>
      <c r="F196" s="18"/>
      <c r="G196" s="20" t="str">
        <f>+$G$4</f>
        <v>Jul</v>
      </c>
      <c r="H196" s="20" t="str">
        <f>+G196</f>
        <v>Jul</v>
      </c>
      <c r="I196" s="20" t="str">
        <f t="shared" si="57"/>
        <v>Jul</v>
      </c>
      <c r="J196" s="20" t="str">
        <f t="shared" si="57"/>
        <v>Jul</v>
      </c>
      <c r="K196" s="20" t="str">
        <f t="shared" si="57"/>
        <v>Jul</v>
      </c>
      <c r="L196" s="20" t="str">
        <f t="shared" si="57"/>
        <v>Jul</v>
      </c>
      <c r="M196" s="20" t="str">
        <f t="shared" si="57"/>
        <v>Jul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7</v>
      </c>
      <c r="H197" s="25">
        <f>+$H$5</f>
        <v>14</v>
      </c>
      <c r="I197" s="25">
        <f>+$I$5</f>
        <v>21</v>
      </c>
      <c r="J197" s="25">
        <f>+$J$5</f>
        <v>28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53</v>
      </c>
      <c r="H199" s="31">
        <f t="shared" ref="H199:L199" si="58">SUM(H200:H203)</f>
        <v>56</v>
      </c>
      <c r="I199" s="31">
        <f t="shared" si="58"/>
        <v>56</v>
      </c>
      <c r="J199" s="31">
        <f t="shared" si="58"/>
        <v>57</v>
      </c>
      <c r="K199" s="31">
        <f t="shared" si="58"/>
        <v>0</v>
      </c>
      <c r="L199" s="31">
        <f t="shared" si="58"/>
        <v>222</v>
      </c>
      <c r="M199" s="31">
        <f>ROUND((L199/$E$1),0)</f>
        <v>56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4</v>
      </c>
      <c r="H200" s="42">
        <v>4</v>
      </c>
      <c r="I200" s="42">
        <v>3</v>
      </c>
      <c r="J200" s="42">
        <v>4</v>
      </c>
      <c r="K200" s="42"/>
      <c r="L200" s="35">
        <f>SUM(G200:K200)</f>
        <v>15</v>
      </c>
      <c r="M200" s="35">
        <f t="shared" ref="M200:M208" si="59">ROUND((L200/$E$1),0)</f>
        <v>4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9</v>
      </c>
      <c r="H201" s="42">
        <v>10</v>
      </c>
      <c r="I201" s="42">
        <v>10</v>
      </c>
      <c r="J201" s="42">
        <v>8</v>
      </c>
      <c r="K201" s="42"/>
      <c r="L201" s="35">
        <f t="shared" ref="L201:L208" si="60">SUM(G201:K201)</f>
        <v>37</v>
      </c>
      <c r="M201" s="35">
        <f t="shared" si="59"/>
        <v>9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15</v>
      </c>
      <c r="H202" s="42">
        <v>15</v>
      </c>
      <c r="I202" s="42">
        <v>17</v>
      </c>
      <c r="J202" s="42">
        <v>18</v>
      </c>
      <c r="K202" s="42"/>
      <c r="L202" s="35">
        <f t="shared" si="60"/>
        <v>65</v>
      </c>
      <c r="M202" s="35">
        <f t="shared" si="59"/>
        <v>16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25</v>
      </c>
      <c r="H203" s="43">
        <v>27</v>
      </c>
      <c r="I203" s="43">
        <v>26</v>
      </c>
      <c r="J203" s="43">
        <v>27</v>
      </c>
      <c r="K203" s="43"/>
      <c r="L203" s="31">
        <f t="shared" si="60"/>
        <v>105</v>
      </c>
      <c r="M203" s="31">
        <f t="shared" si="59"/>
        <v>26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60"/>
        <v>0</v>
      </c>
      <c r="M204" s="35">
        <f t="shared" si="59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60"/>
        <v>0</v>
      </c>
      <c r="M205" s="35">
        <f t="shared" si="59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4</v>
      </c>
      <c r="H206" s="42">
        <v>2</v>
      </c>
      <c r="I206" s="42">
        <v>4</v>
      </c>
      <c r="J206" s="42">
        <v>3</v>
      </c>
      <c r="K206" s="42"/>
      <c r="L206" s="35">
        <f t="shared" si="60"/>
        <v>13</v>
      </c>
      <c r="M206" s="35">
        <f t="shared" si="59"/>
        <v>3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72</v>
      </c>
      <c r="H207" s="42">
        <v>108</v>
      </c>
      <c r="I207" s="42">
        <v>108</v>
      </c>
      <c r="J207" s="42">
        <v>108</v>
      </c>
      <c r="K207" s="42"/>
      <c r="L207" s="35">
        <f t="shared" si="60"/>
        <v>396</v>
      </c>
      <c r="M207" s="35">
        <f t="shared" si="59"/>
        <v>99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60"/>
        <v>0</v>
      </c>
      <c r="M208" s="35">
        <f t="shared" si="59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2024</v>
      </c>
      <c r="H211" s="10">
        <f>+G211</f>
        <v>2024</v>
      </c>
      <c r="I211" s="10">
        <f t="shared" ref="I211:M212" si="61">+H211</f>
        <v>2024</v>
      </c>
      <c r="J211" s="10">
        <f t="shared" si="61"/>
        <v>2024</v>
      </c>
      <c r="K211" s="10">
        <f t="shared" si="61"/>
        <v>2024</v>
      </c>
      <c r="L211" s="10">
        <f t="shared" si="61"/>
        <v>2024</v>
      </c>
      <c r="M211" s="10">
        <f t="shared" si="61"/>
        <v>2024</v>
      </c>
      <c r="N211" s="11"/>
      <c r="O211" s="44"/>
      <c r="P211" s="44"/>
      <c r="Q211" s="44"/>
      <c r="S211" s="12" t="str">
        <f>+C211</f>
        <v>Mlindazwe</v>
      </c>
      <c r="T211" s="13">
        <f>+L215</f>
        <v>363</v>
      </c>
      <c r="U211" s="13">
        <f>+L216+L217</f>
        <v>53</v>
      </c>
      <c r="V211" s="13">
        <f>+L218+L219</f>
        <v>310</v>
      </c>
      <c r="W211" s="13">
        <f>+L222</f>
        <v>24</v>
      </c>
      <c r="X211" s="13">
        <f>+L220</f>
        <v>0</v>
      </c>
    </row>
    <row r="212" spans="1:24" x14ac:dyDescent="0.25">
      <c r="A212" s="14"/>
      <c r="B212" s="15"/>
      <c r="C212" s="41" t="str">
        <f>+$C196</f>
        <v>July 2024</v>
      </c>
      <c r="D212" s="18"/>
      <c r="E212" s="18"/>
      <c r="F212" s="18"/>
      <c r="G212" s="20" t="str">
        <f>+$G$4</f>
        <v>Jul</v>
      </c>
      <c r="H212" s="20" t="str">
        <f>+G212</f>
        <v>Jul</v>
      </c>
      <c r="I212" s="20" t="str">
        <f t="shared" si="61"/>
        <v>Jul</v>
      </c>
      <c r="J212" s="20" t="str">
        <f t="shared" si="61"/>
        <v>Jul</v>
      </c>
      <c r="K212" s="20" t="str">
        <f t="shared" si="61"/>
        <v>Jul</v>
      </c>
      <c r="L212" s="20" t="str">
        <f t="shared" si="61"/>
        <v>Jul</v>
      </c>
      <c r="M212" s="20" t="str">
        <f t="shared" si="61"/>
        <v>Jul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7</v>
      </c>
      <c r="H213" s="25">
        <f>+$H$5</f>
        <v>14</v>
      </c>
      <c r="I213" s="25">
        <f>+$I$5</f>
        <v>21</v>
      </c>
      <c r="J213" s="25">
        <f>+$J$5</f>
        <v>28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83</v>
      </c>
      <c r="H215" s="31">
        <f t="shared" ref="H215:L215" si="62">SUM(H216:H219)</f>
        <v>109</v>
      </c>
      <c r="I215" s="31">
        <f t="shared" si="62"/>
        <v>82</v>
      </c>
      <c r="J215" s="31">
        <f t="shared" si="62"/>
        <v>89</v>
      </c>
      <c r="K215" s="31">
        <f t="shared" si="62"/>
        <v>0</v>
      </c>
      <c r="L215" s="31">
        <f t="shared" si="62"/>
        <v>363</v>
      </c>
      <c r="M215" s="31">
        <f>ROUND((L215/$E$1),0)</f>
        <v>91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3</v>
      </c>
      <c r="H216" s="42">
        <v>4</v>
      </c>
      <c r="I216" s="42">
        <v>4</v>
      </c>
      <c r="J216" s="42">
        <v>4</v>
      </c>
      <c r="K216" s="42"/>
      <c r="L216" s="35">
        <f>SUM(G216:K216)</f>
        <v>15</v>
      </c>
      <c r="M216" s="35">
        <f t="shared" ref="M216:M224" si="63">ROUND((L216/$E$1),0)</f>
        <v>4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8</v>
      </c>
      <c r="H217" s="42">
        <v>11</v>
      </c>
      <c r="I217" s="42">
        <v>10</v>
      </c>
      <c r="J217" s="42">
        <v>9</v>
      </c>
      <c r="K217" s="42"/>
      <c r="L217" s="35">
        <f t="shared" ref="L217:L224" si="64">SUM(G217:K217)</f>
        <v>38</v>
      </c>
      <c r="M217" s="35">
        <f t="shared" si="63"/>
        <v>10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23</v>
      </c>
      <c r="H218" s="42">
        <v>34</v>
      </c>
      <c r="I218" s="42">
        <v>28</v>
      </c>
      <c r="J218" s="42">
        <v>32</v>
      </c>
      <c r="K218" s="42"/>
      <c r="L218" s="35">
        <f t="shared" si="64"/>
        <v>117</v>
      </c>
      <c r="M218" s="35">
        <f t="shared" si="63"/>
        <v>29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49</v>
      </c>
      <c r="H219" s="43">
        <v>60</v>
      </c>
      <c r="I219" s="43">
        <v>40</v>
      </c>
      <c r="J219" s="43">
        <v>44</v>
      </c>
      <c r="K219" s="43"/>
      <c r="L219" s="31">
        <f t="shared" si="64"/>
        <v>193</v>
      </c>
      <c r="M219" s="31">
        <f t="shared" si="63"/>
        <v>48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64"/>
        <v>0</v>
      </c>
      <c r="M220" s="35">
        <f t="shared" si="63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64"/>
        <v>0</v>
      </c>
      <c r="M221" s="35">
        <f t="shared" si="63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4</v>
      </c>
      <c r="H222" s="42">
        <v>4</v>
      </c>
      <c r="I222" s="42">
        <v>8</v>
      </c>
      <c r="J222" s="42">
        <v>8</v>
      </c>
      <c r="K222" s="42"/>
      <c r="L222" s="35">
        <f t="shared" si="64"/>
        <v>24</v>
      </c>
      <c r="M222" s="35">
        <f t="shared" si="63"/>
        <v>6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70</v>
      </c>
      <c r="H223" s="42">
        <v>20</v>
      </c>
      <c r="I223" s="42">
        <v>183</v>
      </c>
      <c r="J223" s="42">
        <v>282</v>
      </c>
      <c r="K223" s="42"/>
      <c r="L223" s="35">
        <f t="shared" si="64"/>
        <v>555</v>
      </c>
      <c r="M223" s="35">
        <f t="shared" si="63"/>
        <v>139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>
        <v>40</v>
      </c>
      <c r="H224" s="42">
        <v>40</v>
      </c>
      <c r="I224" s="42">
        <v>40</v>
      </c>
      <c r="J224" s="42"/>
      <c r="K224" s="42"/>
      <c r="L224" s="35">
        <f t="shared" si="64"/>
        <v>120</v>
      </c>
      <c r="M224" s="35">
        <f t="shared" si="63"/>
        <v>30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2024</v>
      </c>
      <c r="H227" s="10">
        <f>+G227</f>
        <v>2024</v>
      </c>
      <c r="I227" s="10">
        <f t="shared" ref="I227:M228" si="65">+H227</f>
        <v>2024</v>
      </c>
      <c r="J227" s="10">
        <f t="shared" si="65"/>
        <v>2024</v>
      </c>
      <c r="K227" s="10">
        <f t="shared" si="65"/>
        <v>2024</v>
      </c>
      <c r="L227" s="10">
        <f t="shared" si="65"/>
        <v>2024</v>
      </c>
      <c r="M227" s="10">
        <f t="shared" si="65"/>
        <v>2024</v>
      </c>
      <c r="N227" s="11"/>
      <c r="O227" s="44"/>
      <c r="P227" s="44"/>
      <c r="Q227" s="44"/>
      <c r="S227" s="12" t="str">
        <f>+C227</f>
        <v>Lundzi</v>
      </c>
      <c r="T227" s="13">
        <f>+L231</f>
        <v>276</v>
      </c>
      <c r="U227" s="13">
        <f>+L232+L233</f>
        <v>100</v>
      </c>
      <c r="V227" s="13">
        <f>+L234+L235</f>
        <v>176</v>
      </c>
      <c r="W227" s="13">
        <f>+L238</f>
        <v>8</v>
      </c>
      <c r="X227" s="13">
        <f>+L236</f>
        <v>15</v>
      </c>
    </row>
    <row r="228" spans="1:24" x14ac:dyDescent="0.25">
      <c r="A228" s="14"/>
      <c r="B228" s="15"/>
      <c r="C228" s="41" t="str">
        <f>+$C212</f>
        <v>July 2024</v>
      </c>
      <c r="D228" s="18"/>
      <c r="E228" s="18"/>
      <c r="F228" s="18"/>
      <c r="G228" s="20" t="str">
        <f>+$G$4</f>
        <v>Jul</v>
      </c>
      <c r="H228" s="20" t="str">
        <f>+G228</f>
        <v>Jul</v>
      </c>
      <c r="I228" s="20" t="str">
        <f t="shared" si="65"/>
        <v>Jul</v>
      </c>
      <c r="J228" s="20" t="str">
        <f t="shared" si="65"/>
        <v>Jul</v>
      </c>
      <c r="K228" s="20" t="str">
        <f t="shared" si="65"/>
        <v>Jul</v>
      </c>
      <c r="L228" s="20" t="str">
        <f t="shared" si="65"/>
        <v>Jul</v>
      </c>
      <c r="M228" s="20" t="str">
        <f t="shared" si="65"/>
        <v>Jul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7</v>
      </c>
      <c r="H229" s="25">
        <f>+$H$5</f>
        <v>14</v>
      </c>
      <c r="I229" s="25">
        <f>+$I$5</f>
        <v>21</v>
      </c>
      <c r="J229" s="25">
        <f>+$J$5</f>
        <v>28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118</v>
      </c>
      <c r="H231" s="31">
        <f t="shared" ref="H231:L231" si="66">SUM(H232:H235)</f>
        <v>56</v>
      </c>
      <c r="I231" s="31">
        <f t="shared" si="66"/>
        <v>56</v>
      </c>
      <c r="J231" s="31">
        <f t="shared" si="66"/>
        <v>46</v>
      </c>
      <c r="K231" s="31">
        <f t="shared" si="66"/>
        <v>0</v>
      </c>
      <c r="L231" s="31">
        <f t="shared" si="66"/>
        <v>276</v>
      </c>
      <c r="M231" s="31">
        <f>ROUND((L231/$E$1),0)</f>
        <v>69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16</v>
      </c>
      <c r="H232" s="42">
        <v>8</v>
      </c>
      <c r="I232" s="42">
        <v>8</v>
      </c>
      <c r="J232" s="42">
        <v>5</v>
      </c>
      <c r="K232" s="42"/>
      <c r="L232" s="35">
        <f>SUM(G232:K232)</f>
        <v>37</v>
      </c>
      <c r="M232" s="35">
        <f t="shared" ref="M232:M240" si="67">ROUND((L232/$E$1),0)</f>
        <v>9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26</v>
      </c>
      <c r="H233" s="42">
        <v>15</v>
      </c>
      <c r="I233" s="42">
        <v>15</v>
      </c>
      <c r="J233" s="42">
        <v>7</v>
      </c>
      <c r="K233" s="42"/>
      <c r="L233" s="35">
        <f t="shared" ref="L233:L240" si="68">SUM(G233:K233)</f>
        <v>63</v>
      </c>
      <c r="M233" s="35">
        <f t="shared" si="67"/>
        <v>16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30</v>
      </c>
      <c r="H234" s="42">
        <v>10</v>
      </c>
      <c r="I234" s="42">
        <v>10</v>
      </c>
      <c r="J234" s="42">
        <v>13</v>
      </c>
      <c r="K234" s="42"/>
      <c r="L234" s="35">
        <f t="shared" si="68"/>
        <v>63</v>
      </c>
      <c r="M234" s="35">
        <f t="shared" si="67"/>
        <v>16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46</v>
      </c>
      <c r="H235" s="43">
        <v>23</v>
      </c>
      <c r="I235" s="43">
        <v>23</v>
      </c>
      <c r="J235" s="43">
        <v>21</v>
      </c>
      <c r="K235" s="43"/>
      <c r="L235" s="31">
        <f t="shared" si="68"/>
        <v>113</v>
      </c>
      <c r="M235" s="31">
        <f t="shared" si="67"/>
        <v>28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>
        <v>15</v>
      </c>
      <c r="H236" s="42"/>
      <c r="I236" s="42"/>
      <c r="J236" s="42"/>
      <c r="K236" s="42"/>
      <c r="L236" s="35">
        <f t="shared" si="68"/>
        <v>15</v>
      </c>
      <c r="M236" s="35">
        <f t="shared" si="67"/>
        <v>4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8"/>
        <v>0</v>
      </c>
      <c r="M237" s="35">
        <f t="shared" si="67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/>
      <c r="H238" s="42">
        <v>3</v>
      </c>
      <c r="I238" s="42">
        <v>3</v>
      </c>
      <c r="J238" s="42">
        <v>2</v>
      </c>
      <c r="K238" s="42"/>
      <c r="L238" s="35">
        <f t="shared" si="68"/>
        <v>8</v>
      </c>
      <c r="M238" s="35">
        <f t="shared" si="67"/>
        <v>2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8"/>
        <v>0</v>
      </c>
      <c r="M239" s="35">
        <f t="shared" si="67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8"/>
        <v>0</v>
      </c>
      <c r="M240" s="35">
        <f t="shared" si="67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2024</v>
      </c>
      <c r="H243" s="10">
        <f>+G243</f>
        <v>2024</v>
      </c>
      <c r="I243" s="10">
        <f t="shared" ref="I243:M244" si="69">+H243</f>
        <v>2024</v>
      </c>
      <c r="J243" s="10">
        <f t="shared" si="69"/>
        <v>2024</v>
      </c>
      <c r="K243" s="10">
        <f t="shared" si="69"/>
        <v>2024</v>
      </c>
      <c r="L243" s="10">
        <f t="shared" si="69"/>
        <v>2024</v>
      </c>
      <c r="M243" s="10">
        <f t="shared" si="69"/>
        <v>2024</v>
      </c>
      <c r="N243" s="11"/>
      <c r="O243" s="44"/>
      <c r="P243" s="44"/>
      <c r="Q243" s="44"/>
      <c r="S243" s="12" t="str">
        <f>+C243</f>
        <v>Esigcaweni</v>
      </c>
      <c r="T243" s="13">
        <f>+L247</f>
        <v>404</v>
      </c>
      <c r="U243" s="13">
        <f>+L248+L249</f>
        <v>52</v>
      </c>
      <c r="V243" s="13">
        <f>+L250+L251</f>
        <v>352</v>
      </c>
      <c r="W243" s="13">
        <f>+L254</f>
        <v>36</v>
      </c>
      <c r="X243" s="13">
        <f>+L252</f>
        <v>0</v>
      </c>
    </row>
    <row r="244" spans="1:24" x14ac:dyDescent="0.25">
      <c r="A244" s="14"/>
      <c r="B244" s="15"/>
      <c r="C244" s="41" t="str">
        <f>+$C228</f>
        <v>July 2024</v>
      </c>
      <c r="D244" s="18"/>
      <c r="E244" s="18"/>
      <c r="F244" s="18"/>
      <c r="G244" s="20" t="str">
        <f>+$G$4</f>
        <v>Jul</v>
      </c>
      <c r="H244" s="20" t="str">
        <f>+G244</f>
        <v>Jul</v>
      </c>
      <c r="I244" s="20" t="str">
        <f t="shared" si="69"/>
        <v>Jul</v>
      </c>
      <c r="J244" s="20" t="str">
        <f t="shared" si="69"/>
        <v>Jul</v>
      </c>
      <c r="K244" s="20" t="str">
        <f t="shared" si="69"/>
        <v>Jul</v>
      </c>
      <c r="L244" s="20" t="str">
        <f t="shared" si="69"/>
        <v>Jul</v>
      </c>
      <c r="M244" s="20" t="str">
        <f t="shared" si="69"/>
        <v>Jul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7</v>
      </c>
      <c r="H245" s="25">
        <f>+$H$5</f>
        <v>14</v>
      </c>
      <c r="I245" s="25">
        <f>+$I$5</f>
        <v>21</v>
      </c>
      <c r="J245" s="25">
        <f>+$J$5</f>
        <v>28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70</v>
      </c>
      <c r="H247" s="31">
        <f t="shared" ref="H247:L247" si="70">SUM(H248:H251)</f>
        <v>107</v>
      </c>
      <c r="I247" s="31">
        <f t="shared" si="70"/>
        <v>116</v>
      </c>
      <c r="J247" s="31">
        <f t="shared" si="70"/>
        <v>111</v>
      </c>
      <c r="K247" s="31">
        <f t="shared" si="70"/>
        <v>0</v>
      </c>
      <c r="L247" s="31">
        <f t="shared" si="70"/>
        <v>404</v>
      </c>
      <c r="M247" s="31">
        <f>ROUND((L247/$E$1),0)</f>
        <v>101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4</v>
      </c>
      <c r="H248" s="42">
        <v>5</v>
      </c>
      <c r="I248" s="42">
        <v>6</v>
      </c>
      <c r="J248" s="42">
        <v>5</v>
      </c>
      <c r="K248" s="42"/>
      <c r="L248" s="35">
        <f>SUM(G248:K248)</f>
        <v>20</v>
      </c>
      <c r="M248" s="35">
        <f t="shared" ref="M248:M256" si="71">ROUND((L248/$E$1),0)</f>
        <v>5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4</v>
      </c>
      <c r="H249" s="42">
        <v>9</v>
      </c>
      <c r="I249" s="42">
        <v>9</v>
      </c>
      <c r="J249" s="42">
        <v>10</v>
      </c>
      <c r="K249" s="42"/>
      <c r="L249" s="35">
        <f t="shared" ref="L249:L256" si="72">SUM(G249:K249)</f>
        <v>32</v>
      </c>
      <c r="M249" s="35">
        <f t="shared" si="71"/>
        <v>8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21</v>
      </c>
      <c r="H250" s="42">
        <v>23</v>
      </c>
      <c r="I250" s="42">
        <v>25</v>
      </c>
      <c r="J250" s="42">
        <v>27</v>
      </c>
      <c r="K250" s="42"/>
      <c r="L250" s="35">
        <f t="shared" si="72"/>
        <v>96</v>
      </c>
      <c r="M250" s="35">
        <f t="shared" si="71"/>
        <v>24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41</v>
      </c>
      <c r="H251" s="43">
        <v>70</v>
      </c>
      <c r="I251" s="43">
        <v>76</v>
      </c>
      <c r="J251" s="43">
        <v>69</v>
      </c>
      <c r="K251" s="43"/>
      <c r="L251" s="31">
        <f t="shared" si="72"/>
        <v>256</v>
      </c>
      <c r="M251" s="31">
        <f t="shared" si="71"/>
        <v>64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72"/>
        <v>0</v>
      </c>
      <c r="M252" s="35">
        <f t="shared" si="71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72"/>
        <v>0</v>
      </c>
      <c r="M253" s="35">
        <f t="shared" si="71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6</v>
      </c>
      <c r="H254" s="42">
        <v>7</v>
      </c>
      <c r="I254" s="42">
        <v>8</v>
      </c>
      <c r="J254" s="42">
        <v>15</v>
      </c>
      <c r="K254" s="42"/>
      <c r="L254" s="35">
        <f t="shared" si="72"/>
        <v>36</v>
      </c>
      <c r="M254" s="35">
        <f t="shared" si="71"/>
        <v>9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72"/>
        <v>0</v>
      </c>
      <c r="M255" s="35">
        <f t="shared" si="71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>
        <v>39</v>
      </c>
      <c r="H256" s="42">
        <v>40</v>
      </c>
      <c r="I256" s="42"/>
      <c r="J256" s="42">
        <v>40</v>
      </c>
      <c r="K256" s="42"/>
      <c r="L256" s="35">
        <f t="shared" si="72"/>
        <v>119</v>
      </c>
      <c r="M256" s="35">
        <f t="shared" si="71"/>
        <v>30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2024</v>
      </c>
      <c r="H259" s="10">
        <f>+G259</f>
        <v>2024</v>
      </c>
      <c r="I259" s="10">
        <f t="shared" ref="I259:M260" si="73">+H259</f>
        <v>2024</v>
      </c>
      <c r="J259" s="10">
        <f t="shared" si="73"/>
        <v>2024</v>
      </c>
      <c r="K259" s="10">
        <f t="shared" si="73"/>
        <v>2024</v>
      </c>
      <c r="L259" s="10">
        <f t="shared" si="73"/>
        <v>2024</v>
      </c>
      <c r="M259" s="10">
        <f t="shared" si="73"/>
        <v>2024</v>
      </c>
      <c r="N259" s="11"/>
      <c r="S259" s="12" t="str">
        <f>+C259</f>
        <v>Lonhlalane</v>
      </c>
      <c r="T259" s="13">
        <f>+L263</f>
        <v>157</v>
      </c>
      <c r="U259" s="13">
        <f>+L264+L265</f>
        <v>19</v>
      </c>
      <c r="V259" s="13">
        <f>+L266+L267</f>
        <v>138</v>
      </c>
      <c r="W259" s="13">
        <f>+L270</f>
        <v>1</v>
      </c>
      <c r="X259" s="13">
        <f>+L268</f>
        <v>0</v>
      </c>
    </row>
    <row r="260" spans="1:24" x14ac:dyDescent="0.25">
      <c r="A260" s="14"/>
      <c r="B260" s="15"/>
      <c r="C260" s="41" t="str">
        <f>+$C244</f>
        <v>July 2024</v>
      </c>
      <c r="D260" s="18"/>
      <c r="E260" s="18"/>
      <c r="F260" s="18"/>
      <c r="G260" s="20" t="str">
        <f>+$G$4</f>
        <v>Jul</v>
      </c>
      <c r="H260" s="20" t="str">
        <f>+G260</f>
        <v>Jul</v>
      </c>
      <c r="I260" s="20" t="str">
        <f t="shared" si="73"/>
        <v>Jul</v>
      </c>
      <c r="J260" s="20" t="str">
        <f t="shared" si="73"/>
        <v>Jul</v>
      </c>
      <c r="K260" s="20" t="str">
        <f t="shared" si="73"/>
        <v>Jul</v>
      </c>
      <c r="L260" s="20" t="str">
        <f t="shared" si="73"/>
        <v>Jul</v>
      </c>
      <c r="M260" s="20" t="str">
        <f t="shared" si="73"/>
        <v>Jul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7</v>
      </c>
      <c r="H261" s="25">
        <f>+$H$5</f>
        <v>14</v>
      </c>
      <c r="I261" s="25">
        <f>+$I$5</f>
        <v>21</v>
      </c>
      <c r="J261" s="25">
        <f>+$J$5</f>
        <v>28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30</v>
      </c>
      <c r="H263" s="31">
        <f t="shared" ref="H263:L263" si="74">SUM(H264:H267)</f>
        <v>40</v>
      </c>
      <c r="I263" s="31">
        <f t="shared" si="74"/>
        <v>50</v>
      </c>
      <c r="J263" s="31">
        <f t="shared" si="74"/>
        <v>37</v>
      </c>
      <c r="K263" s="31">
        <f t="shared" si="74"/>
        <v>0</v>
      </c>
      <c r="L263" s="31">
        <f t="shared" si="74"/>
        <v>157</v>
      </c>
      <c r="M263" s="31">
        <f>ROUND((L263/$E$1),0)</f>
        <v>39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2</v>
      </c>
      <c r="H264" s="42">
        <v>1</v>
      </c>
      <c r="I264" s="42">
        <v>2</v>
      </c>
      <c r="J264" s="42">
        <v>1</v>
      </c>
      <c r="K264" s="42"/>
      <c r="L264" s="35">
        <f>SUM(G264:K264)</f>
        <v>6</v>
      </c>
      <c r="M264" s="35">
        <f t="shared" ref="M264:M272" si="75">ROUND((L264/$E$1),0)</f>
        <v>2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3</v>
      </c>
      <c r="H265" s="42">
        <v>3</v>
      </c>
      <c r="I265" s="42">
        <v>4</v>
      </c>
      <c r="J265" s="42">
        <v>3</v>
      </c>
      <c r="K265" s="42"/>
      <c r="L265" s="35">
        <f t="shared" ref="L265:L272" si="76">SUM(G265:K265)</f>
        <v>13</v>
      </c>
      <c r="M265" s="35">
        <f t="shared" si="75"/>
        <v>3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9</v>
      </c>
      <c r="H266" s="42">
        <v>3</v>
      </c>
      <c r="I266" s="42">
        <v>6</v>
      </c>
      <c r="J266" s="42">
        <v>6</v>
      </c>
      <c r="K266" s="42"/>
      <c r="L266" s="35">
        <f t="shared" si="76"/>
        <v>24</v>
      </c>
      <c r="M266" s="35">
        <f t="shared" si="75"/>
        <v>6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16</v>
      </c>
      <c r="H267" s="43">
        <v>33</v>
      </c>
      <c r="I267" s="43">
        <v>38</v>
      </c>
      <c r="J267" s="43">
        <v>27</v>
      </c>
      <c r="K267" s="43"/>
      <c r="L267" s="31">
        <f t="shared" si="76"/>
        <v>114</v>
      </c>
      <c r="M267" s="31">
        <f t="shared" si="75"/>
        <v>29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76"/>
        <v>0</v>
      </c>
      <c r="M268" s="35">
        <f t="shared" si="75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76"/>
        <v>0</v>
      </c>
      <c r="M269" s="35">
        <f t="shared" si="75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>
        <v>1</v>
      </c>
      <c r="J270" s="42"/>
      <c r="K270" s="42"/>
      <c r="L270" s="35">
        <f t="shared" si="76"/>
        <v>1</v>
      </c>
      <c r="M270" s="35">
        <f t="shared" si="75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>
        <v>58</v>
      </c>
      <c r="H271" s="42">
        <v>180</v>
      </c>
      <c r="I271" s="42">
        <v>72</v>
      </c>
      <c r="J271" s="42">
        <v>54</v>
      </c>
      <c r="K271" s="42"/>
      <c r="L271" s="35">
        <f t="shared" si="76"/>
        <v>364</v>
      </c>
      <c r="M271" s="35">
        <f t="shared" si="75"/>
        <v>91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>
        <v>14</v>
      </c>
      <c r="H272" s="42">
        <v>40</v>
      </c>
      <c r="I272" s="42"/>
      <c r="J272" s="42"/>
      <c r="K272" s="42"/>
      <c r="L272" s="35">
        <f t="shared" si="76"/>
        <v>54</v>
      </c>
      <c r="M272" s="35">
        <f t="shared" si="75"/>
        <v>14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2024</v>
      </c>
      <c r="H275" s="10">
        <f>+G275</f>
        <v>2024</v>
      </c>
      <c r="I275" s="10">
        <f t="shared" ref="I275:M276" si="77">+H275</f>
        <v>2024</v>
      </c>
      <c r="J275" s="10">
        <f t="shared" si="77"/>
        <v>2024</v>
      </c>
      <c r="K275" s="10">
        <f t="shared" si="77"/>
        <v>2024</v>
      </c>
      <c r="L275" s="10">
        <f t="shared" si="77"/>
        <v>2024</v>
      </c>
      <c r="M275" s="10">
        <f t="shared" si="77"/>
        <v>2024</v>
      </c>
      <c r="N275" s="11"/>
      <c r="S275" s="12" t="str">
        <f>+C275</f>
        <v>Zondwako</v>
      </c>
      <c r="T275" s="13">
        <f>+L279</f>
        <v>201</v>
      </c>
      <c r="U275" s="13">
        <f>+L280+L281</f>
        <v>26</v>
      </c>
      <c r="V275" s="13">
        <f>+L282+L283</f>
        <v>175</v>
      </c>
      <c r="W275" s="13">
        <f>+L286</f>
        <v>3</v>
      </c>
      <c r="X275" s="13">
        <f>+L284</f>
        <v>2</v>
      </c>
    </row>
    <row r="276" spans="1:24" x14ac:dyDescent="0.25">
      <c r="A276" s="14"/>
      <c r="B276" s="15"/>
      <c r="C276" s="41" t="str">
        <f>+$C260</f>
        <v>July 2024</v>
      </c>
      <c r="D276" s="18"/>
      <c r="E276" s="18"/>
      <c r="F276" s="18"/>
      <c r="G276" s="20" t="str">
        <f>+$G$4</f>
        <v>Jul</v>
      </c>
      <c r="H276" s="20" t="str">
        <f>+G276</f>
        <v>Jul</v>
      </c>
      <c r="I276" s="20" t="str">
        <f t="shared" si="77"/>
        <v>Jul</v>
      </c>
      <c r="J276" s="20" t="str">
        <f t="shared" si="77"/>
        <v>Jul</v>
      </c>
      <c r="K276" s="20" t="str">
        <f t="shared" si="77"/>
        <v>Jul</v>
      </c>
      <c r="L276" s="20" t="str">
        <f t="shared" si="77"/>
        <v>Jul</v>
      </c>
      <c r="M276" s="20" t="str">
        <f t="shared" si="77"/>
        <v>Jul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7</v>
      </c>
      <c r="H277" s="25">
        <f>+$H$5</f>
        <v>14</v>
      </c>
      <c r="I277" s="25">
        <f>+$I$5</f>
        <v>21</v>
      </c>
      <c r="J277" s="25">
        <f>+$J$5</f>
        <v>28</v>
      </c>
      <c r="K277" s="25">
        <f>+$K$5</f>
        <v>0</v>
      </c>
      <c r="L277" s="25" t="s">
        <v>6</v>
      </c>
      <c r="M277" s="25" t="s">
        <v>7</v>
      </c>
      <c r="N277" s="26"/>
      <c r="P277" s="1" t="s">
        <v>59</v>
      </c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0</v>
      </c>
      <c r="H279" s="31">
        <f t="shared" ref="H279:L279" si="78">SUM(H280:H283)</f>
        <v>67</v>
      </c>
      <c r="I279" s="31">
        <f t="shared" si="78"/>
        <v>63</v>
      </c>
      <c r="J279" s="31">
        <f t="shared" si="78"/>
        <v>71</v>
      </c>
      <c r="K279" s="31">
        <f t="shared" si="78"/>
        <v>0</v>
      </c>
      <c r="L279" s="31">
        <f t="shared" si="78"/>
        <v>201</v>
      </c>
      <c r="M279" s="31">
        <f>ROUND((L279/$E$1),0)</f>
        <v>50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/>
      <c r="H280" s="42">
        <v>3</v>
      </c>
      <c r="I280" s="42">
        <v>1</v>
      </c>
      <c r="J280" s="42">
        <v>3</v>
      </c>
      <c r="K280" s="42"/>
      <c r="L280" s="35">
        <f>SUM(G280:K280)</f>
        <v>7</v>
      </c>
      <c r="M280" s="35">
        <f t="shared" ref="M280:M288" si="79">ROUND((L280/$E$1),0)</f>
        <v>2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/>
      <c r="H281" s="42">
        <v>5</v>
      </c>
      <c r="I281" s="42">
        <v>6</v>
      </c>
      <c r="J281" s="42">
        <v>8</v>
      </c>
      <c r="K281" s="42"/>
      <c r="L281" s="35">
        <f t="shared" ref="L281:L288" si="80">SUM(G281:K281)</f>
        <v>19</v>
      </c>
      <c r="M281" s="35">
        <f t="shared" si="79"/>
        <v>5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/>
      <c r="H282" s="42">
        <v>19</v>
      </c>
      <c r="I282" s="42">
        <v>13</v>
      </c>
      <c r="J282" s="42">
        <v>20</v>
      </c>
      <c r="K282" s="42"/>
      <c r="L282" s="35">
        <f t="shared" si="80"/>
        <v>52</v>
      </c>
      <c r="M282" s="35">
        <f t="shared" si="79"/>
        <v>13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/>
      <c r="H283" s="43">
        <v>40</v>
      </c>
      <c r="I283" s="43">
        <v>43</v>
      </c>
      <c r="J283" s="43">
        <v>40</v>
      </c>
      <c r="K283" s="43"/>
      <c r="L283" s="31">
        <f t="shared" si="80"/>
        <v>123</v>
      </c>
      <c r="M283" s="31">
        <f t="shared" si="79"/>
        <v>31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>
        <v>2</v>
      </c>
      <c r="I284" s="42"/>
      <c r="J284" s="42"/>
      <c r="K284" s="42"/>
      <c r="L284" s="35">
        <f t="shared" si="80"/>
        <v>2</v>
      </c>
      <c r="M284" s="35">
        <f t="shared" si="79"/>
        <v>1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80"/>
        <v>0</v>
      </c>
      <c r="M285" s="35">
        <f t="shared" si="79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>
        <v>3</v>
      </c>
      <c r="I286" s="42"/>
      <c r="J286" s="42"/>
      <c r="K286" s="42"/>
      <c r="L286" s="35">
        <f t="shared" si="80"/>
        <v>3</v>
      </c>
      <c r="M286" s="35">
        <f t="shared" si="79"/>
        <v>1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80"/>
        <v>0</v>
      </c>
      <c r="M287" s="35">
        <f t="shared" si="79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80"/>
        <v>0</v>
      </c>
      <c r="M288" s="35">
        <f t="shared" si="79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2024</v>
      </c>
      <c r="H291" s="10">
        <f>+G291</f>
        <v>2024</v>
      </c>
      <c r="I291" s="10">
        <f t="shared" ref="I291:M292" si="81">+H291</f>
        <v>2024</v>
      </c>
      <c r="J291" s="10">
        <f t="shared" si="81"/>
        <v>2024</v>
      </c>
      <c r="K291" s="10">
        <f t="shared" si="81"/>
        <v>2024</v>
      </c>
      <c r="L291" s="10">
        <f t="shared" si="81"/>
        <v>2024</v>
      </c>
      <c r="M291" s="10">
        <f t="shared" si="81"/>
        <v>2024</v>
      </c>
      <c r="N291" s="11"/>
      <c r="S291" s="12" t="str">
        <f>+C291</f>
        <v>Mangcongco</v>
      </c>
      <c r="T291" s="13">
        <f>+L295</f>
        <v>221</v>
      </c>
      <c r="U291" s="13">
        <f>+L296+L297</f>
        <v>37</v>
      </c>
      <c r="V291" s="13">
        <f>+L298+L299</f>
        <v>184</v>
      </c>
      <c r="W291" s="13">
        <f>+L302</f>
        <v>6</v>
      </c>
      <c r="X291" s="13">
        <f>+L300</f>
        <v>0</v>
      </c>
    </row>
    <row r="292" spans="1:24" x14ac:dyDescent="0.25">
      <c r="A292" s="14"/>
      <c r="B292" s="15"/>
      <c r="C292" s="41" t="str">
        <f>+$C276</f>
        <v>July 2024</v>
      </c>
      <c r="D292" s="18"/>
      <c r="E292" s="18"/>
      <c r="F292" s="18"/>
      <c r="G292" s="20" t="str">
        <f>+$G$4</f>
        <v>Jul</v>
      </c>
      <c r="H292" s="20" t="str">
        <f>+G292</f>
        <v>Jul</v>
      </c>
      <c r="I292" s="20" t="str">
        <f t="shared" si="81"/>
        <v>Jul</v>
      </c>
      <c r="J292" s="20" t="str">
        <f t="shared" si="81"/>
        <v>Jul</v>
      </c>
      <c r="K292" s="20" t="str">
        <f t="shared" si="81"/>
        <v>Jul</v>
      </c>
      <c r="L292" s="20" t="str">
        <f t="shared" si="81"/>
        <v>Jul</v>
      </c>
      <c r="M292" s="20" t="str">
        <f t="shared" si="81"/>
        <v>Jul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7</v>
      </c>
      <c r="H293" s="25">
        <f>+$H$5</f>
        <v>14</v>
      </c>
      <c r="I293" s="25">
        <f>+$I$5</f>
        <v>21</v>
      </c>
      <c r="J293" s="25">
        <f>+$J$5</f>
        <v>28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57</v>
      </c>
      <c r="H295" s="31">
        <f t="shared" ref="H295:L295" si="82">SUM(H296:H299)</f>
        <v>52</v>
      </c>
      <c r="I295" s="31">
        <f t="shared" si="82"/>
        <v>58</v>
      </c>
      <c r="J295" s="31">
        <f t="shared" si="82"/>
        <v>54</v>
      </c>
      <c r="K295" s="31">
        <f t="shared" si="82"/>
        <v>0</v>
      </c>
      <c r="L295" s="31">
        <f t="shared" si="82"/>
        <v>221</v>
      </c>
      <c r="M295" s="31">
        <f>ROUND((L295/$E$1),0)</f>
        <v>55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2</v>
      </c>
      <c r="H296" s="42">
        <v>2</v>
      </c>
      <c r="I296" s="42">
        <v>3</v>
      </c>
      <c r="J296" s="42">
        <v>8</v>
      </c>
      <c r="K296" s="42"/>
      <c r="L296" s="35">
        <f>SUM(G296:K296)</f>
        <v>15</v>
      </c>
      <c r="M296" s="35">
        <f t="shared" ref="M296:M304" si="83">ROUND((L296/$E$1),0)</f>
        <v>4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6</v>
      </c>
      <c r="H297" s="42">
        <v>7</v>
      </c>
      <c r="I297" s="42">
        <v>7</v>
      </c>
      <c r="J297" s="42">
        <v>2</v>
      </c>
      <c r="K297" s="42"/>
      <c r="L297" s="35">
        <f t="shared" ref="L297:L304" si="84">SUM(G297:K297)</f>
        <v>22</v>
      </c>
      <c r="M297" s="35">
        <f t="shared" si="83"/>
        <v>6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20</v>
      </c>
      <c r="H298" s="42">
        <v>17</v>
      </c>
      <c r="I298" s="42">
        <v>17</v>
      </c>
      <c r="J298" s="42">
        <v>17</v>
      </c>
      <c r="K298" s="42"/>
      <c r="L298" s="35">
        <f t="shared" si="84"/>
        <v>71</v>
      </c>
      <c r="M298" s="35">
        <f t="shared" si="83"/>
        <v>18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29</v>
      </c>
      <c r="H299" s="43">
        <v>26</v>
      </c>
      <c r="I299" s="43">
        <v>31</v>
      </c>
      <c r="J299" s="43">
        <v>27</v>
      </c>
      <c r="K299" s="43"/>
      <c r="L299" s="31">
        <f t="shared" si="84"/>
        <v>113</v>
      </c>
      <c r="M299" s="31">
        <f t="shared" si="83"/>
        <v>28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84"/>
        <v>0</v>
      </c>
      <c r="M300" s="35">
        <f t="shared" si="83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84"/>
        <v>0</v>
      </c>
      <c r="M301" s="35">
        <f t="shared" si="83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2</v>
      </c>
      <c r="H302" s="42"/>
      <c r="I302" s="42">
        <v>2</v>
      </c>
      <c r="J302" s="42">
        <v>2</v>
      </c>
      <c r="K302" s="42"/>
      <c r="L302" s="35">
        <f t="shared" si="84"/>
        <v>6</v>
      </c>
      <c r="M302" s="35">
        <f t="shared" si="83"/>
        <v>2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>
        <v>30</v>
      </c>
      <c r="K303" s="42"/>
      <c r="L303" s="35">
        <f t="shared" si="84"/>
        <v>30</v>
      </c>
      <c r="M303" s="35">
        <f t="shared" si="83"/>
        <v>8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84"/>
        <v>0</v>
      </c>
      <c r="M304" s="35">
        <f t="shared" si="83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2024</v>
      </c>
      <c r="H307" s="10">
        <f>+G307</f>
        <v>2024</v>
      </c>
      <c r="I307" s="10">
        <f t="shared" ref="I307:M308" si="85">+H307</f>
        <v>2024</v>
      </c>
      <c r="J307" s="10">
        <f t="shared" si="85"/>
        <v>2024</v>
      </c>
      <c r="K307" s="10">
        <f t="shared" si="85"/>
        <v>2024</v>
      </c>
      <c r="L307" s="10">
        <f t="shared" si="85"/>
        <v>2024</v>
      </c>
      <c r="M307" s="10">
        <f t="shared" si="85"/>
        <v>2024</v>
      </c>
      <c r="N307" s="11"/>
      <c r="S307" s="12" t="str">
        <f>+C307</f>
        <v>Kaliba</v>
      </c>
      <c r="T307" s="13">
        <f>+L311</f>
        <v>319</v>
      </c>
      <c r="U307" s="13">
        <f>+L312+L313</f>
        <v>72</v>
      </c>
      <c r="V307" s="13">
        <f>+L314+L315</f>
        <v>247</v>
      </c>
      <c r="W307" s="13">
        <f>+L318</f>
        <v>11</v>
      </c>
      <c r="X307" s="13">
        <f>+L316</f>
        <v>1</v>
      </c>
    </row>
    <row r="308" spans="1:24" x14ac:dyDescent="0.25">
      <c r="A308" s="14"/>
      <c r="B308" s="15"/>
      <c r="C308" s="41" t="str">
        <f>+$C292</f>
        <v>July 2024</v>
      </c>
      <c r="D308" s="18"/>
      <c r="E308" s="18"/>
      <c r="F308" s="18"/>
      <c r="G308" s="20" t="str">
        <f>+$G$4</f>
        <v>Jul</v>
      </c>
      <c r="H308" s="20" t="str">
        <f>+G308</f>
        <v>Jul</v>
      </c>
      <c r="I308" s="20" t="str">
        <f t="shared" si="85"/>
        <v>Jul</v>
      </c>
      <c r="J308" s="20" t="str">
        <f t="shared" si="85"/>
        <v>Jul</v>
      </c>
      <c r="K308" s="20" t="str">
        <f t="shared" si="85"/>
        <v>Jul</v>
      </c>
      <c r="L308" s="20" t="str">
        <f t="shared" si="85"/>
        <v>Jul</v>
      </c>
      <c r="M308" s="20" t="str">
        <f t="shared" si="85"/>
        <v>Jul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7</v>
      </c>
      <c r="H309" s="25">
        <f>+$H$5</f>
        <v>14</v>
      </c>
      <c r="I309" s="25">
        <f>+$I$5</f>
        <v>21</v>
      </c>
      <c r="J309" s="25">
        <f>+$J$5</f>
        <v>28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67</v>
      </c>
      <c r="H311" s="31">
        <f t="shared" ref="H311:L311" si="86">SUM(H312:H315)</f>
        <v>77</v>
      </c>
      <c r="I311" s="31">
        <f t="shared" si="86"/>
        <v>82</v>
      </c>
      <c r="J311" s="31">
        <f t="shared" si="86"/>
        <v>93</v>
      </c>
      <c r="K311" s="31">
        <f t="shared" si="86"/>
        <v>0</v>
      </c>
      <c r="L311" s="31">
        <f t="shared" si="86"/>
        <v>319</v>
      </c>
      <c r="M311" s="31">
        <f>ROUND((L311/$E$1),0)</f>
        <v>80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4</v>
      </c>
      <c r="H312" s="42">
        <v>4</v>
      </c>
      <c r="I312" s="42">
        <v>4</v>
      </c>
      <c r="J312" s="42">
        <v>4</v>
      </c>
      <c r="K312" s="42"/>
      <c r="L312" s="35">
        <f>SUM(G312:K312)</f>
        <v>16</v>
      </c>
      <c r="M312" s="35">
        <f t="shared" ref="M312:M320" si="87">ROUND((L312/$E$1),0)</f>
        <v>4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13</v>
      </c>
      <c r="H313" s="42">
        <v>13</v>
      </c>
      <c r="I313" s="42">
        <v>13</v>
      </c>
      <c r="J313" s="42">
        <v>17</v>
      </c>
      <c r="K313" s="42"/>
      <c r="L313" s="35">
        <f t="shared" ref="L313:L320" si="88">SUM(G313:K313)</f>
        <v>56</v>
      </c>
      <c r="M313" s="35">
        <f t="shared" si="87"/>
        <v>14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19</v>
      </c>
      <c r="H314" s="42">
        <v>23</v>
      </c>
      <c r="I314" s="42">
        <v>26</v>
      </c>
      <c r="J314" s="42">
        <v>31</v>
      </c>
      <c r="K314" s="42"/>
      <c r="L314" s="35">
        <f t="shared" si="88"/>
        <v>99</v>
      </c>
      <c r="M314" s="35">
        <f t="shared" si="87"/>
        <v>25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31</v>
      </c>
      <c r="H315" s="43">
        <v>37</v>
      </c>
      <c r="I315" s="43">
        <v>39</v>
      </c>
      <c r="J315" s="43">
        <v>41</v>
      </c>
      <c r="K315" s="43"/>
      <c r="L315" s="31">
        <f t="shared" si="88"/>
        <v>148</v>
      </c>
      <c r="M315" s="31">
        <f t="shared" si="87"/>
        <v>37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>
        <v>1</v>
      </c>
      <c r="H316" s="42"/>
      <c r="I316" s="42"/>
      <c r="J316" s="42"/>
      <c r="K316" s="42"/>
      <c r="L316" s="35">
        <f t="shared" si="88"/>
        <v>1</v>
      </c>
      <c r="M316" s="35">
        <f t="shared" si="87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8"/>
        <v>0</v>
      </c>
      <c r="M317" s="35">
        <f t="shared" si="87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>
        <v>11</v>
      </c>
      <c r="H318" s="42"/>
      <c r="I318" s="42"/>
      <c r="J318" s="42"/>
      <c r="K318" s="42"/>
      <c r="L318" s="35">
        <f t="shared" si="88"/>
        <v>11</v>
      </c>
      <c r="M318" s="35">
        <f t="shared" si="87"/>
        <v>3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94</v>
      </c>
      <c r="H319" s="42">
        <v>173</v>
      </c>
      <c r="I319" s="42">
        <v>207</v>
      </c>
      <c r="J319" s="42">
        <v>137</v>
      </c>
      <c r="K319" s="42"/>
      <c r="L319" s="35">
        <f t="shared" si="88"/>
        <v>611</v>
      </c>
      <c r="M319" s="35">
        <f t="shared" si="87"/>
        <v>153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8"/>
        <v>0</v>
      </c>
      <c r="M320" s="35">
        <f t="shared" si="87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2024</v>
      </c>
      <c r="H323" s="10">
        <f>+G323</f>
        <v>2024</v>
      </c>
      <c r="I323" s="10">
        <f t="shared" ref="I323:M324" si="89">+H323</f>
        <v>2024</v>
      </c>
      <c r="J323" s="10">
        <f t="shared" si="89"/>
        <v>2024</v>
      </c>
      <c r="K323" s="10">
        <f t="shared" si="89"/>
        <v>2024</v>
      </c>
      <c r="L323" s="10">
        <f t="shared" si="89"/>
        <v>2024</v>
      </c>
      <c r="M323" s="10">
        <f t="shared" si="89"/>
        <v>2024</v>
      </c>
      <c r="N323" s="11"/>
      <c r="S323" s="12" t="str">
        <f>+C323</f>
        <v>Kancesi</v>
      </c>
      <c r="T323" s="13">
        <f>+L327</f>
        <v>207</v>
      </c>
      <c r="U323" s="13">
        <f>+L328+L329</f>
        <v>63</v>
      </c>
      <c r="V323" s="13">
        <f>+L330+L331</f>
        <v>144</v>
      </c>
      <c r="W323" s="13">
        <f>+L334</f>
        <v>41</v>
      </c>
      <c r="X323" s="13">
        <f>+L332</f>
        <v>9</v>
      </c>
    </row>
    <row r="324" spans="1:24" x14ac:dyDescent="0.25">
      <c r="A324" s="14"/>
      <c r="B324" s="15"/>
      <c r="C324" s="41" t="str">
        <f>+$C308</f>
        <v>July 2024</v>
      </c>
      <c r="D324" s="18"/>
      <c r="E324" s="18"/>
      <c r="F324" s="18"/>
      <c r="G324" s="20" t="str">
        <f>+$G$4</f>
        <v>Jul</v>
      </c>
      <c r="H324" s="20" t="str">
        <f>+G324</f>
        <v>Jul</v>
      </c>
      <c r="I324" s="20" t="str">
        <f t="shared" si="89"/>
        <v>Jul</v>
      </c>
      <c r="J324" s="20" t="str">
        <f t="shared" si="89"/>
        <v>Jul</v>
      </c>
      <c r="K324" s="20" t="str">
        <f t="shared" si="89"/>
        <v>Jul</v>
      </c>
      <c r="L324" s="20" t="str">
        <f t="shared" si="89"/>
        <v>Jul</v>
      </c>
      <c r="M324" s="20" t="str">
        <f t="shared" si="89"/>
        <v>Jul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7</v>
      </c>
      <c r="H325" s="25">
        <f>+$H$5</f>
        <v>14</v>
      </c>
      <c r="I325" s="25">
        <f>+$I$5</f>
        <v>21</v>
      </c>
      <c r="J325" s="25">
        <f>+$J$5</f>
        <v>28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50</v>
      </c>
      <c r="H327" s="31">
        <f t="shared" ref="H327:L327" si="90">SUM(H328:H331)</f>
        <v>48</v>
      </c>
      <c r="I327" s="31">
        <f t="shared" si="90"/>
        <v>55</v>
      </c>
      <c r="J327" s="31">
        <f t="shared" si="90"/>
        <v>54</v>
      </c>
      <c r="K327" s="31">
        <f t="shared" si="90"/>
        <v>0</v>
      </c>
      <c r="L327" s="31">
        <f t="shared" si="90"/>
        <v>207</v>
      </c>
      <c r="M327" s="31">
        <f>ROUND((L327/$E$1),0)</f>
        <v>52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5</v>
      </c>
      <c r="H328" s="42">
        <v>4</v>
      </c>
      <c r="I328" s="42">
        <v>5</v>
      </c>
      <c r="J328" s="42">
        <v>4</v>
      </c>
      <c r="K328" s="42"/>
      <c r="L328" s="35">
        <f>SUM(G328:K328)</f>
        <v>18</v>
      </c>
      <c r="M328" s="35">
        <f t="shared" ref="M328:M336" si="91">ROUND((L328/$E$1),0)</f>
        <v>5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11</v>
      </c>
      <c r="H329" s="42">
        <v>11</v>
      </c>
      <c r="I329" s="42">
        <v>12</v>
      </c>
      <c r="J329" s="42">
        <v>11</v>
      </c>
      <c r="K329" s="42"/>
      <c r="L329" s="35">
        <f t="shared" ref="L329:L336" si="92">SUM(G329:K329)</f>
        <v>45</v>
      </c>
      <c r="M329" s="35">
        <f t="shared" si="91"/>
        <v>11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15</v>
      </c>
      <c r="H330" s="42">
        <v>16</v>
      </c>
      <c r="I330" s="42">
        <v>17</v>
      </c>
      <c r="J330" s="42">
        <v>17</v>
      </c>
      <c r="K330" s="42"/>
      <c r="L330" s="35">
        <f t="shared" si="92"/>
        <v>65</v>
      </c>
      <c r="M330" s="35">
        <f t="shared" si="91"/>
        <v>16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19</v>
      </c>
      <c r="H331" s="43">
        <v>17</v>
      </c>
      <c r="I331" s="43">
        <v>21</v>
      </c>
      <c r="J331" s="43">
        <v>22</v>
      </c>
      <c r="K331" s="43"/>
      <c r="L331" s="31">
        <f t="shared" si="92"/>
        <v>79</v>
      </c>
      <c r="M331" s="31">
        <f t="shared" si="91"/>
        <v>20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/>
      <c r="H332" s="42">
        <v>5</v>
      </c>
      <c r="I332" s="42">
        <v>1</v>
      </c>
      <c r="J332" s="42">
        <v>3</v>
      </c>
      <c r="K332" s="42"/>
      <c r="L332" s="35">
        <f t="shared" si="92"/>
        <v>9</v>
      </c>
      <c r="M332" s="35">
        <f t="shared" si="91"/>
        <v>2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>
        <v>2</v>
      </c>
      <c r="J333" s="42"/>
      <c r="K333" s="42"/>
      <c r="L333" s="35">
        <f t="shared" si="92"/>
        <v>2</v>
      </c>
      <c r="M333" s="35">
        <f t="shared" si="91"/>
        <v>1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9</v>
      </c>
      <c r="H334" s="42">
        <v>11</v>
      </c>
      <c r="I334" s="42">
        <v>10</v>
      </c>
      <c r="J334" s="42">
        <v>11</v>
      </c>
      <c r="K334" s="42"/>
      <c r="L334" s="35">
        <f t="shared" si="92"/>
        <v>41</v>
      </c>
      <c r="M334" s="35">
        <f t="shared" si="91"/>
        <v>10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216</v>
      </c>
      <c r="H335" s="42"/>
      <c r="I335" s="42">
        <v>180</v>
      </c>
      <c r="J335" s="42">
        <v>72</v>
      </c>
      <c r="K335" s="42"/>
      <c r="L335" s="35">
        <f t="shared" si="92"/>
        <v>468</v>
      </c>
      <c r="M335" s="35">
        <f t="shared" si="91"/>
        <v>117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92"/>
        <v>0</v>
      </c>
      <c r="M336" s="35">
        <f t="shared" si="91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2024</v>
      </c>
      <c r="H339" s="10">
        <f>+G339</f>
        <v>2024</v>
      </c>
      <c r="I339" s="10">
        <f t="shared" ref="I339:M340" si="93">+H339</f>
        <v>2024</v>
      </c>
      <c r="J339" s="10">
        <f t="shared" si="93"/>
        <v>2024</v>
      </c>
      <c r="K339" s="10">
        <f t="shared" si="93"/>
        <v>2024</v>
      </c>
      <c r="L339" s="10">
        <f t="shared" si="93"/>
        <v>2024</v>
      </c>
      <c r="M339" s="10">
        <f t="shared" si="93"/>
        <v>2024</v>
      </c>
      <c r="N339" s="11"/>
      <c r="S339" s="12" t="str">
        <f>+C339</f>
        <v>Mpuluzi</v>
      </c>
      <c r="T339" s="13">
        <f>+L343</f>
        <v>508</v>
      </c>
      <c r="U339" s="13">
        <f>+L344+L345</f>
        <v>155</v>
      </c>
      <c r="V339" s="13">
        <f>+L346+L347</f>
        <v>353</v>
      </c>
      <c r="W339" s="13">
        <f>+L350</f>
        <v>23</v>
      </c>
      <c r="X339" s="13">
        <f>+L348</f>
        <v>17</v>
      </c>
    </row>
    <row r="340" spans="1:24" x14ac:dyDescent="0.25">
      <c r="A340" s="14"/>
      <c r="B340" s="15"/>
      <c r="C340" s="41" t="str">
        <f>+$C324</f>
        <v>July 2024</v>
      </c>
      <c r="D340" s="18"/>
      <c r="E340" s="18"/>
      <c r="F340" s="18"/>
      <c r="G340" s="20" t="str">
        <f>+$G$4</f>
        <v>Jul</v>
      </c>
      <c r="H340" s="20" t="str">
        <f>+G340</f>
        <v>Jul</v>
      </c>
      <c r="I340" s="20" t="str">
        <f t="shared" si="93"/>
        <v>Jul</v>
      </c>
      <c r="J340" s="20" t="str">
        <f t="shared" si="93"/>
        <v>Jul</v>
      </c>
      <c r="K340" s="20" t="str">
        <f t="shared" si="93"/>
        <v>Jul</v>
      </c>
      <c r="L340" s="20" t="str">
        <f t="shared" si="93"/>
        <v>Jul</v>
      </c>
      <c r="M340" s="20" t="str">
        <f t="shared" si="93"/>
        <v>Jul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7</v>
      </c>
      <c r="H341" s="25">
        <f>+$H$5</f>
        <v>14</v>
      </c>
      <c r="I341" s="25">
        <f>+$I$5</f>
        <v>21</v>
      </c>
      <c r="J341" s="25">
        <f>+$J$5</f>
        <v>28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121</v>
      </c>
      <c r="H343" s="31">
        <f t="shared" ref="H343:L343" si="94">SUM(H344:H347)</f>
        <v>122</v>
      </c>
      <c r="I343" s="31">
        <f t="shared" si="94"/>
        <v>130</v>
      </c>
      <c r="J343" s="31">
        <f t="shared" si="94"/>
        <v>135</v>
      </c>
      <c r="K343" s="31">
        <f t="shared" si="94"/>
        <v>0</v>
      </c>
      <c r="L343" s="31">
        <f t="shared" si="94"/>
        <v>508</v>
      </c>
      <c r="M343" s="31">
        <f>ROUND((L343/$E$1),0)</f>
        <v>127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13</v>
      </c>
      <c r="H344" s="42">
        <v>12</v>
      </c>
      <c r="I344" s="42">
        <v>16</v>
      </c>
      <c r="J344" s="42">
        <v>13</v>
      </c>
      <c r="K344" s="42"/>
      <c r="L344" s="35">
        <f>SUM(G344:K344)</f>
        <v>54</v>
      </c>
      <c r="M344" s="35">
        <f t="shared" ref="M344:M352" si="95">ROUND((L344/$E$1),0)</f>
        <v>14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21</v>
      </c>
      <c r="H345" s="42">
        <v>22</v>
      </c>
      <c r="I345" s="42">
        <v>27</v>
      </c>
      <c r="J345" s="42">
        <v>31</v>
      </c>
      <c r="K345" s="42"/>
      <c r="L345" s="35">
        <f t="shared" ref="L345:L352" si="96">SUM(G345:K345)</f>
        <v>101</v>
      </c>
      <c r="M345" s="35">
        <f t="shared" si="95"/>
        <v>25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19</v>
      </c>
      <c r="H346" s="42">
        <v>17</v>
      </c>
      <c r="I346" s="42">
        <v>21</v>
      </c>
      <c r="J346" s="42">
        <v>17</v>
      </c>
      <c r="K346" s="42"/>
      <c r="L346" s="35">
        <f t="shared" si="96"/>
        <v>74</v>
      </c>
      <c r="M346" s="35">
        <f t="shared" si="95"/>
        <v>19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68</v>
      </c>
      <c r="H347" s="43">
        <v>71</v>
      </c>
      <c r="I347" s="43">
        <v>66</v>
      </c>
      <c r="J347" s="43">
        <v>74</v>
      </c>
      <c r="K347" s="43"/>
      <c r="L347" s="31">
        <f t="shared" si="96"/>
        <v>279</v>
      </c>
      <c r="M347" s="31">
        <f t="shared" si="95"/>
        <v>70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3</v>
      </c>
      <c r="H348" s="42">
        <v>5</v>
      </c>
      <c r="I348" s="42">
        <v>3</v>
      </c>
      <c r="J348" s="42">
        <v>6</v>
      </c>
      <c r="K348" s="42"/>
      <c r="L348" s="35">
        <f t="shared" si="96"/>
        <v>17</v>
      </c>
      <c r="M348" s="35">
        <f t="shared" si="95"/>
        <v>4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96"/>
        <v>0</v>
      </c>
      <c r="M349" s="35">
        <f t="shared" si="95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5</v>
      </c>
      <c r="H350" s="42">
        <v>6</v>
      </c>
      <c r="I350" s="42">
        <v>4</v>
      </c>
      <c r="J350" s="42">
        <v>8</v>
      </c>
      <c r="K350" s="42"/>
      <c r="L350" s="35">
        <f t="shared" si="96"/>
        <v>23</v>
      </c>
      <c r="M350" s="35">
        <f t="shared" si="95"/>
        <v>6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>
        <v>144</v>
      </c>
      <c r="H351" s="42">
        <v>36</v>
      </c>
      <c r="I351" s="42">
        <v>72</v>
      </c>
      <c r="J351" s="42">
        <v>108</v>
      </c>
      <c r="K351" s="42"/>
      <c r="L351" s="35">
        <f t="shared" si="96"/>
        <v>360</v>
      </c>
      <c r="M351" s="35">
        <f t="shared" si="95"/>
        <v>90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>
        <v>40</v>
      </c>
      <c r="H352" s="42">
        <v>40</v>
      </c>
      <c r="I352" s="42"/>
      <c r="J352" s="42"/>
      <c r="K352" s="42"/>
      <c r="L352" s="35">
        <f t="shared" si="96"/>
        <v>80</v>
      </c>
      <c r="M352" s="35">
        <f t="shared" si="95"/>
        <v>20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2024</v>
      </c>
      <c r="H355" s="10">
        <f>+G355</f>
        <v>2024</v>
      </c>
      <c r="I355" s="10">
        <f t="shared" ref="I355:M356" si="97">+H355</f>
        <v>2024</v>
      </c>
      <c r="J355" s="10">
        <f t="shared" si="97"/>
        <v>2024</v>
      </c>
      <c r="K355" s="10">
        <f t="shared" si="97"/>
        <v>2024</v>
      </c>
      <c r="L355" s="10">
        <f t="shared" si="97"/>
        <v>2024</v>
      </c>
      <c r="M355" s="10">
        <f t="shared" si="97"/>
        <v>2024</v>
      </c>
      <c r="N355" s="11"/>
      <c r="S355" s="12" t="str">
        <f>+C355</f>
        <v>Bulunga</v>
      </c>
      <c r="T355" s="13">
        <f>+L359</f>
        <v>157</v>
      </c>
      <c r="U355" s="13">
        <f>+L360+L361</f>
        <v>17</v>
      </c>
      <c r="V355" s="13">
        <f>+L362+L363</f>
        <v>140</v>
      </c>
      <c r="W355" s="13">
        <f>+L366</f>
        <v>27</v>
      </c>
      <c r="X355" s="13">
        <f>+L364</f>
        <v>15</v>
      </c>
    </row>
    <row r="356" spans="1:24" x14ac:dyDescent="0.25">
      <c r="A356" s="14"/>
      <c r="B356" s="15"/>
      <c r="C356" s="41" t="str">
        <f>+$C340</f>
        <v>July 2024</v>
      </c>
      <c r="D356" s="18"/>
      <c r="E356" s="18"/>
      <c r="F356" s="18"/>
      <c r="G356" s="20" t="str">
        <f>+$G$4</f>
        <v>Jul</v>
      </c>
      <c r="H356" s="20" t="str">
        <f>+G356</f>
        <v>Jul</v>
      </c>
      <c r="I356" s="20" t="str">
        <f t="shared" si="97"/>
        <v>Jul</v>
      </c>
      <c r="J356" s="20" t="str">
        <f t="shared" si="97"/>
        <v>Jul</v>
      </c>
      <c r="K356" s="20" t="str">
        <f t="shared" si="97"/>
        <v>Jul</v>
      </c>
      <c r="L356" s="20" t="str">
        <f t="shared" si="97"/>
        <v>Jul</v>
      </c>
      <c r="M356" s="20" t="str">
        <f t="shared" si="97"/>
        <v>Jul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7</v>
      </c>
      <c r="H357" s="25">
        <f>+$H$5</f>
        <v>14</v>
      </c>
      <c r="I357" s="25">
        <f>+$I$5</f>
        <v>21</v>
      </c>
      <c r="J357" s="25">
        <f>+$J$5</f>
        <v>28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36</v>
      </c>
      <c r="H359" s="31">
        <f t="shared" ref="H359:L359" si="98">SUM(H360:H363)</f>
        <v>32</v>
      </c>
      <c r="I359" s="31">
        <f t="shared" si="98"/>
        <v>45</v>
      </c>
      <c r="J359" s="31">
        <f t="shared" si="98"/>
        <v>44</v>
      </c>
      <c r="K359" s="31">
        <f t="shared" si="98"/>
        <v>0</v>
      </c>
      <c r="L359" s="31">
        <f t="shared" si="98"/>
        <v>157</v>
      </c>
      <c r="M359" s="31">
        <f>ROUND((L359/$E$1),0)</f>
        <v>39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2</v>
      </c>
      <c r="H360" s="42">
        <v>2</v>
      </c>
      <c r="I360" s="42">
        <v>2</v>
      </c>
      <c r="J360" s="42">
        <v>2</v>
      </c>
      <c r="K360" s="42"/>
      <c r="L360" s="35">
        <f>SUM(G360:K360)</f>
        <v>8</v>
      </c>
      <c r="M360" s="35">
        <f t="shared" ref="M360:M368" si="99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2</v>
      </c>
      <c r="H361" s="42">
        <v>2</v>
      </c>
      <c r="I361" s="42">
        <v>3</v>
      </c>
      <c r="J361" s="42">
        <v>2</v>
      </c>
      <c r="K361" s="42"/>
      <c r="L361" s="35">
        <f t="shared" ref="L361:L368" si="100">SUM(G361:K361)</f>
        <v>9</v>
      </c>
      <c r="M361" s="35">
        <f t="shared" si="99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14</v>
      </c>
      <c r="H362" s="42">
        <v>8</v>
      </c>
      <c r="I362" s="42">
        <v>18</v>
      </c>
      <c r="J362" s="42">
        <v>15</v>
      </c>
      <c r="K362" s="42"/>
      <c r="L362" s="35">
        <f t="shared" si="100"/>
        <v>55</v>
      </c>
      <c r="M362" s="35">
        <f t="shared" si="99"/>
        <v>14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18</v>
      </c>
      <c r="H363" s="43">
        <v>20</v>
      </c>
      <c r="I363" s="43">
        <v>22</v>
      </c>
      <c r="J363" s="43">
        <v>25</v>
      </c>
      <c r="K363" s="43"/>
      <c r="L363" s="31">
        <f t="shared" si="100"/>
        <v>85</v>
      </c>
      <c r="M363" s="31">
        <f t="shared" si="99"/>
        <v>21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>
        <v>10</v>
      </c>
      <c r="H364" s="42"/>
      <c r="I364" s="42">
        <v>5</v>
      </c>
      <c r="J364" s="42"/>
      <c r="K364" s="42"/>
      <c r="L364" s="35">
        <f t="shared" si="100"/>
        <v>15</v>
      </c>
      <c r="M364" s="35">
        <f t="shared" si="99"/>
        <v>4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100"/>
        <v>0</v>
      </c>
      <c r="M365" s="35">
        <f t="shared" si="99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6</v>
      </c>
      <c r="H366" s="42">
        <v>8</v>
      </c>
      <c r="I366" s="42">
        <v>7</v>
      </c>
      <c r="J366" s="42">
        <v>6</v>
      </c>
      <c r="K366" s="42"/>
      <c r="L366" s="35">
        <f t="shared" si="100"/>
        <v>27</v>
      </c>
      <c r="M366" s="35">
        <f t="shared" si="99"/>
        <v>7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>
        <v>360</v>
      </c>
      <c r="H367" s="42">
        <v>324</v>
      </c>
      <c r="I367" s="42">
        <v>144</v>
      </c>
      <c r="J367" s="42">
        <v>144</v>
      </c>
      <c r="K367" s="42"/>
      <c r="L367" s="35">
        <f t="shared" si="100"/>
        <v>972</v>
      </c>
      <c r="M367" s="35">
        <f t="shared" si="99"/>
        <v>243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>
        <v>24</v>
      </c>
      <c r="H368" s="42">
        <v>20</v>
      </c>
      <c r="I368" s="42"/>
      <c r="J368" s="42"/>
      <c r="K368" s="42"/>
      <c r="L368" s="35">
        <f t="shared" si="100"/>
        <v>44</v>
      </c>
      <c r="M368" s="35">
        <f t="shared" si="99"/>
        <v>11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2024</v>
      </c>
      <c r="H371" s="10">
        <f>+G371</f>
        <v>2024</v>
      </c>
      <c r="I371" s="10">
        <f t="shared" ref="I371:M372" si="101">+H371</f>
        <v>2024</v>
      </c>
      <c r="J371" s="10">
        <f t="shared" si="101"/>
        <v>2024</v>
      </c>
      <c r="K371" s="10">
        <f t="shared" si="101"/>
        <v>2024</v>
      </c>
      <c r="L371" s="10">
        <f t="shared" si="101"/>
        <v>2024</v>
      </c>
      <c r="M371" s="10">
        <f t="shared" si="101"/>
        <v>2024</v>
      </c>
      <c r="N371" s="11"/>
      <c r="P371" s="44"/>
      <c r="S371" s="12" t="str">
        <f>+C371</f>
        <v>Mbowane</v>
      </c>
      <c r="T371" s="13">
        <f>+L375</f>
        <v>88</v>
      </c>
      <c r="U371" s="13">
        <f>+L376+L377</f>
        <v>18</v>
      </c>
      <c r="V371" s="13">
        <f>+L378+L379</f>
        <v>70</v>
      </c>
      <c r="W371" s="13">
        <f>+L382</f>
        <v>16</v>
      </c>
      <c r="X371" s="13">
        <f>+L380</f>
        <v>0</v>
      </c>
    </row>
    <row r="372" spans="1:24" x14ac:dyDescent="0.25">
      <c r="A372" s="14"/>
      <c r="B372" s="15"/>
      <c r="C372" s="41" t="str">
        <f>+$C356</f>
        <v>July 2024</v>
      </c>
      <c r="D372" s="18"/>
      <c r="E372" s="18"/>
      <c r="F372" s="18"/>
      <c r="G372" s="20" t="str">
        <f>+$G$4</f>
        <v>Jul</v>
      </c>
      <c r="H372" s="20" t="str">
        <f>+G372</f>
        <v>Jul</v>
      </c>
      <c r="I372" s="20" t="str">
        <f t="shared" si="101"/>
        <v>Jul</v>
      </c>
      <c r="J372" s="20" t="str">
        <f t="shared" si="101"/>
        <v>Jul</v>
      </c>
      <c r="K372" s="20" t="str">
        <f t="shared" si="101"/>
        <v>Jul</v>
      </c>
      <c r="L372" s="20" t="str">
        <f t="shared" si="101"/>
        <v>Jul</v>
      </c>
      <c r="M372" s="20" t="str">
        <f t="shared" si="101"/>
        <v>Jul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7</v>
      </c>
      <c r="H373" s="25">
        <f>+$H$5</f>
        <v>14</v>
      </c>
      <c r="I373" s="25">
        <f>+$I$5</f>
        <v>21</v>
      </c>
      <c r="J373" s="25">
        <f>+$J$5</f>
        <v>28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28</v>
      </c>
      <c r="H375" s="31">
        <f t="shared" ref="H375:L375" si="102">SUM(H376:H379)</f>
        <v>19</v>
      </c>
      <c r="I375" s="31">
        <f t="shared" si="102"/>
        <v>22</v>
      </c>
      <c r="J375" s="31">
        <f t="shared" si="102"/>
        <v>19</v>
      </c>
      <c r="K375" s="31">
        <f t="shared" si="102"/>
        <v>0</v>
      </c>
      <c r="L375" s="31">
        <f t="shared" si="102"/>
        <v>88</v>
      </c>
      <c r="M375" s="31">
        <f>ROUND((L375/$E$1),0)</f>
        <v>22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1</v>
      </c>
      <c r="H376" s="42">
        <v>1</v>
      </c>
      <c r="I376" s="42">
        <v>1</v>
      </c>
      <c r="J376" s="42">
        <v>2</v>
      </c>
      <c r="K376" s="42"/>
      <c r="L376" s="35">
        <f>SUM(G376:K376)</f>
        <v>5</v>
      </c>
      <c r="M376" s="35">
        <f t="shared" ref="M376:M384" si="103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4</v>
      </c>
      <c r="H377" s="42">
        <v>3</v>
      </c>
      <c r="I377" s="42">
        <v>3</v>
      </c>
      <c r="J377" s="42">
        <v>3</v>
      </c>
      <c r="K377" s="42"/>
      <c r="L377" s="35">
        <f t="shared" ref="L377:L384" si="104">SUM(G377:K377)</f>
        <v>13</v>
      </c>
      <c r="M377" s="35">
        <f t="shared" si="103"/>
        <v>3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8</v>
      </c>
      <c r="H378" s="42">
        <v>6</v>
      </c>
      <c r="I378" s="42">
        <v>10</v>
      </c>
      <c r="J378" s="42">
        <v>6</v>
      </c>
      <c r="K378" s="42"/>
      <c r="L378" s="35">
        <f t="shared" si="104"/>
        <v>30</v>
      </c>
      <c r="M378" s="35">
        <f t="shared" si="103"/>
        <v>8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15</v>
      </c>
      <c r="H379" s="43">
        <v>9</v>
      </c>
      <c r="I379" s="43">
        <v>8</v>
      </c>
      <c r="J379" s="43">
        <v>8</v>
      </c>
      <c r="K379" s="43"/>
      <c r="L379" s="31">
        <f t="shared" si="104"/>
        <v>40</v>
      </c>
      <c r="M379" s="31">
        <f t="shared" si="103"/>
        <v>10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104"/>
        <v>0</v>
      </c>
      <c r="M380" s="35">
        <f t="shared" si="103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104"/>
        <v>0</v>
      </c>
      <c r="M381" s="35">
        <f t="shared" si="103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6</v>
      </c>
      <c r="H382" s="42">
        <v>2</v>
      </c>
      <c r="I382" s="42">
        <v>4</v>
      </c>
      <c r="J382" s="42">
        <v>4</v>
      </c>
      <c r="K382" s="42"/>
      <c r="L382" s="35">
        <f t="shared" si="104"/>
        <v>16</v>
      </c>
      <c r="M382" s="35">
        <f t="shared" si="103"/>
        <v>4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>
        <v>72</v>
      </c>
      <c r="H383" s="42"/>
      <c r="I383" s="42">
        <v>108</v>
      </c>
      <c r="J383" s="42">
        <v>108</v>
      </c>
      <c r="K383" s="42"/>
      <c r="L383" s="35">
        <f t="shared" si="104"/>
        <v>288</v>
      </c>
      <c r="M383" s="35">
        <f t="shared" si="103"/>
        <v>72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104"/>
        <v>0</v>
      </c>
      <c r="M384" s="35">
        <f t="shared" si="103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2024</v>
      </c>
      <c r="H387" s="10">
        <f>+G387</f>
        <v>2024</v>
      </c>
      <c r="I387" s="10">
        <f t="shared" ref="I387:M388" si="105">+H387</f>
        <v>2024</v>
      </c>
      <c r="J387" s="10">
        <f t="shared" si="105"/>
        <v>2024</v>
      </c>
      <c r="K387" s="10">
        <f t="shared" si="105"/>
        <v>2024</v>
      </c>
      <c r="L387" s="10">
        <f t="shared" si="105"/>
        <v>2024</v>
      </c>
      <c r="M387" s="10">
        <f t="shared" si="105"/>
        <v>2024</v>
      </c>
      <c r="N387" s="11"/>
      <c r="P387" s="44"/>
      <c r="S387" s="12" t="str">
        <f>+C387</f>
        <v>Sibovini</v>
      </c>
      <c r="T387" s="13">
        <f>+L391</f>
        <v>251</v>
      </c>
      <c r="U387" s="13">
        <f>+L392+L393</f>
        <v>58</v>
      </c>
      <c r="V387" s="13">
        <f>+L394+L395</f>
        <v>193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July 2024</v>
      </c>
      <c r="D388" s="18"/>
      <c r="E388" s="18"/>
      <c r="F388" s="18"/>
      <c r="G388" s="20" t="str">
        <f>+$G$4</f>
        <v>Jul</v>
      </c>
      <c r="H388" s="20" t="str">
        <f>+G388</f>
        <v>Jul</v>
      </c>
      <c r="I388" s="20" t="str">
        <f t="shared" si="105"/>
        <v>Jul</v>
      </c>
      <c r="J388" s="20" t="str">
        <f t="shared" si="105"/>
        <v>Jul</v>
      </c>
      <c r="K388" s="20" t="str">
        <f t="shared" si="105"/>
        <v>Jul</v>
      </c>
      <c r="L388" s="20" t="str">
        <f t="shared" si="105"/>
        <v>Jul</v>
      </c>
      <c r="M388" s="20" t="str">
        <f t="shared" si="105"/>
        <v>Jul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7</v>
      </c>
      <c r="H389" s="25">
        <f>+$H$5</f>
        <v>14</v>
      </c>
      <c r="I389" s="25">
        <f>+$I$5</f>
        <v>21</v>
      </c>
      <c r="J389" s="25">
        <f>+$J$5</f>
        <v>28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66</v>
      </c>
      <c r="H391" s="31">
        <f t="shared" ref="H391:L391" si="106">SUM(H392:H395)</f>
        <v>61</v>
      </c>
      <c r="I391" s="31">
        <f t="shared" si="106"/>
        <v>62</v>
      </c>
      <c r="J391" s="31">
        <f t="shared" si="106"/>
        <v>62</v>
      </c>
      <c r="K391" s="31">
        <f t="shared" si="106"/>
        <v>0</v>
      </c>
      <c r="L391" s="31">
        <f t="shared" si="106"/>
        <v>251</v>
      </c>
      <c r="M391" s="31">
        <f>ROUND((L391/$E$1),0)</f>
        <v>63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4</v>
      </c>
      <c r="H392" s="42">
        <v>3</v>
      </c>
      <c r="I392" s="42">
        <v>3</v>
      </c>
      <c r="J392" s="42">
        <v>3</v>
      </c>
      <c r="K392" s="42"/>
      <c r="L392" s="35">
        <f>SUM(G392:K392)</f>
        <v>13</v>
      </c>
      <c r="M392" s="35">
        <f t="shared" ref="M392:M400" si="107">ROUND((L392/$E$1),0)</f>
        <v>3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13</v>
      </c>
      <c r="H393" s="42">
        <v>13</v>
      </c>
      <c r="I393" s="42">
        <v>8</v>
      </c>
      <c r="J393" s="42">
        <v>11</v>
      </c>
      <c r="K393" s="42"/>
      <c r="L393" s="35">
        <f t="shared" ref="L393:L400" si="108">SUM(G393:K393)</f>
        <v>45</v>
      </c>
      <c r="M393" s="35">
        <f t="shared" si="107"/>
        <v>11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14</v>
      </c>
      <c r="H394" s="42">
        <v>11</v>
      </c>
      <c r="I394" s="42">
        <v>13</v>
      </c>
      <c r="J394" s="42">
        <v>12</v>
      </c>
      <c r="K394" s="42"/>
      <c r="L394" s="35">
        <f t="shared" si="108"/>
        <v>50</v>
      </c>
      <c r="M394" s="35">
        <f t="shared" si="107"/>
        <v>13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35</v>
      </c>
      <c r="H395" s="43">
        <v>34</v>
      </c>
      <c r="I395" s="43">
        <v>38</v>
      </c>
      <c r="J395" s="43">
        <v>36</v>
      </c>
      <c r="K395" s="43"/>
      <c r="L395" s="31">
        <f t="shared" si="108"/>
        <v>143</v>
      </c>
      <c r="M395" s="31">
        <f t="shared" si="107"/>
        <v>36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8"/>
        <v>0</v>
      </c>
      <c r="M396" s="35">
        <f t="shared" si="107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8"/>
        <v>0</v>
      </c>
      <c r="M397" s="35">
        <f t="shared" si="107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8"/>
        <v>0</v>
      </c>
      <c r="M398" s="35">
        <f t="shared" si="107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8"/>
        <v>0</v>
      </c>
      <c r="M399" s="35">
        <f t="shared" si="107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8"/>
        <v>0</v>
      </c>
      <c r="M400" s="35">
        <f t="shared" si="107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2024</v>
      </c>
      <c r="H403" s="10">
        <f>+G403</f>
        <v>2024</v>
      </c>
      <c r="I403" s="10">
        <f t="shared" ref="I403:M404" si="109">+H403</f>
        <v>2024</v>
      </c>
      <c r="J403" s="10">
        <f t="shared" si="109"/>
        <v>2024</v>
      </c>
      <c r="K403" s="10">
        <f t="shared" si="109"/>
        <v>2024</v>
      </c>
      <c r="L403" s="10">
        <f t="shared" si="109"/>
        <v>2024</v>
      </c>
      <c r="M403" s="10">
        <f t="shared" si="109"/>
        <v>2024</v>
      </c>
      <c r="N403" s="11"/>
      <c r="P403" s="44"/>
      <c r="S403" s="12" t="str">
        <f>+C403</f>
        <v>Nsubani</v>
      </c>
      <c r="T403" s="13">
        <f>+L407</f>
        <v>279</v>
      </c>
      <c r="U403" s="13">
        <f>+L408+L409</f>
        <v>59</v>
      </c>
      <c r="V403" s="13">
        <f>+L410+L411</f>
        <v>220</v>
      </c>
      <c r="W403" s="13">
        <f>+L414</f>
        <v>34</v>
      </c>
      <c r="X403" s="13">
        <f>+L412</f>
        <v>0</v>
      </c>
    </row>
    <row r="404" spans="1:24" x14ac:dyDescent="0.25">
      <c r="A404" s="14"/>
      <c r="B404" s="15"/>
      <c r="C404" s="41" t="str">
        <f>+$C388</f>
        <v>July 2024</v>
      </c>
      <c r="D404" s="18"/>
      <c r="E404" s="18"/>
      <c r="F404" s="18"/>
      <c r="G404" s="20" t="str">
        <f>+$G$4</f>
        <v>Jul</v>
      </c>
      <c r="H404" s="20" t="str">
        <f>+G404</f>
        <v>Jul</v>
      </c>
      <c r="I404" s="20" t="str">
        <f t="shared" si="109"/>
        <v>Jul</v>
      </c>
      <c r="J404" s="20" t="str">
        <f t="shared" si="109"/>
        <v>Jul</v>
      </c>
      <c r="K404" s="20" t="str">
        <f t="shared" si="109"/>
        <v>Jul</v>
      </c>
      <c r="L404" s="20" t="str">
        <f t="shared" si="109"/>
        <v>Jul</v>
      </c>
      <c r="M404" s="20" t="str">
        <f t="shared" si="109"/>
        <v>Jul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7</v>
      </c>
      <c r="H405" s="25">
        <f>+$H$5</f>
        <v>14</v>
      </c>
      <c r="I405" s="25">
        <f>+$I$5</f>
        <v>21</v>
      </c>
      <c r="J405" s="25">
        <f>+$J$5</f>
        <v>28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60</v>
      </c>
      <c r="H407" s="31">
        <f t="shared" ref="H407:L407" si="110">SUM(H408:H411)</f>
        <v>69</v>
      </c>
      <c r="I407" s="31">
        <f t="shared" si="110"/>
        <v>77</v>
      </c>
      <c r="J407" s="31">
        <f t="shared" si="110"/>
        <v>73</v>
      </c>
      <c r="K407" s="31">
        <f t="shared" si="110"/>
        <v>0</v>
      </c>
      <c r="L407" s="31">
        <f t="shared" si="110"/>
        <v>279</v>
      </c>
      <c r="M407" s="31">
        <f>ROUND((L407/$E$1),0)</f>
        <v>70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4</v>
      </c>
      <c r="H408" s="42">
        <v>3</v>
      </c>
      <c r="I408" s="42">
        <v>3</v>
      </c>
      <c r="J408" s="42">
        <v>3</v>
      </c>
      <c r="K408" s="42"/>
      <c r="L408" s="35">
        <f>SUM(G408:K408)</f>
        <v>13</v>
      </c>
      <c r="M408" s="35">
        <f t="shared" ref="M408:M416" si="111">ROUND((L408/$E$1),0)</f>
        <v>3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12</v>
      </c>
      <c r="H409" s="42">
        <v>12</v>
      </c>
      <c r="I409" s="42">
        <v>11</v>
      </c>
      <c r="J409" s="42">
        <v>11</v>
      </c>
      <c r="K409" s="42"/>
      <c r="L409" s="35">
        <f t="shared" ref="L409:L416" si="112">SUM(G409:K409)</f>
        <v>46</v>
      </c>
      <c r="M409" s="35">
        <f t="shared" si="111"/>
        <v>12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15</v>
      </c>
      <c r="H410" s="42">
        <v>16</v>
      </c>
      <c r="I410" s="42">
        <v>21</v>
      </c>
      <c r="J410" s="42">
        <v>23</v>
      </c>
      <c r="K410" s="42"/>
      <c r="L410" s="35">
        <f t="shared" si="112"/>
        <v>75</v>
      </c>
      <c r="M410" s="35">
        <f t="shared" si="111"/>
        <v>19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29</v>
      </c>
      <c r="H411" s="43">
        <v>38</v>
      </c>
      <c r="I411" s="43">
        <v>42</v>
      </c>
      <c r="J411" s="43">
        <v>36</v>
      </c>
      <c r="K411" s="43"/>
      <c r="L411" s="31">
        <f t="shared" si="112"/>
        <v>145</v>
      </c>
      <c r="M411" s="31">
        <f t="shared" si="111"/>
        <v>36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12"/>
        <v>0</v>
      </c>
      <c r="M412" s="35">
        <f t="shared" si="111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12"/>
        <v>0</v>
      </c>
      <c r="M413" s="35">
        <f t="shared" si="111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10</v>
      </c>
      <c r="H414" s="42">
        <v>8</v>
      </c>
      <c r="I414" s="42">
        <v>7</v>
      </c>
      <c r="J414" s="42">
        <v>9</v>
      </c>
      <c r="K414" s="42"/>
      <c r="L414" s="35">
        <f t="shared" si="112"/>
        <v>34</v>
      </c>
      <c r="M414" s="35">
        <f t="shared" si="111"/>
        <v>9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72</v>
      </c>
      <c r="H415" s="42">
        <v>72</v>
      </c>
      <c r="I415" s="42">
        <v>36</v>
      </c>
      <c r="J415" s="42">
        <v>72</v>
      </c>
      <c r="K415" s="42"/>
      <c r="L415" s="35">
        <f t="shared" si="112"/>
        <v>252</v>
      </c>
      <c r="M415" s="35">
        <f t="shared" si="111"/>
        <v>63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12"/>
        <v>0</v>
      </c>
      <c r="M416" s="35">
        <f t="shared" si="111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2024</v>
      </c>
      <c r="H419" s="10">
        <f>+G419</f>
        <v>2024</v>
      </c>
      <c r="I419" s="10">
        <f t="shared" ref="I419:M420" si="113">+H419</f>
        <v>2024</v>
      </c>
      <c r="J419" s="10">
        <f t="shared" si="113"/>
        <v>2024</v>
      </c>
      <c r="K419" s="10">
        <f t="shared" si="113"/>
        <v>2024</v>
      </c>
      <c r="L419" s="10">
        <f t="shared" si="113"/>
        <v>2024</v>
      </c>
      <c r="M419" s="10">
        <f t="shared" si="113"/>
        <v>2024</v>
      </c>
      <c r="N419" s="11"/>
      <c r="P419" s="44"/>
      <c r="S419" s="12" t="str">
        <f>+C419</f>
        <v>Mhlabubovu</v>
      </c>
      <c r="T419" s="13">
        <f>+L423</f>
        <v>165</v>
      </c>
      <c r="U419" s="13">
        <f>+L424+L425</f>
        <v>26</v>
      </c>
      <c r="V419" s="13">
        <f>+L426+L427</f>
        <v>139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July 2024</v>
      </c>
      <c r="D420" s="18"/>
      <c r="E420" s="18"/>
      <c r="F420" s="18"/>
      <c r="G420" s="20" t="str">
        <f>+$G$4</f>
        <v>Jul</v>
      </c>
      <c r="H420" s="20" t="str">
        <f>+G420</f>
        <v>Jul</v>
      </c>
      <c r="I420" s="20" t="str">
        <f t="shared" si="113"/>
        <v>Jul</v>
      </c>
      <c r="J420" s="20" t="str">
        <f t="shared" si="113"/>
        <v>Jul</v>
      </c>
      <c r="K420" s="20" t="str">
        <f t="shared" si="113"/>
        <v>Jul</v>
      </c>
      <c r="L420" s="20" t="str">
        <f t="shared" si="113"/>
        <v>Jul</v>
      </c>
      <c r="M420" s="20" t="str">
        <f t="shared" si="113"/>
        <v>Jul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7</v>
      </c>
      <c r="H421" s="25">
        <f>+$H$5</f>
        <v>14</v>
      </c>
      <c r="I421" s="25">
        <f>+$I$5</f>
        <v>21</v>
      </c>
      <c r="J421" s="25">
        <f>+$J$5</f>
        <v>28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39</v>
      </c>
      <c r="H423" s="31">
        <f t="shared" ref="H423:L423" si="114">SUM(H424:H427)</f>
        <v>44</v>
      </c>
      <c r="I423" s="31">
        <f t="shared" si="114"/>
        <v>37</v>
      </c>
      <c r="J423" s="31">
        <f t="shared" si="114"/>
        <v>45</v>
      </c>
      <c r="K423" s="31">
        <f t="shared" si="114"/>
        <v>0</v>
      </c>
      <c r="L423" s="31">
        <f t="shared" si="114"/>
        <v>165</v>
      </c>
      <c r="M423" s="31">
        <f>ROUND((L423/$E$1),0)</f>
        <v>41</v>
      </c>
      <c r="N423" s="32"/>
      <c r="AA423" s="46"/>
      <c r="AB423" s="46"/>
      <c r="AC423" s="46"/>
      <c r="AD423" s="46"/>
      <c r="AE423" s="46"/>
      <c r="AF423" s="46"/>
      <c r="AG423" s="46"/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/>
      <c r="H424" s="42">
        <v>1</v>
      </c>
      <c r="I424" s="42">
        <v>1</v>
      </c>
      <c r="J424" s="42">
        <v>1</v>
      </c>
      <c r="K424" s="42"/>
      <c r="L424" s="35">
        <f>SUM(G424:K424)</f>
        <v>3</v>
      </c>
      <c r="M424" s="35">
        <f t="shared" ref="M424:M432" si="115">ROUND((L424/$E$1),0)</f>
        <v>1</v>
      </c>
      <c r="N424" s="32"/>
      <c r="AA424" s="46"/>
      <c r="AB424" s="46"/>
      <c r="AC424" s="46"/>
      <c r="AD424" s="46"/>
      <c r="AE424" s="46"/>
      <c r="AF424" s="46"/>
      <c r="AG424" s="46"/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3</v>
      </c>
      <c r="H425" s="42">
        <v>7</v>
      </c>
      <c r="I425" s="42">
        <v>6</v>
      </c>
      <c r="J425" s="42">
        <v>7</v>
      </c>
      <c r="K425" s="42"/>
      <c r="L425" s="35">
        <f t="shared" ref="L425:L432" si="116">SUM(G425:K425)</f>
        <v>23</v>
      </c>
      <c r="M425" s="35">
        <f t="shared" si="115"/>
        <v>6</v>
      </c>
      <c r="N425" s="32"/>
      <c r="AA425" s="46"/>
      <c r="AB425" s="46"/>
      <c r="AC425" s="46"/>
      <c r="AD425" s="46"/>
      <c r="AE425" s="46"/>
      <c r="AF425" s="46"/>
      <c r="AG425" s="46"/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10</v>
      </c>
      <c r="H426" s="42">
        <v>16</v>
      </c>
      <c r="I426" s="42">
        <v>12</v>
      </c>
      <c r="J426" s="42">
        <v>16</v>
      </c>
      <c r="K426" s="42"/>
      <c r="L426" s="35">
        <f t="shared" si="116"/>
        <v>54</v>
      </c>
      <c r="M426" s="35">
        <f t="shared" si="115"/>
        <v>14</v>
      </c>
      <c r="N426" s="32"/>
      <c r="AA426" s="46"/>
      <c r="AB426" s="46"/>
      <c r="AC426" s="46"/>
      <c r="AD426" s="46"/>
      <c r="AE426" s="46"/>
      <c r="AF426" s="46"/>
      <c r="AG426" s="46"/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26</v>
      </c>
      <c r="H427" s="43">
        <v>20</v>
      </c>
      <c r="I427" s="43">
        <v>18</v>
      </c>
      <c r="J427" s="43">
        <v>21</v>
      </c>
      <c r="K427" s="43"/>
      <c r="L427" s="31">
        <f t="shared" si="116"/>
        <v>85</v>
      </c>
      <c r="M427" s="31">
        <f t="shared" si="115"/>
        <v>21</v>
      </c>
      <c r="N427" s="32"/>
      <c r="AA427" s="46"/>
      <c r="AB427" s="46"/>
      <c r="AC427" s="46"/>
      <c r="AD427" s="46"/>
      <c r="AE427" s="46"/>
      <c r="AF427" s="46"/>
      <c r="AG427" s="46"/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16"/>
        <v>0</v>
      </c>
      <c r="M428" s="35">
        <f t="shared" si="115"/>
        <v>0</v>
      </c>
      <c r="N428" s="32"/>
      <c r="AA428" s="46"/>
      <c r="AB428" s="46"/>
      <c r="AC428" s="46"/>
      <c r="AD428" s="46"/>
      <c r="AE428" s="46"/>
      <c r="AF428" s="46"/>
      <c r="AG428" s="46"/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16"/>
        <v>0</v>
      </c>
      <c r="M429" s="35">
        <f t="shared" si="115"/>
        <v>0</v>
      </c>
      <c r="N429" s="32"/>
      <c r="AA429" s="46"/>
      <c r="AB429" s="46"/>
      <c r="AC429" s="46"/>
      <c r="AD429" s="46"/>
      <c r="AE429" s="46"/>
      <c r="AF429" s="46"/>
      <c r="AG429" s="46"/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16"/>
        <v>0</v>
      </c>
      <c r="M430" s="35">
        <f t="shared" si="115"/>
        <v>0</v>
      </c>
      <c r="N430" s="32"/>
      <c r="AA430" s="46"/>
      <c r="AB430" s="46"/>
      <c r="AC430" s="46"/>
      <c r="AD430" s="46"/>
      <c r="AE430" s="46"/>
      <c r="AF430" s="46"/>
      <c r="AG430" s="46"/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16"/>
        <v>0</v>
      </c>
      <c r="M431" s="35">
        <f t="shared" si="115"/>
        <v>0</v>
      </c>
      <c r="N431" s="32"/>
      <c r="AA431" s="46"/>
      <c r="AB431" s="46"/>
      <c r="AC431" s="46"/>
      <c r="AD431" s="46"/>
      <c r="AE431" s="46"/>
      <c r="AF431" s="46"/>
      <c r="AG431" s="46"/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16"/>
        <v>0</v>
      </c>
      <c r="M432" s="35">
        <f t="shared" si="115"/>
        <v>0</v>
      </c>
      <c r="N432" s="32"/>
      <c r="AA432" s="46"/>
      <c r="AB432" s="46"/>
      <c r="AC432" s="46"/>
      <c r="AD432" s="46"/>
      <c r="AE432" s="46"/>
      <c r="AF432" s="46"/>
      <c r="AG432" s="46"/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2024</v>
      </c>
      <c r="H435" s="10">
        <f>+G435</f>
        <v>2024</v>
      </c>
      <c r="I435" s="10">
        <f t="shared" ref="I435:M436" si="117">+H435</f>
        <v>2024</v>
      </c>
      <c r="J435" s="10">
        <f t="shared" si="117"/>
        <v>2024</v>
      </c>
      <c r="K435" s="10">
        <f t="shared" si="117"/>
        <v>2024</v>
      </c>
      <c r="L435" s="10">
        <f t="shared" si="117"/>
        <v>2024</v>
      </c>
      <c r="M435" s="10">
        <f t="shared" si="117"/>
        <v>2024</v>
      </c>
      <c r="N435" s="11"/>
      <c r="S435" s="12" t="str">
        <f>+C435</f>
        <v>Jubukweni</v>
      </c>
      <c r="T435" s="13">
        <f>+L439</f>
        <v>64</v>
      </c>
      <c r="U435" s="13">
        <f>+L440+L441</f>
        <v>19</v>
      </c>
      <c r="V435" s="13">
        <f>+L442+L443</f>
        <v>45</v>
      </c>
      <c r="W435" s="13">
        <f>+L446</f>
        <v>0</v>
      </c>
      <c r="X435" s="13">
        <f>+L444</f>
        <v>0</v>
      </c>
    </row>
    <row r="436" spans="1:24" x14ac:dyDescent="0.25">
      <c r="A436" s="14"/>
      <c r="B436" s="15"/>
      <c r="C436" s="41" t="str">
        <f>+$C420</f>
        <v>July 2024</v>
      </c>
      <c r="D436" s="18"/>
      <c r="E436" s="18"/>
      <c r="F436" s="18"/>
      <c r="G436" s="20" t="str">
        <f>+$G$4</f>
        <v>Jul</v>
      </c>
      <c r="H436" s="20" t="str">
        <f>+G436</f>
        <v>Jul</v>
      </c>
      <c r="I436" s="20" t="str">
        <f t="shared" si="117"/>
        <v>Jul</v>
      </c>
      <c r="J436" s="20" t="str">
        <f t="shared" si="117"/>
        <v>Jul</v>
      </c>
      <c r="K436" s="20" t="str">
        <f t="shared" si="117"/>
        <v>Jul</v>
      </c>
      <c r="L436" s="20" t="str">
        <f t="shared" si="117"/>
        <v>Jul</v>
      </c>
      <c r="M436" s="20" t="str">
        <f t="shared" si="117"/>
        <v>Jul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7</v>
      </c>
      <c r="H437" s="25">
        <f>+$H$5</f>
        <v>14</v>
      </c>
      <c r="I437" s="25">
        <f>+$I$5</f>
        <v>21</v>
      </c>
      <c r="J437" s="25">
        <f>+$J$5</f>
        <v>28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12</v>
      </c>
      <c r="H439" s="31">
        <f t="shared" ref="H439:L439" si="118">SUM(H440:H443)</f>
        <v>16</v>
      </c>
      <c r="I439" s="31">
        <f t="shared" si="118"/>
        <v>22</v>
      </c>
      <c r="J439" s="31">
        <f t="shared" si="118"/>
        <v>14</v>
      </c>
      <c r="K439" s="31">
        <f t="shared" si="118"/>
        <v>0</v>
      </c>
      <c r="L439" s="31">
        <f t="shared" si="118"/>
        <v>64</v>
      </c>
      <c r="M439" s="31">
        <f>ROUND((L439/$E$1),0)</f>
        <v>16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1</v>
      </c>
      <c r="I440" s="42">
        <v>2</v>
      </c>
      <c r="J440" s="42">
        <v>2</v>
      </c>
      <c r="K440" s="42"/>
      <c r="L440" s="35">
        <f>SUM(G440:K440)</f>
        <v>7</v>
      </c>
      <c r="M440" s="35">
        <f t="shared" ref="M440:M448" si="119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0</v>
      </c>
      <c r="H441" s="42">
        <v>5</v>
      </c>
      <c r="I441" s="42">
        <v>5</v>
      </c>
      <c r="J441" s="42">
        <v>2</v>
      </c>
      <c r="K441" s="42"/>
      <c r="L441" s="35">
        <f t="shared" ref="L441:L448" si="120">SUM(G441:K441)</f>
        <v>12</v>
      </c>
      <c r="M441" s="35">
        <f t="shared" si="119"/>
        <v>3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4</v>
      </c>
      <c r="H442" s="42">
        <v>4</v>
      </c>
      <c r="I442" s="42">
        <v>5</v>
      </c>
      <c r="J442" s="42">
        <v>4</v>
      </c>
      <c r="K442" s="42"/>
      <c r="L442" s="35">
        <f t="shared" si="120"/>
        <v>17</v>
      </c>
      <c r="M442" s="35">
        <f t="shared" si="119"/>
        <v>4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6</v>
      </c>
      <c r="H443" s="43">
        <v>6</v>
      </c>
      <c r="I443" s="43">
        <v>10</v>
      </c>
      <c r="J443" s="43">
        <v>6</v>
      </c>
      <c r="K443" s="43"/>
      <c r="L443" s="31">
        <f t="shared" si="120"/>
        <v>28</v>
      </c>
      <c r="M443" s="31">
        <f t="shared" si="119"/>
        <v>7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20"/>
        <v>0</v>
      </c>
      <c r="M444" s="35">
        <f t="shared" si="119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20"/>
        <v>0</v>
      </c>
      <c r="M445" s="35">
        <f t="shared" si="119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/>
      <c r="I446" s="42"/>
      <c r="J446" s="42"/>
      <c r="K446" s="42"/>
      <c r="L446" s="35">
        <f t="shared" si="120"/>
        <v>0</v>
      </c>
      <c r="M446" s="35">
        <f t="shared" si="119"/>
        <v>0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>
        <v>72</v>
      </c>
      <c r="H447" s="42">
        <v>180</v>
      </c>
      <c r="I447" s="42"/>
      <c r="J447" s="42"/>
      <c r="K447" s="42"/>
      <c r="L447" s="35">
        <f t="shared" si="120"/>
        <v>252</v>
      </c>
      <c r="M447" s="35">
        <f t="shared" si="119"/>
        <v>63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20"/>
        <v>0</v>
      </c>
      <c r="M448" s="35">
        <f t="shared" si="119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2024</v>
      </c>
      <c r="H451" s="10">
        <f>+G451</f>
        <v>2024</v>
      </c>
      <c r="I451" s="10">
        <f t="shared" ref="I451:M452" si="121">+H451</f>
        <v>2024</v>
      </c>
      <c r="J451" s="10">
        <f t="shared" si="121"/>
        <v>2024</v>
      </c>
      <c r="K451" s="10">
        <f t="shared" si="121"/>
        <v>2024</v>
      </c>
      <c r="L451" s="10">
        <f t="shared" si="121"/>
        <v>2024</v>
      </c>
      <c r="M451" s="10">
        <f t="shared" si="121"/>
        <v>2024</v>
      </c>
      <c r="N451" s="11"/>
      <c r="S451" s="12" t="str">
        <f>+C451</f>
        <v>Sigangeni</v>
      </c>
      <c r="T451" s="13">
        <f>+L455</f>
        <v>232</v>
      </c>
      <c r="U451" s="13">
        <f>+L456+L457</f>
        <v>56</v>
      </c>
      <c r="V451" s="13">
        <f>+L458+L459</f>
        <v>176</v>
      </c>
      <c r="W451" s="13">
        <f>+L462</f>
        <v>23</v>
      </c>
      <c r="X451" s="13">
        <f>+L460</f>
        <v>0</v>
      </c>
    </row>
    <row r="452" spans="1:24" x14ac:dyDescent="0.25">
      <c r="A452" s="14"/>
      <c r="B452" s="15"/>
      <c r="C452" s="41" t="str">
        <f>+$C436</f>
        <v>July 2024</v>
      </c>
      <c r="D452" s="18"/>
      <c r="E452" s="18"/>
      <c r="F452" s="18"/>
      <c r="G452" s="20" t="str">
        <f>+$G$4</f>
        <v>Jul</v>
      </c>
      <c r="H452" s="20" t="str">
        <f>+G452</f>
        <v>Jul</v>
      </c>
      <c r="I452" s="20" t="str">
        <f t="shared" si="121"/>
        <v>Jul</v>
      </c>
      <c r="J452" s="20" t="str">
        <f t="shared" si="121"/>
        <v>Jul</v>
      </c>
      <c r="K452" s="20" t="str">
        <f t="shared" si="121"/>
        <v>Jul</v>
      </c>
      <c r="L452" s="20" t="str">
        <f t="shared" si="121"/>
        <v>Jul</v>
      </c>
      <c r="M452" s="20" t="str">
        <f t="shared" si="121"/>
        <v>Jul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7</v>
      </c>
      <c r="H453" s="25">
        <f>+$H$5</f>
        <v>14</v>
      </c>
      <c r="I453" s="25">
        <f>+$I$5</f>
        <v>21</v>
      </c>
      <c r="J453" s="25">
        <f>+$J$5</f>
        <v>28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46</v>
      </c>
      <c r="H455" s="31">
        <f t="shared" ref="H455:L455" si="122">SUM(H456:H459)</f>
        <v>51</v>
      </c>
      <c r="I455" s="31">
        <f t="shared" si="122"/>
        <v>60</v>
      </c>
      <c r="J455" s="31">
        <f t="shared" si="122"/>
        <v>75</v>
      </c>
      <c r="K455" s="31">
        <f t="shared" si="122"/>
        <v>0</v>
      </c>
      <c r="L455" s="31">
        <f t="shared" si="122"/>
        <v>232</v>
      </c>
      <c r="M455" s="31">
        <f>ROUND((L455/$E$1),0)</f>
        <v>58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7</v>
      </c>
      <c r="H456" s="42">
        <v>7</v>
      </c>
      <c r="I456" s="42">
        <v>9</v>
      </c>
      <c r="J456" s="42">
        <v>7</v>
      </c>
      <c r="K456" s="42"/>
      <c r="L456" s="35">
        <f>SUM(G456:K456)</f>
        <v>30</v>
      </c>
      <c r="M456" s="35">
        <f t="shared" ref="M456:M464" si="123">ROUND((L456/$E$1),0)</f>
        <v>8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6</v>
      </c>
      <c r="H457" s="42">
        <v>5</v>
      </c>
      <c r="I457" s="42">
        <v>7</v>
      </c>
      <c r="J457" s="42">
        <v>8</v>
      </c>
      <c r="K457" s="42"/>
      <c r="L457" s="35">
        <f t="shared" ref="L457:L464" si="124">SUM(G457:K457)</f>
        <v>26</v>
      </c>
      <c r="M457" s="35">
        <f t="shared" si="123"/>
        <v>7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9</v>
      </c>
      <c r="H458" s="42">
        <v>13</v>
      </c>
      <c r="I458" s="42">
        <v>17</v>
      </c>
      <c r="J458" s="42">
        <v>18</v>
      </c>
      <c r="K458" s="42"/>
      <c r="L458" s="35">
        <f t="shared" si="124"/>
        <v>57</v>
      </c>
      <c r="M458" s="35">
        <f t="shared" si="123"/>
        <v>14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24</v>
      </c>
      <c r="H459" s="43">
        <v>26</v>
      </c>
      <c r="I459" s="43">
        <v>27</v>
      </c>
      <c r="J459" s="43">
        <v>42</v>
      </c>
      <c r="K459" s="43"/>
      <c r="L459" s="31">
        <f t="shared" si="124"/>
        <v>119</v>
      </c>
      <c r="M459" s="31">
        <f t="shared" si="123"/>
        <v>30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24"/>
        <v>0</v>
      </c>
      <c r="M460" s="35">
        <f t="shared" si="123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24"/>
        <v>0</v>
      </c>
      <c r="M461" s="35">
        <f t="shared" si="123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7</v>
      </c>
      <c r="H462" s="42">
        <v>3</v>
      </c>
      <c r="I462" s="42">
        <v>7</v>
      </c>
      <c r="J462" s="42">
        <v>6</v>
      </c>
      <c r="K462" s="42"/>
      <c r="L462" s="35">
        <f t="shared" si="124"/>
        <v>23</v>
      </c>
      <c r="M462" s="35">
        <f t="shared" si="123"/>
        <v>6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24"/>
        <v>0</v>
      </c>
      <c r="M463" s="35">
        <f t="shared" si="123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24"/>
        <v>0</v>
      </c>
      <c r="M464" s="35">
        <f t="shared" si="123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2024</v>
      </c>
      <c r="H467" s="10">
        <f>+G467</f>
        <v>2024</v>
      </c>
      <c r="I467" s="10">
        <f t="shared" ref="I467:M468" si="125">+H467</f>
        <v>2024</v>
      </c>
      <c r="J467" s="10">
        <f t="shared" si="125"/>
        <v>2024</v>
      </c>
      <c r="K467" s="10">
        <f t="shared" si="125"/>
        <v>2024</v>
      </c>
      <c r="L467" s="10">
        <f t="shared" si="125"/>
        <v>2024</v>
      </c>
      <c r="M467" s="10">
        <f t="shared" si="125"/>
        <v>2024</v>
      </c>
      <c r="N467" s="11"/>
      <c r="S467" s="12" t="str">
        <f>+C467</f>
        <v>Sgombeni</v>
      </c>
      <c r="T467" s="13">
        <f>+L471</f>
        <v>400</v>
      </c>
      <c r="U467" s="13">
        <f>+L472+L473</f>
        <v>120</v>
      </c>
      <c r="V467" s="13">
        <f>+L474+L475</f>
        <v>280</v>
      </c>
      <c r="W467" s="13">
        <f>+L478</f>
        <v>35</v>
      </c>
      <c r="X467" s="13">
        <f>+L476</f>
        <v>0</v>
      </c>
    </row>
    <row r="468" spans="1:24" x14ac:dyDescent="0.25">
      <c r="A468" s="14"/>
      <c r="B468" s="15"/>
      <c r="C468" s="41" t="str">
        <f>+$C452</f>
        <v>July 2024</v>
      </c>
      <c r="D468" s="18"/>
      <c r="E468" s="18"/>
      <c r="F468" s="18"/>
      <c r="G468" s="20" t="str">
        <f>+$G$4</f>
        <v>Jul</v>
      </c>
      <c r="H468" s="20" t="str">
        <f>+G468</f>
        <v>Jul</v>
      </c>
      <c r="I468" s="20" t="str">
        <f t="shared" si="125"/>
        <v>Jul</v>
      </c>
      <c r="J468" s="20" t="str">
        <f t="shared" si="125"/>
        <v>Jul</v>
      </c>
      <c r="K468" s="20" t="str">
        <f t="shared" si="125"/>
        <v>Jul</v>
      </c>
      <c r="L468" s="20" t="str">
        <f t="shared" si="125"/>
        <v>Jul</v>
      </c>
      <c r="M468" s="20" t="str">
        <f t="shared" si="125"/>
        <v>Jul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7</v>
      </c>
      <c r="H469" s="25">
        <f>+$H$5</f>
        <v>14</v>
      </c>
      <c r="I469" s="25">
        <f>+$I$5</f>
        <v>21</v>
      </c>
      <c r="J469" s="25">
        <f>+$J$5</f>
        <v>28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167</v>
      </c>
      <c r="H471" s="31">
        <f t="shared" ref="H471:L471" si="126">SUM(H472:H475)</f>
        <v>84</v>
      </c>
      <c r="I471" s="31">
        <f t="shared" si="126"/>
        <v>70</v>
      </c>
      <c r="J471" s="31">
        <f t="shared" si="126"/>
        <v>79</v>
      </c>
      <c r="K471" s="31">
        <f t="shared" si="126"/>
        <v>0</v>
      </c>
      <c r="L471" s="31">
        <f t="shared" si="126"/>
        <v>400</v>
      </c>
      <c r="M471" s="31">
        <f>ROUND((L471/$E$1),0)</f>
        <v>100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20</v>
      </c>
      <c r="H472" s="42">
        <v>11</v>
      </c>
      <c r="I472" s="42">
        <v>7</v>
      </c>
      <c r="J472" s="42">
        <v>7</v>
      </c>
      <c r="K472" s="42"/>
      <c r="L472" s="35">
        <f>SUM(G472:K472)</f>
        <v>45</v>
      </c>
      <c r="M472" s="35">
        <f t="shared" ref="M472:M480" si="127">ROUND((L472/$E$1),0)</f>
        <v>11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28</v>
      </c>
      <c r="H473" s="42">
        <v>16</v>
      </c>
      <c r="I473" s="42">
        <v>15</v>
      </c>
      <c r="J473" s="42">
        <v>16</v>
      </c>
      <c r="K473" s="42"/>
      <c r="L473" s="35">
        <f t="shared" ref="L473:L480" si="128">SUM(G473:K473)</f>
        <v>75</v>
      </c>
      <c r="M473" s="35">
        <f t="shared" si="127"/>
        <v>19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34</v>
      </c>
      <c r="H474" s="42">
        <v>18</v>
      </c>
      <c r="I474" s="42">
        <v>13</v>
      </c>
      <c r="J474" s="42">
        <v>14</v>
      </c>
      <c r="K474" s="42"/>
      <c r="L474" s="35">
        <f t="shared" si="128"/>
        <v>79</v>
      </c>
      <c r="M474" s="35">
        <f t="shared" si="127"/>
        <v>20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85</v>
      </c>
      <c r="H475" s="43">
        <v>39</v>
      </c>
      <c r="I475" s="43">
        <v>35</v>
      </c>
      <c r="J475" s="43">
        <v>42</v>
      </c>
      <c r="K475" s="43"/>
      <c r="L475" s="31">
        <f t="shared" si="128"/>
        <v>201</v>
      </c>
      <c r="M475" s="31">
        <f t="shared" si="127"/>
        <v>50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8"/>
        <v>0</v>
      </c>
      <c r="M476" s="35">
        <f t="shared" si="127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8"/>
        <v>0</v>
      </c>
      <c r="M477" s="35">
        <f t="shared" si="127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10</v>
      </c>
      <c r="H478" s="42">
        <v>15</v>
      </c>
      <c r="I478" s="42">
        <v>5</v>
      </c>
      <c r="J478" s="42">
        <v>5</v>
      </c>
      <c r="K478" s="42"/>
      <c r="L478" s="35">
        <f t="shared" si="128"/>
        <v>35</v>
      </c>
      <c r="M478" s="35">
        <f t="shared" si="127"/>
        <v>9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>
        <v>100</v>
      </c>
      <c r="H479" s="42">
        <v>40</v>
      </c>
      <c r="I479" s="42">
        <v>40</v>
      </c>
      <c r="J479" s="42">
        <v>45</v>
      </c>
      <c r="K479" s="42"/>
      <c r="L479" s="35">
        <f t="shared" si="128"/>
        <v>225</v>
      </c>
      <c r="M479" s="35">
        <f t="shared" si="127"/>
        <v>56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8"/>
        <v>0</v>
      </c>
      <c r="M480" s="35">
        <f t="shared" si="127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2024</v>
      </c>
      <c r="H483" s="10">
        <f>+G483</f>
        <v>2024</v>
      </c>
      <c r="I483" s="10">
        <f t="shared" ref="I483:M484" si="129">+H483</f>
        <v>2024</v>
      </c>
      <c r="J483" s="10">
        <f t="shared" si="129"/>
        <v>2024</v>
      </c>
      <c r="K483" s="10">
        <f t="shared" si="129"/>
        <v>2024</v>
      </c>
      <c r="L483" s="10">
        <f t="shared" si="129"/>
        <v>2024</v>
      </c>
      <c r="M483" s="10">
        <f t="shared" si="129"/>
        <v>2024</v>
      </c>
      <c r="N483" s="11"/>
      <c r="S483" s="12" t="str">
        <f>+C483</f>
        <v>Lushikishini</v>
      </c>
      <c r="T483" s="13">
        <f>+L487</f>
        <v>185</v>
      </c>
      <c r="U483" s="13">
        <f>+L488+L489</f>
        <v>58</v>
      </c>
      <c r="V483" s="13">
        <f>+L490+L491</f>
        <v>127</v>
      </c>
      <c r="W483" s="13">
        <f>+L494</f>
        <v>0</v>
      </c>
      <c r="X483" s="13">
        <f>+L492</f>
        <v>0</v>
      </c>
    </row>
    <row r="484" spans="1:24" x14ac:dyDescent="0.25">
      <c r="A484" s="14"/>
      <c r="B484" s="15"/>
      <c r="C484" s="41" t="str">
        <f>+$C468</f>
        <v>July 2024</v>
      </c>
      <c r="D484" s="18"/>
      <c r="E484" s="18"/>
      <c r="F484" s="18"/>
      <c r="G484" s="20" t="str">
        <f>+$G$4</f>
        <v>Jul</v>
      </c>
      <c r="H484" s="20" t="str">
        <f>+G484</f>
        <v>Jul</v>
      </c>
      <c r="I484" s="20" t="str">
        <f t="shared" si="129"/>
        <v>Jul</v>
      </c>
      <c r="J484" s="20" t="str">
        <f t="shared" si="129"/>
        <v>Jul</v>
      </c>
      <c r="K484" s="20" t="str">
        <f t="shared" si="129"/>
        <v>Jul</v>
      </c>
      <c r="L484" s="20" t="str">
        <f t="shared" si="129"/>
        <v>Jul</v>
      </c>
      <c r="M484" s="20" t="str">
        <f t="shared" si="129"/>
        <v>Jul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7</v>
      </c>
      <c r="H485" s="25">
        <f>+$H$5</f>
        <v>14</v>
      </c>
      <c r="I485" s="25">
        <f>+$I$5</f>
        <v>21</v>
      </c>
      <c r="J485" s="25">
        <f>+$J$5</f>
        <v>28</v>
      </c>
      <c r="K485" s="25">
        <f>+$K$5</f>
        <v>0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46</v>
      </c>
      <c r="H487" s="31">
        <f t="shared" ref="H487:L487" si="130">SUM(H488:H491)</f>
        <v>46</v>
      </c>
      <c r="I487" s="31">
        <f t="shared" si="130"/>
        <v>50</v>
      </c>
      <c r="J487" s="31">
        <f t="shared" si="130"/>
        <v>43</v>
      </c>
      <c r="K487" s="31">
        <f t="shared" si="130"/>
        <v>0</v>
      </c>
      <c r="L487" s="31">
        <f t="shared" si="130"/>
        <v>185</v>
      </c>
      <c r="M487" s="31">
        <f>ROUND((L487/$E$1),0)</f>
        <v>46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2</v>
      </c>
      <c r="H488" s="42">
        <v>3</v>
      </c>
      <c r="I488" s="42">
        <v>2</v>
      </c>
      <c r="J488" s="42">
        <v>3</v>
      </c>
      <c r="K488" s="42"/>
      <c r="L488" s="35">
        <f>SUM(G488:K488)</f>
        <v>10</v>
      </c>
      <c r="M488" s="35">
        <f t="shared" ref="M488:M496" si="131">ROUND((L488/$E$1),0)</f>
        <v>3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10</v>
      </c>
      <c r="H489" s="42">
        <v>11</v>
      </c>
      <c r="I489" s="42">
        <v>16</v>
      </c>
      <c r="J489" s="42">
        <v>11</v>
      </c>
      <c r="K489" s="42"/>
      <c r="L489" s="35">
        <f t="shared" ref="L489:L496" si="132">SUM(G489:K489)</f>
        <v>48</v>
      </c>
      <c r="M489" s="35">
        <f t="shared" si="131"/>
        <v>12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11</v>
      </c>
      <c r="H490" s="42">
        <v>8</v>
      </c>
      <c r="I490" s="42">
        <v>11</v>
      </c>
      <c r="J490" s="42">
        <v>11</v>
      </c>
      <c r="K490" s="42"/>
      <c r="L490" s="35">
        <f t="shared" si="132"/>
        <v>41</v>
      </c>
      <c r="M490" s="35">
        <f t="shared" si="131"/>
        <v>10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23</v>
      </c>
      <c r="H491" s="43">
        <v>24</v>
      </c>
      <c r="I491" s="43">
        <v>21</v>
      </c>
      <c r="J491" s="43">
        <v>18</v>
      </c>
      <c r="K491" s="43"/>
      <c r="L491" s="31">
        <f t="shared" si="132"/>
        <v>86</v>
      </c>
      <c r="M491" s="31">
        <f t="shared" si="131"/>
        <v>22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/>
      <c r="J492" s="42"/>
      <c r="K492" s="42"/>
      <c r="L492" s="35">
        <f t="shared" si="132"/>
        <v>0</v>
      </c>
      <c r="M492" s="35">
        <f t="shared" si="131"/>
        <v>0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32"/>
        <v>0</v>
      </c>
      <c r="M493" s="35">
        <f t="shared" si="131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/>
      <c r="I494" s="42"/>
      <c r="J494" s="42"/>
      <c r="K494" s="42"/>
      <c r="L494" s="35">
        <f t="shared" si="132"/>
        <v>0</v>
      </c>
      <c r="M494" s="35">
        <f t="shared" si="131"/>
        <v>0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>
        <v>36</v>
      </c>
      <c r="H495" s="42">
        <v>612</v>
      </c>
      <c r="I495" s="42"/>
      <c r="J495" s="42"/>
      <c r="K495" s="42"/>
      <c r="L495" s="35">
        <f t="shared" si="132"/>
        <v>648</v>
      </c>
      <c r="M495" s="35">
        <f t="shared" si="131"/>
        <v>162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32"/>
        <v>0</v>
      </c>
      <c r="M496" s="35">
        <f t="shared" si="131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2024</v>
      </c>
      <c r="H499" s="10">
        <f>+G499</f>
        <v>2024</v>
      </c>
      <c r="I499" s="10">
        <f t="shared" ref="I499:M500" si="133">+H499</f>
        <v>2024</v>
      </c>
      <c r="J499" s="10">
        <f t="shared" si="133"/>
        <v>2024</v>
      </c>
      <c r="K499" s="10">
        <f t="shared" si="133"/>
        <v>2024</v>
      </c>
      <c r="L499" s="10">
        <f t="shared" si="133"/>
        <v>2024</v>
      </c>
      <c r="M499" s="10">
        <f t="shared" si="133"/>
        <v>2024</v>
      </c>
      <c r="N499" s="11"/>
      <c r="S499" s="12" t="str">
        <f>+C499</f>
        <v>Sigengeni (Shiselweni)</v>
      </c>
      <c r="T499" s="13">
        <f>+L503</f>
        <v>409</v>
      </c>
      <c r="U499" s="13">
        <f>+L504+L505</f>
        <v>51</v>
      </c>
      <c r="V499" s="13">
        <f>+L506+L507</f>
        <v>358</v>
      </c>
      <c r="W499" s="13">
        <f>+L510</f>
        <v>7</v>
      </c>
      <c r="X499" s="13">
        <f>+L508</f>
        <v>0</v>
      </c>
    </row>
    <row r="500" spans="1:24" x14ac:dyDescent="0.25">
      <c r="A500" s="14"/>
      <c r="B500" s="15"/>
      <c r="C500" s="41" t="str">
        <f>+$C484</f>
        <v>July 2024</v>
      </c>
      <c r="D500" s="18"/>
      <c r="E500" s="18"/>
      <c r="F500" s="18"/>
      <c r="G500" s="20" t="str">
        <f>+$G$4</f>
        <v>Jul</v>
      </c>
      <c r="H500" s="20" t="str">
        <f>+G500</f>
        <v>Jul</v>
      </c>
      <c r="I500" s="20" t="str">
        <f t="shared" si="133"/>
        <v>Jul</v>
      </c>
      <c r="J500" s="20" t="str">
        <f t="shared" si="133"/>
        <v>Jul</v>
      </c>
      <c r="K500" s="20" t="str">
        <f t="shared" si="133"/>
        <v>Jul</v>
      </c>
      <c r="L500" s="20" t="str">
        <f t="shared" si="133"/>
        <v>Jul</v>
      </c>
      <c r="M500" s="20" t="str">
        <f t="shared" si="133"/>
        <v>Jul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7</v>
      </c>
      <c r="H501" s="25">
        <f>+$H$5</f>
        <v>14</v>
      </c>
      <c r="I501" s="25">
        <f>+$I$5</f>
        <v>21</v>
      </c>
      <c r="J501" s="25">
        <f>+$J$5</f>
        <v>28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131</v>
      </c>
      <c r="H503" s="31">
        <f t="shared" ref="H503:L503" si="134">SUM(H504:H507)</f>
        <v>110</v>
      </c>
      <c r="I503" s="31">
        <f t="shared" si="134"/>
        <v>88</v>
      </c>
      <c r="J503" s="31">
        <f t="shared" si="134"/>
        <v>80</v>
      </c>
      <c r="K503" s="31">
        <f t="shared" si="134"/>
        <v>0</v>
      </c>
      <c r="L503" s="31">
        <f t="shared" si="134"/>
        <v>409</v>
      </c>
      <c r="M503" s="31">
        <f>ROUND((L503/$E$1),0)</f>
        <v>102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3</v>
      </c>
      <c r="H504" s="42">
        <v>3</v>
      </c>
      <c r="I504" s="42">
        <v>3</v>
      </c>
      <c r="J504" s="42">
        <v>3</v>
      </c>
      <c r="K504" s="42"/>
      <c r="L504" s="35">
        <f>SUM(G504:K504)</f>
        <v>12</v>
      </c>
      <c r="M504" s="35">
        <f t="shared" ref="M504:M512" si="135">ROUND((L504/$E$1),0)</f>
        <v>3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14</v>
      </c>
      <c r="H505" s="42">
        <v>10</v>
      </c>
      <c r="I505" s="42">
        <v>7</v>
      </c>
      <c r="J505" s="42">
        <v>8</v>
      </c>
      <c r="K505" s="42"/>
      <c r="L505" s="35">
        <f t="shared" ref="L505:L512" si="136">SUM(G505:K505)</f>
        <v>39</v>
      </c>
      <c r="M505" s="35">
        <f t="shared" si="135"/>
        <v>10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24</v>
      </c>
      <c r="H506" s="42">
        <v>19</v>
      </c>
      <c r="I506" s="42">
        <v>16</v>
      </c>
      <c r="J506" s="42">
        <v>13</v>
      </c>
      <c r="K506" s="42"/>
      <c r="L506" s="35">
        <f t="shared" si="136"/>
        <v>72</v>
      </c>
      <c r="M506" s="35">
        <f t="shared" si="135"/>
        <v>18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90</v>
      </c>
      <c r="H507" s="43">
        <v>78</v>
      </c>
      <c r="I507" s="43">
        <v>62</v>
      </c>
      <c r="J507" s="43">
        <v>56</v>
      </c>
      <c r="K507" s="43"/>
      <c r="L507" s="31">
        <f t="shared" si="136"/>
        <v>286</v>
      </c>
      <c r="M507" s="31">
        <f t="shared" si="135"/>
        <v>72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/>
      <c r="I508" s="42"/>
      <c r="J508" s="42"/>
      <c r="K508" s="42"/>
      <c r="L508" s="35">
        <f t="shared" si="136"/>
        <v>0</v>
      </c>
      <c r="M508" s="35">
        <f t="shared" si="135"/>
        <v>0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36"/>
        <v>0</v>
      </c>
      <c r="M509" s="35">
        <f t="shared" si="135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1</v>
      </c>
      <c r="H510" s="42">
        <v>3</v>
      </c>
      <c r="I510" s="42">
        <v>1</v>
      </c>
      <c r="J510" s="42">
        <v>2</v>
      </c>
      <c r="K510" s="42"/>
      <c r="L510" s="35">
        <f t="shared" si="136"/>
        <v>7</v>
      </c>
      <c r="M510" s="35">
        <f t="shared" si="135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144</v>
      </c>
      <c r="H511" s="42">
        <v>360</v>
      </c>
      <c r="I511" s="42">
        <v>144</v>
      </c>
      <c r="J511" s="42">
        <v>36</v>
      </c>
      <c r="K511" s="42"/>
      <c r="L511" s="35">
        <f t="shared" si="136"/>
        <v>684</v>
      </c>
      <c r="M511" s="35">
        <f t="shared" si="135"/>
        <v>171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>
        <v>40</v>
      </c>
      <c r="H512" s="42">
        <v>40</v>
      </c>
      <c r="I512" s="42"/>
      <c r="J512" s="42"/>
      <c r="K512" s="42"/>
      <c r="L512" s="35">
        <f t="shared" si="136"/>
        <v>80</v>
      </c>
      <c r="M512" s="35">
        <f t="shared" si="135"/>
        <v>20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2024</v>
      </c>
      <c r="H515" s="10">
        <f>+G515</f>
        <v>2024</v>
      </c>
      <c r="I515" s="10">
        <f t="shared" ref="I515:M516" si="137">+H515</f>
        <v>2024</v>
      </c>
      <c r="J515" s="10">
        <f t="shared" si="137"/>
        <v>2024</v>
      </c>
      <c r="K515" s="10">
        <f t="shared" si="137"/>
        <v>2024</v>
      </c>
      <c r="L515" s="10">
        <f t="shared" si="137"/>
        <v>2024</v>
      </c>
      <c r="M515" s="10">
        <f t="shared" si="137"/>
        <v>2024</v>
      </c>
      <c r="N515" s="11"/>
      <c r="S515" s="12" t="str">
        <f>+C515</f>
        <v>Gundviwini</v>
      </c>
      <c r="T515" s="13">
        <f>+L519</f>
        <v>156</v>
      </c>
      <c r="U515" s="13">
        <f>+L520+L521</f>
        <v>49</v>
      </c>
      <c r="V515" s="13">
        <f>+L522+L523</f>
        <v>107</v>
      </c>
      <c r="W515" s="13">
        <f>+L526</f>
        <v>0</v>
      </c>
      <c r="X515" s="13">
        <f>+L524</f>
        <v>0</v>
      </c>
    </row>
    <row r="516" spans="1:24" x14ac:dyDescent="0.25">
      <c r="A516" s="14"/>
      <c r="B516" s="15"/>
      <c r="C516" s="41" t="str">
        <f>+$C500</f>
        <v>July 2024</v>
      </c>
      <c r="D516" s="18"/>
      <c r="E516" s="18"/>
      <c r="F516" s="18"/>
      <c r="G516" s="20" t="str">
        <f>+$G$4</f>
        <v>Jul</v>
      </c>
      <c r="H516" s="20" t="str">
        <f>+G516</f>
        <v>Jul</v>
      </c>
      <c r="I516" s="20" t="str">
        <f t="shared" si="137"/>
        <v>Jul</v>
      </c>
      <c r="J516" s="20" t="str">
        <f t="shared" si="137"/>
        <v>Jul</v>
      </c>
      <c r="K516" s="20" t="str">
        <f t="shared" si="137"/>
        <v>Jul</v>
      </c>
      <c r="L516" s="20" t="str">
        <f t="shared" si="137"/>
        <v>Jul</v>
      </c>
      <c r="M516" s="20" t="str">
        <f t="shared" si="137"/>
        <v>Jul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7</v>
      </c>
      <c r="H517" s="25">
        <f>+$H$5</f>
        <v>14</v>
      </c>
      <c r="I517" s="25">
        <f>+$I$5</f>
        <v>21</v>
      </c>
      <c r="J517" s="25">
        <f>+$J$5</f>
        <v>28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33</v>
      </c>
      <c r="H519" s="31">
        <f t="shared" ref="H519:L519" si="138">SUM(H520:H523)</f>
        <v>39</v>
      </c>
      <c r="I519" s="31">
        <f t="shared" si="138"/>
        <v>45</v>
      </c>
      <c r="J519" s="31">
        <f t="shared" si="138"/>
        <v>39</v>
      </c>
      <c r="K519" s="31">
        <f t="shared" si="138"/>
        <v>0</v>
      </c>
      <c r="L519" s="31">
        <f t="shared" si="138"/>
        <v>156</v>
      </c>
      <c r="M519" s="31">
        <f>ROUND((L519/$E$1),0)</f>
        <v>39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5</v>
      </c>
      <c r="H520" s="42">
        <v>5</v>
      </c>
      <c r="I520" s="42">
        <v>5</v>
      </c>
      <c r="J520" s="42">
        <v>4</v>
      </c>
      <c r="K520" s="42"/>
      <c r="L520" s="35">
        <f>SUM(G520:K520)</f>
        <v>19</v>
      </c>
      <c r="M520" s="35">
        <f t="shared" ref="M520:M528" si="139">ROUND((L520/$E$1),0)</f>
        <v>5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7</v>
      </c>
      <c r="H521" s="42">
        <v>8</v>
      </c>
      <c r="I521" s="42">
        <v>9</v>
      </c>
      <c r="J521" s="42">
        <v>6</v>
      </c>
      <c r="K521" s="42"/>
      <c r="L521" s="35">
        <f t="shared" ref="L521:L528" si="140">SUM(G521:K521)</f>
        <v>30</v>
      </c>
      <c r="M521" s="35">
        <f t="shared" si="139"/>
        <v>8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6</v>
      </c>
      <c r="H522" s="42">
        <v>8</v>
      </c>
      <c r="I522" s="42">
        <v>11</v>
      </c>
      <c r="J522" s="42">
        <v>9</v>
      </c>
      <c r="K522" s="42"/>
      <c r="L522" s="35">
        <f t="shared" si="140"/>
        <v>34</v>
      </c>
      <c r="M522" s="35">
        <f t="shared" si="139"/>
        <v>9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15</v>
      </c>
      <c r="H523" s="43">
        <v>18</v>
      </c>
      <c r="I523" s="43">
        <v>20</v>
      </c>
      <c r="J523" s="43">
        <v>20</v>
      </c>
      <c r="K523" s="43"/>
      <c r="L523" s="31">
        <f t="shared" si="140"/>
        <v>73</v>
      </c>
      <c r="M523" s="31">
        <f t="shared" si="139"/>
        <v>18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/>
      <c r="I524" s="42"/>
      <c r="J524" s="42"/>
      <c r="K524" s="42"/>
      <c r="L524" s="35">
        <f t="shared" si="140"/>
        <v>0</v>
      </c>
      <c r="M524" s="35">
        <f t="shared" si="139"/>
        <v>0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40"/>
        <v>0</v>
      </c>
      <c r="M525" s="35">
        <f t="shared" si="139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/>
      <c r="I526" s="42"/>
      <c r="J526" s="42"/>
      <c r="K526" s="42"/>
      <c r="L526" s="35">
        <f t="shared" si="140"/>
        <v>0</v>
      </c>
      <c r="M526" s="35">
        <f t="shared" si="139"/>
        <v>0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40"/>
        <v>0</v>
      </c>
      <c r="M527" s="35">
        <f t="shared" si="139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40"/>
        <v>0</v>
      </c>
      <c r="M528" s="35">
        <f t="shared" si="139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2024</v>
      </c>
      <c r="H531" s="10">
        <f>+G531</f>
        <v>2024</v>
      </c>
      <c r="I531" s="10">
        <f t="shared" ref="I531:M532" si="141">+H531</f>
        <v>2024</v>
      </c>
      <c r="J531" s="10">
        <f t="shared" si="141"/>
        <v>2024</v>
      </c>
      <c r="K531" s="10">
        <f t="shared" si="141"/>
        <v>2024</v>
      </c>
      <c r="L531" s="10">
        <f t="shared" si="141"/>
        <v>2024</v>
      </c>
      <c r="M531" s="10">
        <f t="shared" si="141"/>
        <v>2024</v>
      </c>
      <c r="N531" s="11"/>
      <c r="P531" s="44"/>
      <c r="S531" s="12" t="str">
        <f>+C531</f>
        <v>Mcuba</v>
      </c>
      <c r="T531" s="13">
        <f>+L535</f>
        <v>273</v>
      </c>
      <c r="U531" s="13">
        <f>+L536+L537</f>
        <v>67</v>
      </c>
      <c r="V531" s="13">
        <f>+L538+L539</f>
        <v>206</v>
      </c>
      <c r="W531" s="13">
        <f>+L542</f>
        <v>8</v>
      </c>
      <c r="X531" s="13">
        <f>+L540</f>
        <v>0</v>
      </c>
    </row>
    <row r="532" spans="1:24" x14ac:dyDescent="0.25">
      <c r="A532" s="14"/>
      <c r="B532" s="15"/>
      <c r="C532" s="41" t="str">
        <f>+$C516</f>
        <v>July 2024</v>
      </c>
      <c r="D532" s="18"/>
      <c r="E532" s="18"/>
      <c r="F532" s="18"/>
      <c r="G532" s="20" t="str">
        <f>+$G$4</f>
        <v>Jul</v>
      </c>
      <c r="H532" s="20" t="str">
        <f>+G532</f>
        <v>Jul</v>
      </c>
      <c r="I532" s="20" t="str">
        <f t="shared" si="141"/>
        <v>Jul</v>
      </c>
      <c r="J532" s="20" t="str">
        <f t="shared" si="141"/>
        <v>Jul</v>
      </c>
      <c r="K532" s="20" t="str">
        <f t="shared" si="141"/>
        <v>Jul</v>
      </c>
      <c r="L532" s="20" t="str">
        <f t="shared" si="141"/>
        <v>Jul</v>
      </c>
      <c r="M532" s="20" t="str">
        <f t="shared" si="141"/>
        <v>Jul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7</v>
      </c>
      <c r="H533" s="25">
        <f>+$H$5</f>
        <v>14</v>
      </c>
      <c r="I533" s="25">
        <f>+$I$5</f>
        <v>21</v>
      </c>
      <c r="J533" s="25">
        <f>+$J$5</f>
        <v>28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82</v>
      </c>
      <c r="H535" s="31">
        <f t="shared" ref="H535:L535" si="142">SUM(H536:H539)</f>
        <v>59</v>
      </c>
      <c r="I535" s="31">
        <f t="shared" si="142"/>
        <v>82</v>
      </c>
      <c r="J535" s="31">
        <f t="shared" si="142"/>
        <v>50</v>
      </c>
      <c r="K535" s="31">
        <f t="shared" si="142"/>
        <v>0</v>
      </c>
      <c r="L535" s="31">
        <f t="shared" si="142"/>
        <v>273</v>
      </c>
      <c r="M535" s="31">
        <f>ROUND((L535/$E$1),0)</f>
        <v>68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4</v>
      </c>
      <c r="H536" s="42">
        <v>5</v>
      </c>
      <c r="I536" s="42">
        <v>5</v>
      </c>
      <c r="J536" s="42">
        <v>1</v>
      </c>
      <c r="K536" s="42"/>
      <c r="L536" s="35">
        <f>SUM(G536:K536)</f>
        <v>15</v>
      </c>
      <c r="M536" s="35">
        <f t="shared" ref="M536:M544" si="143">ROUND((L536/$E$1),0)</f>
        <v>4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18</v>
      </c>
      <c r="H537" s="42">
        <v>12</v>
      </c>
      <c r="I537" s="42">
        <v>16</v>
      </c>
      <c r="J537" s="42">
        <v>6</v>
      </c>
      <c r="K537" s="42"/>
      <c r="L537" s="35">
        <f t="shared" ref="L537:L544" si="144">SUM(G537:K537)</f>
        <v>52</v>
      </c>
      <c r="M537" s="35">
        <f t="shared" si="143"/>
        <v>13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22</v>
      </c>
      <c r="H538" s="42">
        <v>16</v>
      </c>
      <c r="I538" s="42">
        <v>23</v>
      </c>
      <c r="J538" s="42">
        <v>16</v>
      </c>
      <c r="K538" s="42"/>
      <c r="L538" s="35">
        <f t="shared" si="144"/>
        <v>77</v>
      </c>
      <c r="M538" s="35">
        <f t="shared" si="143"/>
        <v>19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38</v>
      </c>
      <c r="H539" s="43">
        <v>26</v>
      </c>
      <c r="I539" s="43">
        <v>38</v>
      </c>
      <c r="J539" s="43">
        <v>27</v>
      </c>
      <c r="K539" s="43"/>
      <c r="L539" s="31">
        <f t="shared" si="144"/>
        <v>129</v>
      </c>
      <c r="M539" s="31">
        <f t="shared" si="143"/>
        <v>32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44"/>
        <v>0</v>
      </c>
      <c r="M540" s="35">
        <f t="shared" si="143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44"/>
        <v>0</v>
      </c>
      <c r="M541" s="35">
        <f t="shared" si="143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>
        <v>3</v>
      </c>
      <c r="H542" s="42">
        <v>3</v>
      </c>
      <c r="I542" s="42"/>
      <c r="J542" s="42">
        <v>2</v>
      </c>
      <c r="K542" s="42"/>
      <c r="L542" s="35">
        <f t="shared" si="144"/>
        <v>8</v>
      </c>
      <c r="M542" s="35">
        <f t="shared" si="143"/>
        <v>2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>
        <v>66</v>
      </c>
      <c r="H543" s="42">
        <v>216</v>
      </c>
      <c r="I543" s="42"/>
      <c r="J543" s="42">
        <v>72</v>
      </c>
      <c r="K543" s="42"/>
      <c r="L543" s="35">
        <f t="shared" si="144"/>
        <v>354</v>
      </c>
      <c r="M543" s="35">
        <f t="shared" si="143"/>
        <v>89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44"/>
        <v>0</v>
      </c>
      <c r="M544" s="35">
        <f t="shared" si="143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2024</v>
      </c>
      <c r="H547" s="10">
        <f>+G547</f>
        <v>2024</v>
      </c>
      <c r="I547" s="10">
        <f t="shared" ref="I547:M548" si="145">+H547</f>
        <v>2024</v>
      </c>
      <c r="J547" s="10">
        <f t="shared" si="145"/>
        <v>2024</v>
      </c>
      <c r="K547" s="10">
        <f t="shared" si="145"/>
        <v>2024</v>
      </c>
      <c r="L547" s="10">
        <f t="shared" si="145"/>
        <v>2024</v>
      </c>
      <c r="M547" s="10">
        <f t="shared" si="145"/>
        <v>2024</v>
      </c>
      <c r="N547" s="11"/>
      <c r="P547" s="44"/>
      <c r="S547" s="12" t="str">
        <f>+C547</f>
        <v>Phonjwane</v>
      </c>
      <c r="T547" s="13">
        <f>+L551</f>
        <v>472</v>
      </c>
      <c r="U547" s="13">
        <f>+L552+L553</f>
        <v>90</v>
      </c>
      <c r="V547" s="13">
        <f>+L554+L555</f>
        <v>382</v>
      </c>
      <c r="W547" s="13">
        <f>+L558</f>
        <v>13</v>
      </c>
      <c r="X547" s="13">
        <f>+L556</f>
        <v>4</v>
      </c>
    </row>
    <row r="548" spans="1:24" x14ac:dyDescent="0.25">
      <c r="A548" s="14"/>
      <c r="B548" s="15"/>
      <c r="C548" s="41" t="str">
        <f>+$C532</f>
        <v>July 2024</v>
      </c>
      <c r="D548" s="18"/>
      <c r="E548" s="18"/>
      <c r="F548" s="18"/>
      <c r="G548" s="20" t="str">
        <f>+$G$4</f>
        <v>Jul</v>
      </c>
      <c r="H548" s="20" t="str">
        <f>+G548</f>
        <v>Jul</v>
      </c>
      <c r="I548" s="20" t="str">
        <f t="shared" si="145"/>
        <v>Jul</v>
      </c>
      <c r="J548" s="20" t="str">
        <f t="shared" si="145"/>
        <v>Jul</v>
      </c>
      <c r="K548" s="20" t="str">
        <f t="shared" si="145"/>
        <v>Jul</v>
      </c>
      <c r="L548" s="20" t="str">
        <f t="shared" si="145"/>
        <v>Jul</v>
      </c>
      <c r="M548" s="20" t="str">
        <f t="shared" si="145"/>
        <v>Jul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7</v>
      </c>
      <c r="H549" s="25">
        <f>+$H$5</f>
        <v>14</v>
      </c>
      <c r="I549" s="25">
        <f>+$I$5</f>
        <v>21</v>
      </c>
      <c r="J549" s="25">
        <f>+$J$5</f>
        <v>28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149</v>
      </c>
      <c r="H551" s="31">
        <f t="shared" ref="H551:L551" si="146">SUM(H552:H555)</f>
        <v>106</v>
      </c>
      <c r="I551" s="31">
        <f t="shared" si="146"/>
        <v>121</v>
      </c>
      <c r="J551" s="31">
        <f t="shared" si="146"/>
        <v>96</v>
      </c>
      <c r="K551" s="31">
        <f t="shared" si="146"/>
        <v>0</v>
      </c>
      <c r="L551" s="31">
        <f t="shared" si="146"/>
        <v>472</v>
      </c>
      <c r="M551" s="31">
        <f>ROUND((L551/$E$1),0)</f>
        <v>118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9</v>
      </c>
      <c r="H552" s="42">
        <v>5</v>
      </c>
      <c r="I552" s="42">
        <v>5</v>
      </c>
      <c r="J552" s="42">
        <v>5</v>
      </c>
      <c r="K552" s="42"/>
      <c r="L552" s="35">
        <f>SUM(G552:K552)</f>
        <v>24</v>
      </c>
      <c r="M552" s="35">
        <f t="shared" ref="M552:M560" si="147">ROUND((L552/$E$1),0)</f>
        <v>6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23</v>
      </c>
      <c r="H553" s="42">
        <v>16</v>
      </c>
      <c r="I553" s="42">
        <v>15</v>
      </c>
      <c r="J553" s="42">
        <v>12</v>
      </c>
      <c r="K553" s="42"/>
      <c r="L553" s="35">
        <f t="shared" ref="L553:L560" si="148">SUM(G553:K553)</f>
        <v>66</v>
      </c>
      <c r="M553" s="35">
        <f t="shared" si="147"/>
        <v>17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19</v>
      </c>
      <c r="H554" s="42">
        <v>20</v>
      </c>
      <c r="I554" s="42">
        <v>26</v>
      </c>
      <c r="J554" s="42">
        <v>21</v>
      </c>
      <c r="K554" s="42"/>
      <c r="L554" s="35">
        <f t="shared" si="148"/>
        <v>86</v>
      </c>
      <c r="M554" s="35">
        <f t="shared" si="147"/>
        <v>22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98</v>
      </c>
      <c r="H555" s="43">
        <v>65</v>
      </c>
      <c r="I555" s="43">
        <v>75</v>
      </c>
      <c r="J555" s="43">
        <v>58</v>
      </c>
      <c r="K555" s="43"/>
      <c r="L555" s="31">
        <f t="shared" si="148"/>
        <v>296</v>
      </c>
      <c r="M555" s="31">
        <f t="shared" si="147"/>
        <v>74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>
        <v>4</v>
      </c>
      <c r="H556" s="42"/>
      <c r="I556" s="42"/>
      <c r="J556" s="42"/>
      <c r="K556" s="42"/>
      <c r="L556" s="35">
        <f t="shared" si="148"/>
        <v>4</v>
      </c>
      <c r="M556" s="35">
        <f t="shared" si="147"/>
        <v>1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8"/>
        <v>0</v>
      </c>
      <c r="M557" s="35">
        <f t="shared" si="147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3</v>
      </c>
      <c r="H558" s="42">
        <v>2</v>
      </c>
      <c r="I558" s="42">
        <v>3</v>
      </c>
      <c r="J558" s="42">
        <v>5</v>
      </c>
      <c r="K558" s="42"/>
      <c r="L558" s="35">
        <f t="shared" si="148"/>
        <v>13</v>
      </c>
      <c r="M558" s="35">
        <f t="shared" si="147"/>
        <v>3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8"/>
        <v>0</v>
      </c>
      <c r="M559" s="35">
        <f t="shared" si="147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8"/>
        <v>0</v>
      </c>
      <c r="M560" s="35">
        <f t="shared" si="147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2024</v>
      </c>
      <c r="H563" s="10">
        <f>+G563</f>
        <v>2024</v>
      </c>
      <c r="I563" s="10">
        <f t="shared" ref="I563:M564" si="149">+H563</f>
        <v>2024</v>
      </c>
      <c r="J563" s="10">
        <f t="shared" si="149"/>
        <v>2024</v>
      </c>
      <c r="K563" s="10">
        <f t="shared" si="149"/>
        <v>2024</v>
      </c>
      <c r="L563" s="10">
        <f t="shared" si="149"/>
        <v>2024</v>
      </c>
      <c r="M563" s="10">
        <f t="shared" si="149"/>
        <v>2024</v>
      </c>
      <c r="N563" s="11"/>
      <c r="P563" s="44"/>
      <c r="S563" s="12" t="str">
        <f>+C563</f>
        <v>Njakeni</v>
      </c>
      <c r="T563" s="13">
        <f>+L567</f>
        <v>165</v>
      </c>
      <c r="U563" s="13">
        <f>+L568+L569</f>
        <v>46</v>
      </c>
      <c r="V563" s="13">
        <f>+L570+L571</f>
        <v>119</v>
      </c>
      <c r="W563" s="13">
        <f>+L574</f>
        <v>12</v>
      </c>
      <c r="X563" s="13">
        <f>+L572</f>
        <v>7</v>
      </c>
    </row>
    <row r="564" spans="1:24" x14ac:dyDescent="0.25">
      <c r="A564" s="14"/>
      <c r="B564" s="15"/>
      <c r="C564" s="41" t="str">
        <f>+$C548</f>
        <v>July 2024</v>
      </c>
      <c r="D564" s="18"/>
      <c r="E564" s="18"/>
      <c r="F564" s="18"/>
      <c r="G564" s="20" t="str">
        <f>+$G$4</f>
        <v>Jul</v>
      </c>
      <c r="H564" s="20" t="str">
        <f>+G564</f>
        <v>Jul</v>
      </c>
      <c r="I564" s="20" t="str">
        <f t="shared" si="149"/>
        <v>Jul</v>
      </c>
      <c r="J564" s="20" t="str">
        <f t="shared" si="149"/>
        <v>Jul</v>
      </c>
      <c r="K564" s="20" t="str">
        <f t="shared" si="149"/>
        <v>Jul</v>
      </c>
      <c r="L564" s="20" t="str">
        <f t="shared" si="149"/>
        <v>Jul</v>
      </c>
      <c r="M564" s="20" t="str">
        <f t="shared" si="149"/>
        <v>Jul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7</v>
      </c>
      <c r="H565" s="25">
        <f>+$H$5</f>
        <v>14</v>
      </c>
      <c r="I565" s="25">
        <f>+$I$5</f>
        <v>21</v>
      </c>
      <c r="J565" s="25">
        <f>+$J$5</f>
        <v>28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16</v>
      </c>
      <c r="H567" s="31">
        <f t="shared" ref="H567:L567" si="150">SUM(H568:H571)</f>
        <v>40</v>
      </c>
      <c r="I567" s="31">
        <f t="shared" si="150"/>
        <v>51</v>
      </c>
      <c r="J567" s="31">
        <f t="shared" si="150"/>
        <v>58</v>
      </c>
      <c r="K567" s="31">
        <f t="shared" si="150"/>
        <v>0</v>
      </c>
      <c r="L567" s="31">
        <f t="shared" si="150"/>
        <v>165</v>
      </c>
      <c r="M567" s="31">
        <f>ROUND((L567/$E$1),0)</f>
        <v>41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3</v>
      </c>
      <c r="H568" s="42">
        <v>4</v>
      </c>
      <c r="I568" s="42">
        <v>4</v>
      </c>
      <c r="J568" s="42">
        <v>5</v>
      </c>
      <c r="K568" s="42"/>
      <c r="L568" s="35">
        <f>SUM(G568:K568)</f>
        <v>16</v>
      </c>
      <c r="M568" s="35">
        <f t="shared" ref="M568:M576" si="151">ROUND((L568/$E$1),0)</f>
        <v>4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5</v>
      </c>
      <c r="H569" s="42">
        <v>7</v>
      </c>
      <c r="I569" s="42">
        <v>6</v>
      </c>
      <c r="J569" s="42">
        <v>12</v>
      </c>
      <c r="K569" s="42"/>
      <c r="L569" s="35">
        <f t="shared" ref="L569:L576" si="152">SUM(G569:K569)</f>
        <v>30</v>
      </c>
      <c r="M569" s="35">
        <f t="shared" si="151"/>
        <v>8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3</v>
      </c>
      <c r="H570" s="42">
        <v>9</v>
      </c>
      <c r="I570" s="42">
        <v>9</v>
      </c>
      <c r="J570" s="42">
        <v>9</v>
      </c>
      <c r="K570" s="42"/>
      <c r="L570" s="35">
        <f t="shared" si="152"/>
        <v>30</v>
      </c>
      <c r="M570" s="35">
        <f t="shared" si="151"/>
        <v>8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5</v>
      </c>
      <c r="H571" s="43">
        <v>20</v>
      </c>
      <c r="I571" s="43">
        <v>32</v>
      </c>
      <c r="J571" s="43">
        <v>32</v>
      </c>
      <c r="K571" s="43"/>
      <c r="L571" s="31">
        <f t="shared" si="152"/>
        <v>89</v>
      </c>
      <c r="M571" s="31">
        <f t="shared" si="151"/>
        <v>22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>
        <v>7</v>
      </c>
      <c r="I572" s="42"/>
      <c r="J572" s="42"/>
      <c r="K572" s="42"/>
      <c r="L572" s="35">
        <f t="shared" si="152"/>
        <v>7</v>
      </c>
      <c r="M572" s="35">
        <f t="shared" si="151"/>
        <v>2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52"/>
        <v>0</v>
      </c>
      <c r="M573" s="35">
        <f t="shared" si="151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/>
      <c r="H574" s="42">
        <v>3</v>
      </c>
      <c r="I574" s="42">
        <v>6</v>
      </c>
      <c r="J574" s="42">
        <v>3</v>
      </c>
      <c r="K574" s="42"/>
      <c r="L574" s="35">
        <f t="shared" si="152"/>
        <v>12</v>
      </c>
      <c r="M574" s="35">
        <f t="shared" si="151"/>
        <v>3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216</v>
      </c>
      <c r="H575" s="42">
        <v>70</v>
      </c>
      <c r="I575" s="42">
        <v>100</v>
      </c>
      <c r="J575" s="42">
        <v>46</v>
      </c>
      <c r="K575" s="42"/>
      <c r="L575" s="35">
        <f t="shared" si="152"/>
        <v>432</v>
      </c>
      <c r="M575" s="35">
        <f t="shared" si="151"/>
        <v>108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52"/>
        <v>0</v>
      </c>
      <c r="M576" s="35">
        <f t="shared" si="151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2024</v>
      </c>
      <c r="H579" s="10">
        <f>+G579</f>
        <v>2024</v>
      </c>
      <c r="I579" s="10">
        <f t="shared" ref="I579:M580" si="153">+H579</f>
        <v>2024</v>
      </c>
      <c r="J579" s="10">
        <f t="shared" si="153"/>
        <v>2024</v>
      </c>
      <c r="K579" s="10">
        <f t="shared" si="153"/>
        <v>2024</v>
      </c>
      <c r="L579" s="10">
        <f t="shared" si="153"/>
        <v>2024</v>
      </c>
      <c r="M579" s="10">
        <f t="shared" si="153"/>
        <v>2024</v>
      </c>
      <c r="N579" s="11"/>
      <c r="P579" s="44"/>
      <c r="S579" s="12" t="str">
        <f>+C579</f>
        <v>Mantabeni</v>
      </c>
      <c r="T579" s="13">
        <f>+L583</f>
        <v>90</v>
      </c>
      <c r="U579" s="13">
        <f>+L584+L585</f>
        <v>25</v>
      </c>
      <c r="V579" s="13">
        <f>+L586+L587</f>
        <v>65</v>
      </c>
      <c r="W579" s="13">
        <f>+L590</f>
        <v>11</v>
      </c>
      <c r="X579" s="13">
        <f>+L588</f>
        <v>0</v>
      </c>
    </row>
    <row r="580" spans="1:24" x14ac:dyDescent="0.25">
      <c r="A580" s="14"/>
      <c r="B580" s="15"/>
      <c r="C580" s="41" t="str">
        <f>+$C564</f>
        <v>July 2024</v>
      </c>
      <c r="D580" s="18"/>
      <c r="E580" s="18"/>
      <c r="F580" s="18"/>
      <c r="G580" s="20" t="str">
        <f>+$G$4</f>
        <v>Jul</v>
      </c>
      <c r="H580" s="20" t="str">
        <f>+G580</f>
        <v>Jul</v>
      </c>
      <c r="I580" s="20" t="str">
        <f t="shared" si="153"/>
        <v>Jul</v>
      </c>
      <c r="J580" s="20" t="str">
        <f t="shared" si="153"/>
        <v>Jul</v>
      </c>
      <c r="K580" s="20" t="str">
        <f t="shared" si="153"/>
        <v>Jul</v>
      </c>
      <c r="L580" s="20" t="str">
        <f t="shared" si="153"/>
        <v>Jul</v>
      </c>
      <c r="M580" s="20" t="str">
        <f t="shared" si="153"/>
        <v>Jul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7</v>
      </c>
      <c r="H581" s="25">
        <f>+$H$5</f>
        <v>14</v>
      </c>
      <c r="I581" s="25">
        <f>+$I$5</f>
        <v>21</v>
      </c>
      <c r="J581" s="25">
        <f>+$J$5</f>
        <v>28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17</v>
      </c>
      <c r="H583" s="31">
        <f t="shared" ref="H583:L583" si="154">SUM(H584:H587)</f>
        <v>41</v>
      </c>
      <c r="I583" s="31">
        <f t="shared" si="154"/>
        <v>17</v>
      </c>
      <c r="J583" s="31">
        <f t="shared" si="154"/>
        <v>15</v>
      </c>
      <c r="K583" s="31">
        <f t="shared" si="154"/>
        <v>0</v>
      </c>
      <c r="L583" s="31">
        <f t="shared" si="154"/>
        <v>90</v>
      </c>
      <c r="M583" s="31">
        <f>ROUND((L583/$E$1),0)</f>
        <v>23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2</v>
      </c>
      <c r="H584" s="42">
        <v>3</v>
      </c>
      <c r="I584" s="42">
        <v>2</v>
      </c>
      <c r="J584" s="42">
        <v>2</v>
      </c>
      <c r="K584" s="42"/>
      <c r="L584" s="35">
        <f>SUM(G584:K584)</f>
        <v>9</v>
      </c>
      <c r="M584" s="35">
        <f t="shared" ref="M584:M592" si="155">ROUND((L584/$E$1),0)</f>
        <v>2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3</v>
      </c>
      <c r="H585" s="42">
        <v>8</v>
      </c>
      <c r="I585" s="42">
        <v>3</v>
      </c>
      <c r="J585" s="42">
        <v>2</v>
      </c>
      <c r="K585" s="42"/>
      <c r="L585" s="35">
        <f t="shared" ref="L585:L592" si="156">SUM(G585:K585)</f>
        <v>16</v>
      </c>
      <c r="M585" s="35">
        <f t="shared" si="155"/>
        <v>4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4</v>
      </c>
      <c r="H586" s="42">
        <v>5</v>
      </c>
      <c r="I586" s="42">
        <v>2</v>
      </c>
      <c r="J586" s="42">
        <v>2</v>
      </c>
      <c r="K586" s="42"/>
      <c r="L586" s="35">
        <f t="shared" si="156"/>
        <v>13</v>
      </c>
      <c r="M586" s="35">
        <f t="shared" si="155"/>
        <v>3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8</v>
      </c>
      <c r="H587" s="43">
        <v>25</v>
      </c>
      <c r="I587" s="43">
        <v>10</v>
      </c>
      <c r="J587" s="43">
        <v>9</v>
      </c>
      <c r="K587" s="43"/>
      <c r="L587" s="31">
        <f t="shared" si="156"/>
        <v>52</v>
      </c>
      <c r="M587" s="31">
        <f t="shared" si="155"/>
        <v>13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56"/>
        <v>0</v>
      </c>
      <c r="M588" s="35">
        <f t="shared" si="155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56"/>
        <v>0</v>
      </c>
      <c r="M589" s="35">
        <f t="shared" si="155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4</v>
      </c>
      <c r="H590" s="42">
        <v>1</v>
      </c>
      <c r="I590" s="42">
        <v>2</v>
      </c>
      <c r="J590" s="42">
        <v>4</v>
      </c>
      <c r="K590" s="42"/>
      <c r="L590" s="35">
        <f t="shared" si="156"/>
        <v>11</v>
      </c>
      <c r="M590" s="35">
        <f t="shared" si="155"/>
        <v>3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72</v>
      </c>
      <c r="H591" s="42">
        <v>50</v>
      </c>
      <c r="I591" s="42">
        <v>10</v>
      </c>
      <c r="J591" s="42"/>
      <c r="K591" s="42"/>
      <c r="L591" s="35">
        <f t="shared" si="156"/>
        <v>132</v>
      </c>
      <c r="M591" s="35">
        <f t="shared" si="155"/>
        <v>33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56"/>
        <v>0</v>
      </c>
      <c r="M592" s="35">
        <f t="shared" si="155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2024</v>
      </c>
      <c r="H595" s="10">
        <f>+G595</f>
        <v>2024</v>
      </c>
      <c r="I595" s="10">
        <f t="shared" ref="I595:M596" si="157">+H595</f>
        <v>2024</v>
      </c>
      <c r="J595" s="10">
        <f t="shared" si="157"/>
        <v>2024</v>
      </c>
      <c r="K595" s="10">
        <f t="shared" si="157"/>
        <v>2024</v>
      </c>
      <c r="L595" s="10">
        <f t="shared" si="157"/>
        <v>2024</v>
      </c>
      <c r="M595" s="10">
        <f t="shared" si="157"/>
        <v>2024</v>
      </c>
      <c r="N595" s="11"/>
      <c r="S595" s="12" t="str">
        <f>+C595</f>
        <v>Makhungutja</v>
      </c>
      <c r="T595" s="13">
        <f>+L599</f>
        <v>285</v>
      </c>
      <c r="U595" s="13">
        <f>+L600+L601</f>
        <v>50</v>
      </c>
      <c r="V595" s="13">
        <f>+L602+L603</f>
        <v>235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July 2024</v>
      </c>
      <c r="D596" s="18"/>
      <c r="E596" s="18"/>
      <c r="F596" s="18"/>
      <c r="G596" s="20" t="str">
        <f>+$G$4</f>
        <v>Jul</v>
      </c>
      <c r="H596" s="20" t="str">
        <f>+G596</f>
        <v>Jul</v>
      </c>
      <c r="I596" s="20" t="str">
        <f t="shared" si="157"/>
        <v>Jul</v>
      </c>
      <c r="J596" s="20" t="str">
        <f t="shared" si="157"/>
        <v>Jul</v>
      </c>
      <c r="K596" s="20" t="str">
        <f t="shared" si="157"/>
        <v>Jul</v>
      </c>
      <c r="L596" s="20" t="str">
        <f t="shared" si="157"/>
        <v>Jul</v>
      </c>
      <c r="M596" s="20" t="str">
        <f t="shared" si="157"/>
        <v>Jul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7</v>
      </c>
      <c r="H597" s="25">
        <f>+$H$5</f>
        <v>14</v>
      </c>
      <c r="I597" s="25">
        <f>+$I$5</f>
        <v>21</v>
      </c>
      <c r="J597" s="25">
        <f>+$J$5</f>
        <v>28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91</v>
      </c>
      <c r="H599" s="31">
        <f t="shared" ref="H599:L599" si="158">SUM(H600:H603)</f>
        <v>58</v>
      </c>
      <c r="I599" s="31">
        <f t="shared" si="158"/>
        <v>58</v>
      </c>
      <c r="J599" s="31">
        <f t="shared" si="158"/>
        <v>78</v>
      </c>
      <c r="K599" s="31">
        <f t="shared" si="158"/>
        <v>0</v>
      </c>
      <c r="L599" s="31">
        <f t="shared" si="158"/>
        <v>285</v>
      </c>
      <c r="M599" s="31">
        <f>ROUND((L599/$E$1),0)</f>
        <v>71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>
        <v>6</v>
      </c>
      <c r="H600" s="42">
        <v>3</v>
      </c>
      <c r="I600" s="42">
        <v>5</v>
      </c>
      <c r="J600" s="42">
        <v>9</v>
      </c>
      <c r="K600" s="42"/>
      <c r="L600" s="35">
        <f>SUM(G600:K600)</f>
        <v>23</v>
      </c>
      <c r="M600" s="35">
        <f t="shared" ref="M600:M608" si="159">ROUND((L600/$E$1),0)</f>
        <v>6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>
        <v>7</v>
      </c>
      <c r="H601" s="42">
        <v>5</v>
      </c>
      <c r="I601" s="42">
        <v>6</v>
      </c>
      <c r="J601" s="42">
        <v>9</v>
      </c>
      <c r="K601" s="42"/>
      <c r="L601" s="35">
        <f t="shared" ref="L601:L608" si="160">SUM(G601:K601)</f>
        <v>27</v>
      </c>
      <c r="M601" s="35">
        <f t="shared" si="159"/>
        <v>7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>
        <v>18</v>
      </c>
      <c r="H602" s="42">
        <v>8</v>
      </c>
      <c r="I602" s="42">
        <v>17</v>
      </c>
      <c r="J602" s="42">
        <v>10</v>
      </c>
      <c r="K602" s="42"/>
      <c r="L602" s="35">
        <f t="shared" si="160"/>
        <v>53</v>
      </c>
      <c r="M602" s="35">
        <f t="shared" si="159"/>
        <v>13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>
        <v>60</v>
      </c>
      <c r="H603" s="43">
        <v>42</v>
      </c>
      <c r="I603" s="43">
        <v>30</v>
      </c>
      <c r="J603" s="43">
        <v>50</v>
      </c>
      <c r="K603" s="43"/>
      <c r="L603" s="31">
        <f t="shared" si="160"/>
        <v>182</v>
      </c>
      <c r="M603" s="31">
        <f t="shared" si="159"/>
        <v>46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60"/>
        <v>0</v>
      </c>
      <c r="M604" s="35">
        <f t="shared" si="159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60"/>
        <v>0</v>
      </c>
      <c r="M605" s="35">
        <f t="shared" si="159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60"/>
        <v>0</v>
      </c>
      <c r="M606" s="35">
        <f t="shared" si="159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60"/>
        <v>0</v>
      </c>
      <c r="M607" s="35">
        <f t="shared" si="159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60"/>
        <v>0</v>
      </c>
      <c r="M608" s="35">
        <f t="shared" si="159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2024</v>
      </c>
      <c r="H611" s="10">
        <f>+G611</f>
        <v>2024</v>
      </c>
      <c r="I611" s="10">
        <f t="shared" ref="I611:M612" si="161">+H611</f>
        <v>2024</v>
      </c>
      <c r="J611" s="10">
        <f t="shared" si="161"/>
        <v>2024</v>
      </c>
      <c r="K611" s="10">
        <f t="shared" si="161"/>
        <v>2024</v>
      </c>
      <c r="L611" s="10">
        <f t="shared" si="161"/>
        <v>2024</v>
      </c>
      <c r="M611" s="10">
        <f t="shared" si="161"/>
        <v>2024</v>
      </c>
      <c r="N611" s="11"/>
      <c r="S611" s="12" t="str">
        <f>+C611</f>
        <v>Moneni</v>
      </c>
      <c r="T611" s="13">
        <f>+L615</f>
        <v>135</v>
      </c>
      <c r="U611" s="13">
        <f>+L616+L617</f>
        <v>33</v>
      </c>
      <c r="V611" s="13">
        <f>+L618+L619</f>
        <v>102</v>
      </c>
      <c r="W611" s="13">
        <f>+L622</f>
        <v>0</v>
      </c>
      <c r="X611" s="13">
        <f>+L620</f>
        <v>0</v>
      </c>
    </row>
    <row r="612" spans="1:24" x14ac:dyDescent="0.25">
      <c r="A612" s="14"/>
      <c r="B612" s="15"/>
      <c r="C612" s="41" t="str">
        <f>+$C596</f>
        <v>July 2024</v>
      </c>
      <c r="D612" s="18"/>
      <c r="E612" s="18"/>
      <c r="F612" s="18"/>
      <c r="G612" s="20" t="str">
        <f>+$G$4</f>
        <v>Jul</v>
      </c>
      <c r="H612" s="20" t="str">
        <f>+G612</f>
        <v>Jul</v>
      </c>
      <c r="I612" s="20" t="str">
        <f t="shared" si="161"/>
        <v>Jul</v>
      </c>
      <c r="J612" s="20" t="str">
        <f t="shared" si="161"/>
        <v>Jul</v>
      </c>
      <c r="K612" s="20" t="str">
        <f t="shared" si="161"/>
        <v>Jul</v>
      </c>
      <c r="L612" s="20" t="str">
        <f t="shared" si="161"/>
        <v>Jul</v>
      </c>
      <c r="M612" s="20" t="str">
        <f t="shared" si="161"/>
        <v>Jul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7</v>
      </c>
      <c r="H613" s="25">
        <f>+$H$5</f>
        <v>14</v>
      </c>
      <c r="I613" s="25">
        <f>+$I$5</f>
        <v>21</v>
      </c>
      <c r="J613" s="25">
        <f>+$J$5</f>
        <v>28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0</v>
      </c>
      <c r="H615" s="31">
        <f t="shared" ref="H615:L615" si="162">SUM(H616:H619)</f>
        <v>0</v>
      </c>
      <c r="I615" s="31">
        <f t="shared" si="162"/>
        <v>135</v>
      </c>
      <c r="J615" s="31">
        <f t="shared" si="162"/>
        <v>0</v>
      </c>
      <c r="K615" s="31">
        <f t="shared" si="162"/>
        <v>0</v>
      </c>
      <c r="L615" s="31">
        <f t="shared" si="162"/>
        <v>135</v>
      </c>
      <c r="M615" s="31">
        <f>ROUND((L615/$E$1),0)</f>
        <v>34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/>
      <c r="H616" s="42"/>
      <c r="I616" s="42">
        <v>5</v>
      </c>
      <c r="J616" s="42"/>
      <c r="K616" s="42"/>
      <c r="L616" s="35">
        <f>SUM(G616:K616)</f>
        <v>5</v>
      </c>
      <c r="M616" s="35">
        <f t="shared" ref="M616:M624" si="163">ROUND((L616/$E$1),0)</f>
        <v>1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/>
      <c r="H617" s="42"/>
      <c r="I617" s="42">
        <v>28</v>
      </c>
      <c r="J617" s="42"/>
      <c r="K617" s="42"/>
      <c r="L617" s="35">
        <f t="shared" ref="L617:L624" si="164">SUM(G617:K617)</f>
        <v>28</v>
      </c>
      <c r="M617" s="35">
        <f t="shared" si="163"/>
        <v>7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/>
      <c r="H618" s="42"/>
      <c r="I618" s="42">
        <v>43</v>
      </c>
      <c r="J618" s="42"/>
      <c r="K618" s="42"/>
      <c r="L618" s="35">
        <f t="shared" si="164"/>
        <v>43</v>
      </c>
      <c r="M618" s="35">
        <f t="shared" si="163"/>
        <v>11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/>
      <c r="H619" s="43"/>
      <c r="I619" s="43">
        <v>59</v>
      </c>
      <c r="J619" s="43"/>
      <c r="K619" s="43"/>
      <c r="L619" s="31">
        <f t="shared" si="164"/>
        <v>59</v>
      </c>
      <c r="M619" s="31">
        <f t="shared" si="163"/>
        <v>15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/>
      <c r="J620" s="42"/>
      <c r="K620" s="42"/>
      <c r="L620" s="35">
        <f t="shared" si="164"/>
        <v>0</v>
      </c>
      <c r="M620" s="35">
        <f t="shared" si="163"/>
        <v>0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64"/>
        <v>0</v>
      </c>
      <c r="M621" s="35">
        <f t="shared" si="163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/>
      <c r="H622" s="42"/>
      <c r="I622" s="42"/>
      <c r="J622" s="42"/>
      <c r="K622" s="42"/>
      <c r="L622" s="35">
        <f t="shared" si="164"/>
        <v>0</v>
      </c>
      <c r="M622" s="35">
        <f t="shared" si="163"/>
        <v>0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64"/>
        <v>0</v>
      </c>
      <c r="M623" s="35">
        <f t="shared" si="163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64"/>
        <v>0</v>
      </c>
      <c r="M624" s="35">
        <f t="shared" si="163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2024</v>
      </c>
      <c r="H627" s="10">
        <f>+G627</f>
        <v>2024</v>
      </c>
      <c r="I627" s="10">
        <f t="shared" ref="I627:M628" si="165">+H627</f>
        <v>2024</v>
      </c>
      <c r="J627" s="10">
        <f t="shared" si="165"/>
        <v>2024</v>
      </c>
      <c r="K627" s="10">
        <f t="shared" si="165"/>
        <v>2024</v>
      </c>
      <c r="L627" s="10">
        <f t="shared" si="165"/>
        <v>2024</v>
      </c>
      <c r="M627" s="10">
        <f t="shared" si="165"/>
        <v>2024</v>
      </c>
      <c r="N627" s="11"/>
      <c r="S627" s="12" t="str">
        <f>+C627</f>
        <v>Mabhukwini</v>
      </c>
      <c r="T627" s="13">
        <f>+L631</f>
        <v>0</v>
      </c>
      <c r="U627" s="13">
        <f>+L632+L633</f>
        <v>0</v>
      </c>
      <c r="V627" s="13">
        <f>+L634+L635</f>
        <v>0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July 2024</v>
      </c>
      <c r="D628" s="18"/>
      <c r="E628" s="18"/>
      <c r="F628" s="18"/>
      <c r="G628" s="20" t="str">
        <f>+$G$4</f>
        <v>Jul</v>
      </c>
      <c r="H628" s="20" t="str">
        <f>+G628</f>
        <v>Jul</v>
      </c>
      <c r="I628" s="20" t="str">
        <f t="shared" si="165"/>
        <v>Jul</v>
      </c>
      <c r="J628" s="20" t="str">
        <f t="shared" si="165"/>
        <v>Jul</v>
      </c>
      <c r="K628" s="20" t="str">
        <f t="shared" si="165"/>
        <v>Jul</v>
      </c>
      <c r="L628" s="20" t="str">
        <f t="shared" si="165"/>
        <v>Jul</v>
      </c>
      <c r="M628" s="20" t="str">
        <f t="shared" si="165"/>
        <v>Jul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7</v>
      </c>
      <c r="H629" s="25">
        <f>+$H$5</f>
        <v>14</v>
      </c>
      <c r="I629" s="25">
        <f>+$I$5</f>
        <v>21</v>
      </c>
      <c r="J629" s="25">
        <f>+$J$5</f>
        <v>28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0</v>
      </c>
      <c r="H631" s="31">
        <f t="shared" ref="H631:L631" si="166">SUM(H632:H635)</f>
        <v>0</v>
      </c>
      <c r="I631" s="31">
        <f t="shared" si="166"/>
        <v>0</v>
      </c>
      <c r="J631" s="31">
        <f t="shared" si="166"/>
        <v>0</v>
      </c>
      <c r="K631" s="31">
        <f t="shared" si="166"/>
        <v>0</v>
      </c>
      <c r="L631" s="31">
        <f t="shared" si="166"/>
        <v>0</v>
      </c>
      <c r="M631" s="31">
        <f>ROUND((L631/$E$1),0)</f>
        <v>0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/>
      <c r="H632" s="42"/>
      <c r="I632" s="42"/>
      <c r="J632" s="42"/>
      <c r="K632" s="42"/>
      <c r="L632" s="35">
        <f>SUM(G632:K632)</f>
        <v>0</v>
      </c>
      <c r="M632" s="35">
        <f t="shared" ref="M632:M640" si="167">ROUND((L632/$E$1),0)</f>
        <v>0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/>
      <c r="H633" s="42"/>
      <c r="I633" s="42"/>
      <c r="J633" s="42"/>
      <c r="K633" s="42"/>
      <c r="L633" s="35">
        <f t="shared" ref="L633:L640" si="168">SUM(G633:K633)</f>
        <v>0</v>
      </c>
      <c r="M633" s="35">
        <f t="shared" si="167"/>
        <v>0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/>
      <c r="H634" s="42"/>
      <c r="I634" s="42"/>
      <c r="J634" s="42"/>
      <c r="K634" s="42"/>
      <c r="L634" s="35">
        <f t="shared" si="168"/>
        <v>0</v>
      </c>
      <c r="M634" s="35">
        <f t="shared" si="167"/>
        <v>0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/>
      <c r="H635" s="43"/>
      <c r="I635" s="43"/>
      <c r="J635" s="43"/>
      <c r="K635" s="43"/>
      <c r="L635" s="31">
        <f t="shared" si="168"/>
        <v>0</v>
      </c>
      <c r="M635" s="31">
        <f t="shared" si="167"/>
        <v>0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8"/>
        <v>0</v>
      </c>
      <c r="M636" s="35">
        <f t="shared" si="167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8"/>
        <v>0</v>
      </c>
      <c r="M637" s="35">
        <f t="shared" si="167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8"/>
        <v>0</v>
      </c>
      <c r="M638" s="35">
        <f t="shared" si="167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8"/>
        <v>0</v>
      </c>
      <c r="M639" s="35">
        <f t="shared" si="167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8"/>
        <v>0</v>
      </c>
      <c r="M640" s="35">
        <f t="shared" si="167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>
        <f>+$G$3</f>
        <v>2024</v>
      </c>
      <c r="H643" s="10">
        <f>+G643</f>
        <v>2024</v>
      </c>
      <c r="I643" s="10">
        <f t="shared" ref="I643:M644" si="169">+H643</f>
        <v>2024</v>
      </c>
      <c r="J643" s="10">
        <f t="shared" si="169"/>
        <v>2024</v>
      </c>
      <c r="K643" s="10">
        <f t="shared" si="169"/>
        <v>2024</v>
      </c>
      <c r="L643" s="10">
        <f t="shared" si="169"/>
        <v>2024</v>
      </c>
      <c r="M643" s="10">
        <f t="shared" si="169"/>
        <v>2024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July 2024</v>
      </c>
      <c r="D644" s="18"/>
      <c r="E644" s="18"/>
      <c r="F644" s="18"/>
      <c r="G644" s="20" t="str">
        <f>+$G$4</f>
        <v>Jul</v>
      </c>
      <c r="H644" s="20" t="str">
        <f>+G644</f>
        <v>Jul</v>
      </c>
      <c r="I644" s="20" t="str">
        <f t="shared" si="169"/>
        <v>Jul</v>
      </c>
      <c r="J644" s="20" t="str">
        <f t="shared" si="169"/>
        <v>Jul</v>
      </c>
      <c r="K644" s="20" t="str">
        <f t="shared" si="169"/>
        <v>Jul</v>
      </c>
      <c r="L644" s="20" t="str">
        <f t="shared" si="169"/>
        <v>Jul</v>
      </c>
      <c r="M644" s="20" t="str">
        <f t="shared" si="169"/>
        <v>Jul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7</v>
      </c>
      <c r="H645" s="25">
        <f>+$H$5</f>
        <v>14</v>
      </c>
      <c r="I645" s="25">
        <f>+$I$5</f>
        <v>21</v>
      </c>
      <c r="J645" s="25">
        <f>+$J$5</f>
        <v>28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70">SUM(H648:H651)</f>
        <v>0</v>
      </c>
      <c r="I647" s="31">
        <f t="shared" si="170"/>
        <v>0</v>
      </c>
      <c r="J647" s="31">
        <f t="shared" si="170"/>
        <v>0</v>
      </c>
      <c r="K647" s="31">
        <f t="shared" si="170"/>
        <v>0</v>
      </c>
      <c r="L647" s="31">
        <f t="shared" si="170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71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72">SUM(G649:K649)</f>
        <v>0</v>
      </c>
      <c r="M649" s="35">
        <f t="shared" si="171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72"/>
        <v>0</v>
      </c>
      <c r="M650" s="35">
        <f t="shared" si="171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72"/>
        <v>0</v>
      </c>
      <c r="M651" s="31">
        <f t="shared" si="171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72"/>
        <v>0</v>
      </c>
      <c r="M652" s="35">
        <f t="shared" si="171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72"/>
        <v>0</v>
      </c>
      <c r="M653" s="35">
        <f t="shared" si="171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72"/>
        <v>0</v>
      </c>
      <c r="M654" s="35">
        <f t="shared" si="171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72"/>
        <v>0</v>
      </c>
      <c r="M655" s="35">
        <f t="shared" si="171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72"/>
        <v>0</v>
      </c>
      <c r="M656" s="35">
        <f t="shared" si="171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>
        <f>+$G$3</f>
        <v>2024</v>
      </c>
      <c r="H659" s="10">
        <f>+G659</f>
        <v>2024</v>
      </c>
      <c r="I659" s="10">
        <f t="shared" ref="I659:I660" si="173">+H659</f>
        <v>2024</v>
      </c>
      <c r="J659" s="10">
        <f t="shared" ref="J659:J660" si="174">+I659</f>
        <v>2024</v>
      </c>
      <c r="K659" s="10">
        <f t="shared" ref="K659:K660" si="175">+J659</f>
        <v>2024</v>
      </c>
      <c r="L659" s="10">
        <f t="shared" ref="L659:L660" si="176">+K659</f>
        <v>2024</v>
      </c>
      <c r="M659" s="10">
        <f t="shared" ref="M659:M660" si="177">+L659</f>
        <v>2024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July 2024</v>
      </c>
      <c r="D660" s="18"/>
      <c r="E660" s="18"/>
      <c r="F660" s="18"/>
      <c r="G660" s="20" t="str">
        <f>+$G$4</f>
        <v>Jul</v>
      </c>
      <c r="H660" s="20" t="str">
        <f>+G660</f>
        <v>Jul</v>
      </c>
      <c r="I660" s="20" t="str">
        <f t="shared" si="173"/>
        <v>Jul</v>
      </c>
      <c r="J660" s="20" t="str">
        <f t="shared" si="174"/>
        <v>Jul</v>
      </c>
      <c r="K660" s="20" t="str">
        <f t="shared" si="175"/>
        <v>Jul</v>
      </c>
      <c r="L660" s="20" t="str">
        <f t="shared" si="176"/>
        <v>Jul</v>
      </c>
      <c r="M660" s="20" t="str">
        <f t="shared" si="177"/>
        <v>Jul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7</v>
      </c>
      <c r="H661" s="25">
        <f>+$H$5</f>
        <v>14</v>
      </c>
      <c r="I661" s="25">
        <f>+$I$5</f>
        <v>21</v>
      </c>
      <c r="J661" s="25">
        <f>+$J$5</f>
        <v>28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78">SUM(H664:H667)</f>
        <v>0</v>
      </c>
      <c r="I663" s="31">
        <f t="shared" si="178"/>
        <v>0</v>
      </c>
      <c r="J663" s="31">
        <f t="shared" si="178"/>
        <v>0</v>
      </c>
      <c r="K663" s="31">
        <f t="shared" si="178"/>
        <v>0</v>
      </c>
      <c r="L663" s="31">
        <f t="shared" si="178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79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80">SUM(G665:K665)</f>
        <v>0</v>
      </c>
      <c r="M665" s="35">
        <f t="shared" si="179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80"/>
        <v>0</v>
      </c>
      <c r="M666" s="35">
        <f t="shared" si="179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80"/>
        <v>0</v>
      </c>
      <c r="M667" s="31">
        <f t="shared" si="179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80"/>
        <v>0</v>
      </c>
      <c r="M668" s="35">
        <f t="shared" si="179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80"/>
        <v>0</v>
      </c>
      <c r="M669" s="35">
        <f t="shared" si="179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80"/>
        <v>0</v>
      </c>
      <c r="M670" s="35">
        <f t="shared" si="179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80"/>
        <v>0</v>
      </c>
      <c r="M671" s="35">
        <f t="shared" si="179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80"/>
        <v>0</v>
      </c>
      <c r="M672" s="35">
        <f t="shared" si="179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>
        <f>+$G$3</f>
        <v>2024</v>
      </c>
      <c r="H675" s="10">
        <f>+G675</f>
        <v>2024</v>
      </c>
      <c r="I675" s="10">
        <f t="shared" ref="I675:I676" si="181">+H675</f>
        <v>2024</v>
      </c>
      <c r="J675" s="10">
        <f t="shared" ref="J675:J676" si="182">+I675</f>
        <v>2024</v>
      </c>
      <c r="K675" s="10">
        <f t="shared" ref="K675:K676" si="183">+J675</f>
        <v>2024</v>
      </c>
      <c r="L675" s="10">
        <f t="shared" ref="L675:L676" si="184">+K675</f>
        <v>2024</v>
      </c>
      <c r="M675" s="10">
        <f t="shared" ref="M675:M676" si="185">+L675</f>
        <v>2024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July 2024</v>
      </c>
      <c r="D676" s="18"/>
      <c r="E676" s="18"/>
      <c r="F676" s="18"/>
      <c r="G676" s="20" t="str">
        <f>+$G$4</f>
        <v>Jul</v>
      </c>
      <c r="H676" s="20" t="str">
        <f>+G676</f>
        <v>Jul</v>
      </c>
      <c r="I676" s="20" t="str">
        <f t="shared" si="181"/>
        <v>Jul</v>
      </c>
      <c r="J676" s="20" t="str">
        <f t="shared" si="182"/>
        <v>Jul</v>
      </c>
      <c r="K676" s="20" t="str">
        <f t="shared" si="183"/>
        <v>Jul</v>
      </c>
      <c r="L676" s="20" t="str">
        <f t="shared" si="184"/>
        <v>Jul</v>
      </c>
      <c r="M676" s="20" t="str">
        <f t="shared" si="185"/>
        <v>Jul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7</v>
      </c>
      <c r="H677" s="25">
        <f>+$H$5</f>
        <v>14</v>
      </c>
      <c r="I677" s="25">
        <f>+$I$5</f>
        <v>21</v>
      </c>
      <c r="J677" s="25">
        <f>+$J$5</f>
        <v>28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86">SUM(H680:H683)</f>
        <v>0</v>
      </c>
      <c r="I679" s="31">
        <f t="shared" si="186"/>
        <v>0</v>
      </c>
      <c r="J679" s="31">
        <f t="shared" si="186"/>
        <v>0</v>
      </c>
      <c r="K679" s="31">
        <f t="shared" si="186"/>
        <v>0</v>
      </c>
      <c r="L679" s="31">
        <f t="shared" si="186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87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88">SUM(G681:K681)</f>
        <v>0</v>
      </c>
      <c r="M681" s="35">
        <f t="shared" si="187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88"/>
        <v>0</v>
      </c>
      <c r="M682" s="35">
        <f t="shared" si="187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88"/>
        <v>0</v>
      </c>
      <c r="M683" s="31">
        <f t="shared" si="187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88"/>
        <v>0</v>
      </c>
      <c r="M684" s="35">
        <f t="shared" si="187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88"/>
        <v>0</v>
      </c>
      <c r="M685" s="35">
        <f t="shared" si="187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88"/>
        <v>0</v>
      </c>
      <c r="M686" s="35">
        <f t="shared" si="187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88"/>
        <v>0</v>
      </c>
      <c r="M687" s="35">
        <f t="shared" si="187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88"/>
        <v>0</v>
      </c>
      <c r="M688" s="35">
        <f t="shared" si="187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>
        <f>+$G$3</f>
        <v>2024</v>
      </c>
      <c r="H691" s="10">
        <f>+G691</f>
        <v>2024</v>
      </c>
      <c r="I691" s="10">
        <f t="shared" ref="I691:I692" si="189">+H691</f>
        <v>2024</v>
      </c>
      <c r="J691" s="10">
        <f t="shared" ref="J691:J692" si="190">+I691</f>
        <v>2024</v>
      </c>
      <c r="K691" s="10">
        <f t="shared" ref="K691:K692" si="191">+J691</f>
        <v>2024</v>
      </c>
      <c r="L691" s="10">
        <f t="shared" ref="L691:L692" si="192">+K691</f>
        <v>2024</v>
      </c>
      <c r="M691" s="10">
        <f t="shared" ref="M691:M692" si="193">+L691</f>
        <v>2024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July 2024</v>
      </c>
      <c r="D692" s="18"/>
      <c r="E692" s="18"/>
      <c r="F692" s="18"/>
      <c r="G692" s="20" t="str">
        <f>+$G$4</f>
        <v>Jul</v>
      </c>
      <c r="H692" s="20" t="str">
        <f>+G692</f>
        <v>Jul</v>
      </c>
      <c r="I692" s="20" t="str">
        <f t="shared" si="189"/>
        <v>Jul</v>
      </c>
      <c r="J692" s="20" t="str">
        <f t="shared" si="190"/>
        <v>Jul</v>
      </c>
      <c r="K692" s="20" t="str">
        <f t="shared" si="191"/>
        <v>Jul</v>
      </c>
      <c r="L692" s="20" t="str">
        <f t="shared" si="192"/>
        <v>Jul</v>
      </c>
      <c r="M692" s="20" t="str">
        <f t="shared" si="193"/>
        <v>Jul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7</v>
      </c>
      <c r="H693" s="25">
        <f>+$H$5</f>
        <v>14</v>
      </c>
      <c r="I693" s="25">
        <f>+$I$5</f>
        <v>21</v>
      </c>
      <c r="J693" s="25">
        <f>+$J$5</f>
        <v>28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94">SUM(H696:H699)</f>
        <v>0</v>
      </c>
      <c r="I695" s="31">
        <f t="shared" si="194"/>
        <v>0</v>
      </c>
      <c r="J695" s="31">
        <f t="shared" si="194"/>
        <v>0</v>
      </c>
      <c r="K695" s="31">
        <f t="shared" si="194"/>
        <v>0</v>
      </c>
      <c r="L695" s="31">
        <f t="shared" si="194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95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96">SUM(G697:K697)</f>
        <v>0</v>
      </c>
      <c r="M697" s="35">
        <f t="shared" si="195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96"/>
        <v>0</v>
      </c>
      <c r="M698" s="35">
        <f t="shared" si="195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96"/>
        <v>0</v>
      </c>
      <c r="M699" s="31">
        <f t="shared" si="195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96"/>
        <v>0</v>
      </c>
      <c r="M700" s="35">
        <f t="shared" si="195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96"/>
        <v>0</v>
      </c>
      <c r="M701" s="35">
        <f t="shared" si="195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96"/>
        <v>0</v>
      </c>
      <c r="M702" s="35">
        <f t="shared" si="195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96"/>
        <v>0</v>
      </c>
      <c r="M703" s="35">
        <f t="shared" si="195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96"/>
        <v>0</v>
      </c>
      <c r="M704" s="35">
        <f t="shared" si="195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>
        <f>+$G$3</f>
        <v>2024</v>
      </c>
      <c r="H707" s="10">
        <f>+G707</f>
        <v>2024</v>
      </c>
      <c r="I707" s="10">
        <f t="shared" ref="I707:I708" si="197">+H707</f>
        <v>2024</v>
      </c>
      <c r="J707" s="10">
        <f t="shared" ref="J707:J708" si="198">+I707</f>
        <v>2024</v>
      </c>
      <c r="K707" s="10">
        <f t="shared" ref="K707:K708" si="199">+J707</f>
        <v>2024</v>
      </c>
      <c r="L707" s="10">
        <f t="shared" ref="L707:L708" si="200">+K707</f>
        <v>2024</v>
      </c>
      <c r="M707" s="10">
        <f t="shared" ref="M707:M708" si="201">+L707</f>
        <v>2024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July 2024</v>
      </c>
      <c r="D708" s="18"/>
      <c r="E708" s="18"/>
      <c r="F708" s="18"/>
      <c r="G708" s="20" t="str">
        <f>+$G$4</f>
        <v>Jul</v>
      </c>
      <c r="H708" s="20" t="str">
        <f>+G708</f>
        <v>Jul</v>
      </c>
      <c r="I708" s="20" t="str">
        <f t="shared" si="197"/>
        <v>Jul</v>
      </c>
      <c r="J708" s="20" t="str">
        <f t="shared" si="198"/>
        <v>Jul</v>
      </c>
      <c r="K708" s="20" t="str">
        <f t="shared" si="199"/>
        <v>Jul</v>
      </c>
      <c r="L708" s="20" t="str">
        <f t="shared" si="200"/>
        <v>Jul</v>
      </c>
      <c r="M708" s="20" t="str">
        <f t="shared" si="201"/>
        <v>Jul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7</v>
      </c>
      <c r="H709" s="25">
        <f>+$H$5</f>
        <v>14</v>
      </c>
      <c r="I709" s="25">
        <f>+$I$5</f>
        <v>21</v>
      </c>
      <c r="J709" s="25">
        <f>+$J$5</f>
        <v>28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202">SUM(H712:H715)</f>
        <v>0</v>
      </c>
      <c r="I711" s="31">
        <f t="shared" si="202"/>
        <v>0</v>
      </c>
      <c r="J711" s="31">
        <f t="shared" si="202"/>
        <v>0</v>
      </c>
      <c r="K711" s="31">
        <f t="shared" si="202"/>
        <v>0</v>
      </c>
      <c r="L711" s="31">
        <f t="shared" si="202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203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204">SUM(G713:K713)</f>
        <v>0</v>
      </c>
      <c r="M713" s="35">
        <f t="shared" si="203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204"/>
        <v>0</v>
      </c>
      <c r="M714" s="35">
        <f t="shared" si="203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204"/>
        <v>0</v>
      </c>
      <c r="M715" s="31">
        <f t="shared" si="203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204"/>
        <v>0</v>
      </c>
      <c r="M716" s="35">
        <f t="shared" si="203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204"/>
        <v>0</v>
      </c>
      <c r="M717" s="35">
        <f t="shared" si="203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204"/>
        <v>0</v>
      </c>
      <c r="M718" s="35">
        <f t="shared" si="203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204"/>
        <v>0</v>
      </c>
      <c r="M719" s="35">
        <f t="shared" si="203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204"/>
        <v>0</v>
      </c>
      <c r="M720" s="35">
        <f t="shared" si="203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2024</v>
      </c>
      <c r="H723" s="10">
        <f>+G723</f>
        <v>2024</v>
      </c>
      <c r="I723" s="10">
        <f t="shared" ref="I723:I724" si="205">+H723</f>
        <v>2024</v>
      </c>
      <c r="J723" s="10">
        <f t="shared" ref="J723:J724" si="206">+I723</f>
        <v>2024</v>
      </c>
      <c r="K723" s="10">
        <f t="shared" ref="K723:K724" si="207">+J723</f>
        <v>2024</v>
      </c>
      <c r="L723" s="10">
        <f t="shared" ref="L723:L724" si="208">+K723</f>
        <v>2024</v>
      </c>
      <c r="M723" s="10">
        <f t="shared" ref="M723:M724" si="209">+L723</f>
        <v>2024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July 2024</v>
      </c>
      <c r="D724" s="18"/>
      <c r="E724" s="18"/>
      <c r="F724" s="18"/>
      <c r="G724" s="20" t="str">
        <f>+$G$4</f>
        <v>Jul</v>
      </c>
      <c r="H724" s="20" t="str">
        <f>+G724</f>
        <v>Jul</v>
      </c>
      <c r="I724" s="20" t="str">
        <f t="shared" si="205"/>
        <v>Jul</v>
      </c>
      <c r="J724" s="20" t="str">
        <f t="shared" si="206"/>
        <v>Jul</v>
      </c>
      <c r="K724" s="20" t="str">
        <f t="shared" si="207"/>
        <v>Jul</v>
      </c>
      <c r="L724" s="20" t="str">
        <f t="shared" si="208"/>
        <v>Jul</v>
      </c>
      <c r="M724" s="20" t="str">
        <f t="shared" si="209"/>
        <v>Jul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7</v>
      </c>
      <c r="H725" s="25">
        <f>+$H$5</f>
        <v>14</v>
      </c>
      <c r="I725" s="25">
        <f>+$I$5</f>
        <v>21</v>
      </c>
      <c r="J725" s="25">
        <f>+$J$5</f>
        <v>28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210">SUM(H728:H731)</f>
        <v>0</v>
      </c>
      <c r="I727" s="31">
        <f t="shared" si="210"/>
        <v>0</v>
      </c>
      <c r="J727" s="31">
        <f t="shared" si="210"/>
        <v>0</v>
      </c>
      <c r="K727" s="31">
        <f t="shared" si="210"/>
        <v>0</v>
      </c>
      <c r="L727" s="31">
        <f t="shared" si="210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211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212">SUM(G729:K729)</f>
        <v>0</v>
      </c>
      <c r="M729" s="35">
        <f t="shared" si="211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212"/>
        <v>0</v>
      </c>
      <c r="M730" s="35">
        <f t="shared" si="211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212"/>
        <v>0</v>
      </c>
      <c r="M731" s="31">
        <f t="shared" si="211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212"/>
        <v>0</v>
      </c>
      <c r="M732" s="35">
        <f t="shared" si="211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212"/>
        <v>0</v>
      </c>
      <c r="M733" s="35">
        <f t="shared" si="211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212"/>
        <v>0</v>
      </c>
      <c r="M734" s="35">
        <f t="shared" si="211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212"/>
        <v>0</v>
      </c>
      <c r="M735" s="35">
        <f t="shared" si="211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212"/>
        <v>0</v>
      </c>
      <c r="M736" s="35">
        <f t="shared" si="211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2024</v>
      </c>
      <c r="H739" s="10">
        <f>+G739</f>
        <v>2024</v>
      </c>
      <c r="I739" s="10">
        <f t="shared" ref="I739:I740" si="213">+H739</f>
        <v>2024</v>
      </c>
      <c r="J739" s="10">
        <f t="shared" ref="J739:J740" si="214">+I739</f>
        <v>2024</v>
      </c>
      <c r="K739" s="10">
        <f t="shared" ref="K739:K740" si="215">+J739</f>
        <v>2024</v>
      </c>
      <c r="L739" s="10">
        <f t="shared" ref="L739:L740" si="216">+K739</f>
        <v>2024</v>
      </c>
      <c r="M739" s="10">
        <f t="shared" ref="M739:M740" si="217">+L739</f>
        <v>2024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July 2024</v>
      </c>
      <c r="D740" s="18"/>
      <c r="E740" s="18"/>
      <c r="F740" s="18"/>
      <c r="G740" s="20" t="str">
        <f>+$G$4</f>
        <v>Jul</v>
      </c>
      <c r="H740" s="20" t="str">
        <f>+G740</f>
        <v>Jul</v>
      </c>
      <c r="I740" s="20" t="str">
        <f t="shared" si="213"/>
        <v>Jul</v>
      </c>
      <c r="J740" s="20" t="str">
        <f t="shared" si="214"/>
        <v>Jul</v>
      </c>
      <c r="K740" s="20" t="str">
        <f t="shared" si="215"/>
        <v>Jul</v>
      </c>
      <c r="L740" s="20" t="str">
        <f t="shared" si="216"/>
        <v>Jul</v>
      </c>
      <c r="M740" s="20" t="str">
        <f t="shared" si="217"/>
        <v>Jul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7</v>
      </c>
      <c r="H741" s="25">
        <f>+$H$5</f>
        <v>14</v>
      </c>
      <c r="I741" s="25">
        <f>+$I$5</f>
        <v>21</v>
      </c>
      <c r="J741" s="25">
        <f>+$J$5</f>
        <v>28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218">SUM(H744:H747)</f>
        <v>0</v>
      </c>
      <c r="I743" s="31">
        <f t="shared" si="218"/>
        <v>0</v>
      </c>
      <c r="J743" s="31">
        <f t="shared" si="218"/>
        <v>0</v>
      </c>
      <c r="K743" s="31">
        <f t="shared" si="218"/>
        <v>0</v>
      </c>
      <c r="L743" s="31">
        <f t="shared" si="218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219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220">SUM(G745:K745)</f>
        <v>0</v>
      </c>
      <c r="M745" s="35">
        <f t="shared" si="219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220"/>
        <v>0</v>
      </c>
      <c r="M746" s="35">
        <f t="shared" si="219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220"/>
        <v>0</v>
      </c>
      <c r="M747" s="31">
        <f t="shared" si="219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220"/>
        <v>0</v>
      </c>
      <c r="M748" s="35">
        <f t="shared" si="219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220"/>
        <v>0</v>
      </c>
      <c r="M749" s="35">
        <f t="shared" si="219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220"/>
        <v>0</v>
      </c>
      <c r="M750" s="35">
        <f t="shared" si="219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220"/>
        <v>0</v>
      </c>
      <c r="M751" s="35">
        <f t="shared" si="219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220"/>
        <v>0</v>
      </c>
      <c r="M752" s="35">
        <f t="shared" si="219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2024</v>
      </c>
      <c r="H755" s="10">
        <f>+G755</f>
        <v>2024</v>
      </c>
      <c r="I755" s="10">
        <f t="shared" ref="I755:I756" si="221">+H755</f>
        <v>2024</v>
      </c>
      <c r="J755" s="10">
        <f t="shared" ref="J755:J756" si="222">+I755</f>
        <v>2024</v>
      </c>
      <c r="K755" s="10">
        <f t="shared" ref="K755:K756" si="223">+J755</f>
        <v>2024</v>
      </c>
      <c r="L755" s="10">
        <f t="shared" ref="L755:L756" si="224">+K755</f>
        <v>2024</v>
      </c>
      <c r="M755" s="10">
        <f t="shared" ref="M755:M756" si="225">+L755</f>
        <v>2024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July 2024</v>
      </c>
      <c r="D756" s="18"/>
      <c r="E756" s="18"/>
      <c r="F756" s="18"/>
      <c r="G756" s="20" t="str">
        <f>+$G$4</f>
        <v>Jul</v>
      </c>
      <c r="H756" s="20" t="str">
        <f>+G756</f>
        <v>Jul</v>
      </c>
      <c r="I756" s="20" t="str">
        <f t="shared" si="221"/>
        <v>Jul</v>
      </c>
      <c r="J756" s="20" t="str">
        <f t="shared" si="222"/>
        <v>Jul</v>
      </c>
      <c r="K756" s="20" t="str">
        <f t="shared" si="223"/>
        <v>Jul</v>
      </c>
      <c r="L756" s="20" t="str">
        <f t="shared" si="224"/>
        <v>Jul</v>
      </c>
      <c r="M756" s="20" t="str">
        <f t="shared" si="225"/>
        <v>Jul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7</v>
      </c>
      <c r="H757" s="25">
        <f>+$H$5</f>
        <v>14</v>
      </c>
      <c r="I757" s="25">
        <f>+$I$5</f>
        <v>21</v>
      </c>
      <c r="J757" s="25">
        <f>+$J$5</f>
        <v>28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226">SUM(H760:H763)</f>
        <v>0</v>
      </c>
      <c r="I759" s="31">
        <f t="shared" si="226"/>
        <v>0</v>
      </c>
      <c r="J759" s="31">
        <f t="shared" si="226"/>
        <v>0</v>
      </c>
      <c r="K759" s="31">
        <f t="shared" si="226"/>
        <v>0</v>
      </c>
      <c r="L759" s="31">
        <f t="shared" si="226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227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228">SUM(G761:K761)</f>
        <v>0</v>
      </c>
      <c r="M761" s="35">
        <f t="shared" si="227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228"/>
        <v>0</v>
      </c>
      <c r="M762" s="35">
        <f t="shared" si="227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228"/>
        <v>0</v>
      </c>
      <c r="M763" s="31">
        <f t="shared" si="227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228"/>
        <v>0</v>
      </c>
      <c r="M764" s="35">
        <f t="shared" si="227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228"/>
        <v>0</v>
      </c>
      <c r="M765" s="35">
        <f t="shared" si="227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228"/>
        <v>0</v>
      </c>
      <c r="M766" s="35">
        <f t="shared" si="227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228"/>
        <v>0</v>
      </c>
      <c r="M767" s="35">
        <f t="shared" si="227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228"/>
        <v>0</v>
      </c>
      <c r="M768" s="35">
        <f t="shared" si="227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2024</v>
      </c>
      <c r="H771" s="10">
        <f>+G771</f>
        <v>2024</v>
      </c>
      <c r="I771" s="10">
        <f t="shared" ref="I771:I772" si="229">+H771</f>
        <v>2024</v>
      </c>
      <c r="J771" s="10">
        <f t="shared" ref="J771:J772" si="230">+I771</f>
        <v>2024</v>
      </c>
      <c r="K771" s="10">
        <f t="shared" ref="K771:K772" si="231">+J771</f>
        <v>2024</v>
      </c>
      <c r="L771" s="10">
        <f t="shared" ref="L771:L772" si="232">+K771</f>
        <v>2024</v>
      </c>
      <c r="M771" s="10">
        <f t="shared" ref="M771:M772" si="233">+L771</f>
        <v>2024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July 2024</v>
      </c>
      <c r="D772" s="18"/>
      <c r="E772" s="18"/>
      <c r="F772" s="18"/>
      <c r="G772" s="20" t="str">
        <f>+$G$4</f>
        <v>Jul</v>
      </c>
      <c r="H772" s="20" t="str">
        <f>+G772</f>
        <v>Jul</v>
      </c>
      <c r="I772" s="20" t="str">
        <f t="shared" si="229"/>
        <v>Jul</v>
      </c>
      <c r="J772" s="20" t="str">
        <f t="shared" si="230"/>
        <v>Jul</v>
      </c>
      <c r="K772" s="20" t="str">
        <f t="shared" si="231"/>
        <v>Jul</v>
      </c>
      <c r="L772" s="20" t="str">
        <f t="shared" si="232"/>
        <v>Jul</v>
      </c>
      <c r="M772" s="20" t="str">
        <f t="shared" si="233"/>
        <v>Jul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7</v>
      </c>
      <c r="H773" s="25">
        <f>+$H$5</f>
        <v>14</v>
      </c>
      <c r="I773" s="25">
        <f>+$I$5</f>
        <v>21</v>
      </c>
      <c r="J773" s="25">
        <f>+$J$5</f>
        <v>28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234">SUM(H776:H779)</f>
        <v>0</v>
      </c>
      <c r="I775" s="31">
        <f t="shared" si="234"/>
        <v>0</v>
      </c>
      <c r="J775" s="31">
        <f t="shared" si="234"/>
        <v>0</v>
      </c>
      <c r="K775" s="31">
        <f t="shared" si="234"/>
        <v>0</v>
      </c>
      <c r="L775" s="31">
        <f t="shared" si="234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235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236">SUM(G777:K777)</f>
        <v>0</v>
      </c>
      <c r="M777" s="35">
        <f t="shared" si="235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236"/>
        <v>0</v>
      </c>
      <c r="M778" s="35">
        <f t="shared" si="235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236"/>
        <v>0</v>
      </c>
      <c r="M779" s="31">
        <f t="shared" si="235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236"/>
        <v>0</v>
      </c>
      <c r="M780" s="35">
        <f t="shared" si="235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236"/>
        <v>0</v>
      </c>
      <c r="M781" s="35">
        <f t="shared" si="235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236"/>
        <v>0</v>
      </c>
      <c r="M782" s="35">
        <f t="shared" si="235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236"/>
        <v>0</v>
      </c>
      <c r="M783" s="35">
        <f t="shared" si="235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236"/>
        <v>0</v>
      </c>
      <c r="M784" s="35">
        <f t="shared" si="235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2024</v>
      </c>
      <c r="H787" s="10">
        <f>+G787</f>
        <v>2024</v>
      </c>
      <c r="I787" s="10">
        <f t="shared" ref="I787:I788" si="237">+H787</f>
        <v>2024</v>
      </c>
      <c r="J787" s="10">
        <f t="shared" ref="J787:J788" si="238">+I787</f>
        <v>2024</v>
      </c>
      <c r="K787" s="10">
        <f t="shared" ref="K787:K788" si="239">+J787</f>
        <v>2024</v>
      </c>
      <c r="L787" s="10">
        <f t="shared" ref="L787:L788" si="240">+K787</f>
        <v>2024</v>
      </c>
      <c r="M787" s="10">
        <f t="shared" ref="M787:M788" si="241">+L787</f>
        <v>2024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July 2024</v>
      </c>
      <c r="D788" s="18"/>
      <c r="E788" s="18"/>
      <c r="F788" s="18"/>
      <c r="G788" s="20" t="str">
        <f>+$G$4</f>
        <v>Jul</v>
      </c>
      <c r="H788" s="20" t="str">
        <f>+G788</f>
        <v>Jul</v>
      </c>
      <c r="I788" s="20" t="str">
        <f t="shared" si="237"/>
        <v>Jul</v>
      </c>
      <c r="J788" s="20" t="str">
        <f t="shared" si="238"/>
        <v>Jul</v>
      </c>
      <c r="K788" s="20" t="str">
        <f t="shared" si="239"/>
        <v>Jul</v>
      </c>
      <c r="L788" s="20" t="str">
        <f t="shared" si="240"/>
        <v>Jul</v>
      </c>
      <c r="M788" s="20" t="str">
        <f t="shared" si="241"/>
        <v>Jul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7</v>
      </c>
      <c r="H789" s="25">
        <f>+$H$5</f>
        <v>14</v>
      </c>
      <c r="I789" s="25">
        <f>+$I$5</f>
        <v>21</v>
      </c>
      <c r="J789" s="25">
        <f>+$J$5</f>
        <v>28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242">SUM(H792:H795)</f>
        <v>0</v>
      </c>
      <c r="I791" s="31">
        <f t="shared" si="242"/>
        <v>0</v>
      </c>
      <c r="J791" s="31">
        <f t="shared" si="242"/>
        <v>0</v>
      </c>
      <c r="K791" s="31">
        <f t="shared" si="242"/>
        <v>0</v>
      </c>
      <c r="L791" s="31">
        <f t="shared" si="242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43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44">SUM(G793:K793)</f>
        <v>0</v>
      </c>
      <c r="M793" s="35">
        <f t="shared" si="243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44"/>
        <v>0</v>
      </c>
      <c r="M794" s="35">
        <f t="shared" si="243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44"/>
        <v>0</v>
      </c>
      <c r="M795" s="31">
        <f t="shared" si="243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44"/>
        <v>0</v>
      </c>
      <c r="M796" s="35">
        <f t="shared" si="243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44"/>
        <v>0</v>
      </c>
      <c r="M797" s="35">
        <f t="shared" si="243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44"/>
        <v>0</v>
      </c>
      <c r="M798" s="35">
        <f t="shared" si="243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44"/>
        <v>0</v>
      </c>
      <c r="M799" s="35">
        <f t="shared" si="243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44"/>
        <v>0</v>
      </c>
      <c r="M800" s="35">
        <f t="shared" si="243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2024</v>
      </c>
      <c r="H803" s="10">
        <f>+G803</f>
        <v>2024</v>
      </c>
      <c r="I803" s="10">
        <f t="shared" ref="I803:I804" si="245">+H803</f>
        <v>2024</v>
      </c>
      <c r="J803" s="10">
        <f t="shared" ref="J803:J804" si="246">+I803</f>
        <v>2024</v>
      </c>
      <c r="K803" s="10">
        <f t="shared" ref="K803:K804" si="247">+J803</f>
        <v>2024</v>
      </c>
      <c r="L803" s="10">
        <f t="shared" ref="L803:L804" si="248">+K803</f>
        <v>2024</v>
      </c>
      <c r="M803" s="10">
        <f t="shared" ref="M803:M804" si="249">+L803</f>
        <v>2024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July 2024</v>
      </c>
      <c r="D804" s="18"/>
      <c r="E804" s="18"/>
      <c r="F804" s="18"/>
      <c r="G804" s="20" t="str">
        <f>+$G$4</f>
        <v>Jul</v>
      </c>
      <c r="H804" s="20" t="str">
        <f>+G804</f>
        <v>Jul</v>
      </c>
      <c r="I804" s="20" t="str">
        <f t="shared" si="245"/>
        <v>Jul</v>
      </c>
      <c r="J804" s="20" t="str">
        <f t="shared" si="246"/>
        <v>Jul</v>
      </c>
      <c r="K804" s="20" t="str">
        <f t="shared" si="247"/>
        <v>Jul</v>
      </c>
      <c r="L804" s="20" t="str">
        <f t="shared" si="248"/>
        <v>Jul</v>
      </c>
      <c r="M804" s="20" t="str">
        <f t="shared" si="249"/>
        <v>Jul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7</v>
      </c>
      <c r="H805" s="25">
        <f>+$H$5</f>
        <v>14</v>
      </c>
      <c r="I805" s="25">
        <f>+$I$5</f>
        <v>21</v>
      </c>
      <c r="J805" s="25">
        <f>+$J$5</f>
        <v>28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50">SUM(H808:H811)</f>
        <v>0</v>
      </c>
      <c r="I807" s="31">
        <f t="shared" si="250"/>
        <v>0</v>
      </c>
      <c r="J807" s="31">
        <f t="shared" si="250"/>
        <v>0</v>
      </c>
      <c r="K807" s="31">
        <f t="shared" si="250"/>
        <v>0</v>
      </c>
      <c r="L807" s="31">
        <f t="shared" si="250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51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52">SUM(G809:K809)</f>
        <v>0</v>
      </c>
      <c r="M809" s="35">
        <f t="shared" si="251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52"/>
        <v>0</v>
      </c>
      <c r="M810" s="35">
        <f t="shared" si="251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52"/>
        <v>0</v>
      </c>
      <c r="M811" s="31">
        <f t="shared" si="251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52"/>
        <v>0</v>
      </c>
      <c r="M812" s="35">
        <f t="shared" si="251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52"/>
        <v>0</v>
      </c>
      <c r="M813" s="35">
        <f t="shared" si="251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52"/>
        <v>0</v>
      </c>
      <c r="M814" s="35">
        <f t="shared" si="251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52"/>
        <v>0</v>
      </c>
      <c r="M815" s="35">
        <f t="shared" si="251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52"/>
        <v>0</v>
      </c>
      <c r="M816" s="35">
        <f t="shared" si="251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851"/>
  <sheetViews>
    <sheetView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2024</v>
      </c>
      <c r="H3" s="10">
        <f>+G3</f>
        <v>2024</v>
      </c>
      <c r="I3" s="10">
        <f t="shared" ref="I3:M4" si="0">+H3</f>
        <v>2024</v>
      </c>
      <c r="J3" s="10">
        <f t="shared" si="0"/>
        <v>2024</v>
      </c>
      <c r="K3" s="10">
        <f t="shared" si="0"/>
        <v>2024</v>
      </c>
      <c r="L3" s="10">
        <f t="shared" si="0"/>
        <v>2024</v>
      </c>
      <c r="M3" s="10">
        <f t="shared" si="0"/>
        <v>2024</v>
      </c>
      <c r="N3" s="11"/>
      <c r="S3" s="12" t="str">
        <f>+C3</f>
        <v>Total ICBC</v>
      </c>
      <c r="T3" s="13">
        <f>+L7</f>
        <v>10298</v>
      </c>
      <c r="U3" s="13">
        <f>+L8+L9</f>
        <v>2499</v>
      </c>
      <c r="V3" s="13">
        <f>+L10+L11</f>
        <v>7799</v>
      </c>
      <c r="W3" s="13">
        <f>+L14</f>
        <v>587</v>
      </c>
      <c r="X3" s="13">
        <f>+L12</f>
        <v>122</v>
      </c>
    </row>
    <row r="4" spans="1:41" x14ac:dyDescent="0.25">
      <c r="A4" s="14"/>
      <c r="B4" s="15"/>
      <c r="C4" s="16" t="s">
        <v>85</v>
      </c>
      <c r="D4" s="17"/>
      <c r="E4" s="18"/>
      <c r="F4" s="18"/>
      <c r="G4" s="19" t="s">
        <v>82</v>
      </c>
      <c r="H4" s="20" t="str">
        <f>+G4</f>
        <v>Aug</v>
      </c>
      <c r="I4" s="20" t="str">
        <f t="shared" si="0"/>
        <v>Aug</v>
      </c>
      <c r="J4" s="20" t="str">
        <f t="shared" si="0"/>
        <v>Aug</v>
      </c>
      <c r="K4" s="20" t="str">
        <f t="shared" si="0"/>
        <v>Aug</v>
      </c>
      <c r="L4" s="20" t="str">
        <f t="shared" si="0"/>
        <v>Aug</v>
      </c>
      <c r="M4" s="20" t="str">
        <f t="shared" si="0"/>
        <v>Aug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4</v>
      </c>
      <c r="H5" s="24">
        <v>11</v>
      </c>
      <c r="I5" s="24">
        <v>18</v>
      </c>
      <c r="J5" s="24">
        <v>25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2369</v>
      </c>
      <c r="H7" s="31">
        <f t="shared" ref="H7:L7" si="1">SUM(H8:H11)</f>
        <v>2663</v>
      </c>
      <c r="I7" s="31">
        <f t="shared" si="1"/>
        <v>2681</v>
      </c>
      <c r="J7" s="31">
        <f t="shared" si="1"/>
        <v>2585</v>
      </c>
      <c r="K7" s="31">
        <f t="shared" si="1"/>
        <v>0</v>
      </c>
      <c r="L7" s="31">
        <f t="shared" si="1"/>
        <v>10298</v>
      </c>
      <c r="M7" s="31">
        <f>ROUND((L7/$E$1),0)</f>
        <v>2575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156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180</v>
      </c>
      <c r="I8" s="35">
        <f t="shared" si="2"/>
        <v>173</v>
      </c>
      <c r="J8" s="35">
        <f t="shared" si="2"/>
        <v>158</v>
      </c>
      <c r="K8" s="35">
        <f t="shared" si="2"/>
        <v>0</v>
      </c>
      <c r="L8" s="35">
        <f>SUM(G8:K8)</f>
        <v>667</v>
      </c>
      <c r="M8" s="35">
        <f t="shared" ref="M8:M16" si="3">ROUND((L8/$E$1),0)</f>
        <v>167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448</v>
      </c>
      <c r="H9" s="35">
        <f t="shared" si="4"/>
        <v>487</v>
      </c>
      <c r="I9" s="35">
        <f t="shared" si="4"/>
        <v>479</v>
      </c>
      <c r="J9" s="35">
        <f t="shared" si="4"/>
        <v>418</v>
      </c>
      <c r="K9" s="35">
        <f t="shared" si="4"/>
        <v>0</v>
      </c>
      <c r="L9" s="35">
        <f t="shared" ref="L9:L16" si="5">SUM(G9:K9)</f>
        <v>1832</v>
      </c>
      <c r="M9" s="35">
        <f t="shared" si="3"/>
        <v>458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653</v>
      </c>
      <c r="H10" s="35">
        <f t="shared" si="4"/>
        <v>687</v>
      </c>
      <c r="I10" s="35">
        <f t="shared" si="4"/>
        <v>657</v>
      </c>
      <c r="J10" s="35">
        <f t="shared" si="4"/>
        <v>608</v>
      </c>
      <c r="K10" s="35">
        <f t="shared" si="4"/>
        <v>0</v>
      </c>
      <c r="L10" s="35">
        <f t="shared" si="5"/>
        <v>2605</v>
      </c>
      <c r="M10" s="35">
        <f t="shared" si="3"/>
        <v>651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1112</v>
      </c>
      <c r="H11" s="31">
        <f t="shared" si="4"/>
        <v>1309</v>
      </c>
      <c r="I11" s="31">
        <f t="shared" si="4"/>
        <v>1372</v>
      </c>
      <c r="J11" s="31">
        <f t="shared" si="4"/>
        <v>1401</v>
      </c>
      <c r="K11" s="31">
        <f t="shared" si="4"/>
        <v>0</v>
      </c>
      <c r="L11" s="31">
        <f t="shared" si="5"/>
        <v>5194</v>
      </c>
      <c r="M11" s="31">
        <f t="shared" si="3"/>
        <v>1299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27</v>
      </c>
      <c r="H12" s="35">
        <f t="shared" si="4"/>
        <v>28</v>
      </c>
      <c r="I12" s="35">
        <f t="shared" si="4"/>
        <v>34</v>
      </c>
      <c r="J12" s="35">
        <f t="shared" si="4"/>
        <v>33</v>
      </c>
      <c r="K12" s="35">
        <f t="shared" si="4"/>
        <v>0</v>
      </c>
      <c r="L12" s="35">
        <f t="shared" si="5"/>
        <v>122</v>
      </c>
      <c r="M12" s="35">
        <f t="shared" si="3"/>
        <v>31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137</v>
      </c>
      <c r="H14" s="35">
        <f t="shared" si="4"/>
        <v>154</v>
      </c>
      <c r="I14" s="35">
        <f t="shared" si="4"/>
        <v>177</v>
      </c>
      <c r="J14" s="35">
        <f t="shared" si="4"/>
        <v>119</v>
      </c>
      <c r="K14" s="35">
        <f t="shared" si="4"/>
        <v>0</v>
      </c>
      <c r="L14" s="35">
        <f t="shared" si="5"/>
        <v>587</v>
      </c>
      <c r="M14" s="35">
        <f t="shared" si="3"/>
        <v>147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2054</v>
      </c>
      <c r="H15" s="35">
        <f t="shared" si="4"/>
        <v>2112</v>
      </c>
      <c r="I15" s="35">
        <f t="shared" si="4"/>
        <v>3046</v>
      </c>
      <c r="J15" s="35">
        <f t="shared" si="4"/>
        <v>3238</v>
      </c>
      <c r="K15" s="35">
        <f t="shared" si="4"/>
        <v>0</v>
      </c>
      <c r="L15" s="35">
        <f t="shared" si="5"/>
        <v>10450</v>
      </c>
      <c r="M15" s="35">
        <f t="shared" si="3"/>
        <v>2613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2024</v>
      </c>
      <c r="H19" s="10">
        <f>+G19</f>
        <v>2024</v>
      </c>
      <c r="I19" s="10">
        <f t="shared" ref="I19:M20" si="6">+H19</f>
        <v>2024</v>
      </c>
      <c r="J19" s="10">
        <f t="shared" si="6"/>
        <v>2024</v>
      </c>
      <c r="K19" s="10">
        <f t="shared" si="6"/>
        <v>2024</v>
      </c>
      <c r="L19" s="10">
        <f t="shared" si="6"/>
        <v>2024</v>
      </c>
      <c r="M19" s="10">
        <f t="shared" si="6"/>
        <v>2024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902</v>
      </c>
      <c r="U19" s="13">
        <f>+L24+L25</f>
        <v>274</v>
      </c>
      <c r="V19" s="13">
        <f>+L26+L27</f>
        <v>628</v>
      </c>
      <c r="W19" s="13">
        <f>+L30</f>
        <v>28</v>
      </c>
      <c r="X19" s="13">
        <f>+L28</f>
        <v>0</v>
      </c>
    </row>
    <row r="20" spans="1:24" x14ac:dyDescent="0.25">
      <c r="A20" s="14"/>
      <c r="B20" s="15"/>
      <c r="C20" s="41" t="str">
        <f>+$C4</f>
        <v>August 2024</v>
      </c>
      <c r="D20" s="18"/>
      <c r="E20" s="18"/>
      <c r="F20" s="18"/>
      <c r="G20" s="20" t="str">
        <f>+$G$4</f>
        <v>Aug</v>
      </c>
      <c r="H20" s="20" t="str">
        <f>+G20</f>
        <v>Aug</v>
      </c>
      <c r="I20" s="20" t="str">
        <f t="shared" si="6"/>
        <v>Aug</v>
      </c>
      <c r="J20" s="20" t="str">
        <f t="shared" si="6"/>
        <v>Aug</v>
      </c>
      <c r="K20" s="20" t="str">
        <f t="shared" si="6"/>
        <v>Aug</v>
      </c>
      <c r="L20" s="20" t="str">
        <f t="shared" si="6"/>
        <v>Aug</v>
      </c>
      <c r="M20" s="20" t="str">
        <f t="shared" si="6"/>
        <v>Aug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4</v>
      </c>
      <c r="H21" s="25">
        <f>+$H$5</f>
        <v>11</v>
      </c>
      <c r="I21" s="25">
        <f>+$I$5</f>
        <v>18</v>
      </c>
      <c r="J21" s="25">
        <f>+$J$5</f>
        <v>25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204</v>
      </c>
      <c r="H23" s="31">
        <f t="shared" ref="H23:L23" si="7">SUM(H24:H27)</f>
        <v>226</v>
      </c>
      <c r="I23" s="31">
        <f t="shared" si="7"/>
        <v>248</v>
      </c>
      <c r="J23" s="31">
        <f t="shared" si="7"/>
        <v>224</v>
      </c>
      <c r="K23" s="31">
        <f t="shared" si="7"/>
        <v>0</v>
      </c>
      <c r="L23" s="31">
        <f t="shared" si="7"/>
        <v>902</v>
      </c>
      <c r="M23" s="31">
        <f>ROUND((L23/$E$1),0)</f>
        <v>226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14</v>
      </c>
      <c r="H24" s="42">
        <v>18</v>
      </c>
      <c r="I24" s="42">
        <v>23</v>
      </c>
      <c r="J24" s="42">
        <v>20</v>
      </c>
      <c r="K24" s="42"/>
      <c r="L24" s="35">
        <f>SUM(G24:K24)</f>
        <v>75</v>
      </c>
      <c r="M24" s="35">
        <f t="shared" ref="M24:M32" si="8">ROUND((L24/$E$1),0)</f>
        <v>19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39</v>
      </c>
      <c r="H25" s="42">
        <v>45</v>
      </c>
      <c r="I25" s="42">
        <v>60</v>
      </c>
      <c r="J25" s="42">
        <v>55</v>
      </c>
      <c r="K25" s="42"/>
      <c r="L25" s="35">
        <f t="shared" ref="L25:L32" si="9">SUM(G25:K25)</f>
        <v>199</v>
      </c>
      <c r="M25" s="35">
        <f t="shared" si="8"/>
        <v>50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74</v>
      </c>
      <c r="H26" s="42">
        <v>100</v>
      </c>
      <c r="I26" s="42">
        <v>85</v>
      </c>
      <c r="J26" s="42">
        <v>75</v>
      </c>
      <c r="K26" s="42"/>
      <c r="L26" s="35">
        <f t="shared" si="9"/>
        <v>334</v>
      </c>
      <c r="M26" s="35">
        <f t="shared" si="8"/>
        <v>84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77</v>
      </c>
      <c r="H27" s="43">
        <v>63</v>
      </c>
      <c r="I27" s="43">
        <v>80</v>
      </c>
      <c r="J27" s="43">
        <v>74</v>
      </c>
      <c r="K27" s="43"/>
      <c r="L27" s="31">
        <f t="shared" si="9"/>
        <v>294</v>
      </c>
      <c r="M27" s="31">
        <f t="shared" si="8"/>
        <v>74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6</v>
      </c>
      <c r="H30" s="42">
        <v>7</v>
      </c>
      <c r="I30" s="42">
        <v>8</v>
      </c>
      <c r="J30" s="42">
        <v>7</v>
      </c>
      <c r="K30" s="42"/>
      <c r="L30" s="35">
        <f t="shared" si="9"/>
        <v>28</v>
      </c>
      <c r="M30" s="35">
        <f t="shared" si="8"/>
        <v>7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2024</v>
      </c>
      <c r="H35" s="10">
        <f>+G35</f>
        <v>2024</v>
      </c>
      <c r="I35" s="10">
        <f t="shared" ref="I35:M36" si="10">+H35</f>
        <v>2024</v>
      </c>
      <c r="J35" s="10">
        <f t="shared" si="10"/>
        <v>2024</v>
      </c>
      <c r="K35" s="10">
        <f t="shared" si="10"/>
        <v>2024</v>
      </c>
      <c r="L35" s="10">
        <f t="shared" si="10"/>
        <v>2024</v>
      </c>
      <c r="M35" s="10">
        <f t="shared" si="10"/>
        <v>2024</v>
      </c>
      <c r="N35" s="11"/>
      <c r="O35" s="44"/>
      <c r="P35" s="44"/>
      <c r="Q35" s="44"/>
      <c r="S35" s="12" t="str">
        <f>+C35</f>
        <v>Ngwenya</v>
      </c>
      <c r="T35" s="13">
        <f>+L39</f>
        <v>295</v>
      </c>
      <c r="U35" s="13">
        <f>+L40+L41</f>
        <v>79</v>
      </c>
      <c r="V35" s="13">
        <f>+L42+L43</f>
        <v>216</v>
      </c>
      <c r="W35" s="13">
        <f>+L46</f>
        <v>40</v>
      </c>
      <c r="X35" s="13">
        <f>+L44</f>
        <v>4</v>
      </c>
    </row>
    <row r="36" spans="1:24" x14ac:dyDescent="0.25">
      <c r="A36" s="14"/>
      <c r="B36" s="15"/>
      <c r="C36" s="41" t="str">
        <f>+$C20</f>
        <v>August 2024</v>
      </c>
      <c r="D36" s="18"/>
      <c r="E36" s="18"/>
      <c r="F36" s="18"/>
      <c r="G36" s="20" t="str">
        <f>+$G$4</f>
        <v>Aug</v>
      </c>
      <c r="H36" s="20" t="str">
        <f>+G36</f>
        <v>Aug</v>
      </c>
      <c r="I36" s="20" t="str">
        <f t="shared" si="10"/>
        <v>Aug</v>
      </c>
      <c r="J36" s="20" t="str">
        <f t="shared" si="10"/>
        <v>Aug</v>
      </c>
      <c r="K36" s="20" t="str">
        <f t="shared" si="10"/>
        <v>Aug</v>
      </c>
      <c r="L36" s="20" t="str">
        <f t="shared" si="10"/>
        <v>Aug</v>
      </c>
      <c r="M36" s="20" t="str">
        <f t="shared" si="10"/>
        <v>Aug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4</v>
      </c>
      <c r="H37" s="25">
        <f>+$H$5</f>
        <v>11</v>
      </c>
      <c r="I37" s="25">
        <f>+$I$5</f>
        <v>18</v>
      </c>
      <c r="J37" s="25">
        <f>+$J$5</f>
        <v>25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63</v>
      </c>
      <c r="H39" s="31">
        <f t="shared" ref="H39:L39" si="11">SUM(H40:H43)</f>
        <v>72</v>
      </c>
      <c r="I39" s="31">
        <f t="shared" si="11"/>
        <v>75</v>
      </c>
      <c r="J39" s="31">
        <f t="shared" si="11"/>
        <v>85</v>
      </c>
      <c r="K39" s="31">
        <f t="shared" si="11"/>
        <v>0</v>
      </c>
      <c r="L39" s="31">
        <f t="shared" si="11"/>
        <v>295</v>
      </c>
      <c r="M39" s="31">
        <f>ROUND((L39/$E$1),0)</f>
        <v>74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6</v>
      </c>
      <c r="H40" s="42">
        <v>5</v>
      </c>
      <c r="I40" s="42">
        <v>5</v>
      </c>
      <c r="J40" s="42">
        <v>6</v>
      </c>
      <c r="K40" s="42"/>
      <c r="L40" s="35">
        <f>SUM(G40:K40)</f>
        <v>22</v>
      </c>
      <c r="M40" s="35">
        <f t="shared" ref="M40:M48" si="12">ROUND((L40/$E$1),0)</f>
        <v>6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12</v>
      </c>
      <c r="H41" s="42">
        <v>14</v>
      </c>
      <c r="I41" s="42">
        <v>16</v>
      </c>
      <c r="J41" s="42">
        <v>15</v>
      </c>
      <c r="K41" s="42"/>
      <c r="L41" s="35">
        <f t="shared" ref="L41:L48" si="13">SUM(G41:K41)</f>
        <v>57</v>
      </c>
      <c r="M41" s="35">
        <f t="shared" si="12"/>
        <v>14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15</v>
      </c>
      <c r="H42" s="42">
        <v>18</v>
      </c>
      <c r="I42" s="42">
        <v>22</v>
      </c>
      <c r="J42" s="42">
        <v>24</v>
      </c>
      <c r="K42" s="42"/>
      <c r="L42" s="35">
        <f t="shared" si="13"/>
        <v>79</v>
      </c>
      <c r="M42" s="35">
        <f t="shared" si="12"/>
        <v>20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30</v>
      </c>
      <c r="H43" s="43">
        <v>35</v>
      </c>
      <c r="I43" s="43">
        <v>32</v>
      </c>
      <c r="J43" s="43">
        <v>40</v>
      </c>
      <c r="K43" s="43"/>
      <c r="L43" s="31">
        <f t="shared" si="13"/>
        <v>137</v>
      </c>
      <c r="M43" s="31">
        <f t="shared" si="12"/>
        <v>34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>
        <v>1</v>
      </c>
      <c r="I44" s="42">
        <v>2</v>
      </c>
      <c r="J44" s="42">
        <v>1</v>
      </c>
      <c r="K44" s="42"/>
      <c r="L44" s="35">
        <f t="shared" si="13"/>
        <v>4</v>
      </c>
      <c r="M44" s="35">
        <f t="shared" si="12"/>
        <v>1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10</v>
      </c>
      <c r="H46" s="42">
        <v>11</v>
      </c>
      <c r="I46" s="42">
        <v>10</v>
      </c>
      <c r="J46" s="42">
        <v>9</v>
      </c>
      <c r="K46" s="42"/>
      <c r="L46" s="35">
        <f t="shared" si="13"/>
        <v>40</v>
      </c>
      <c r="M46" s="35">
        <f t="shared" si="12"/>
        <v>10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72</v>
      </c>
      <c r="H47" s="42">
        <v>144</v>
      </c>
      <c r="I47" s="42">
        <v>72</v>
      </c>
      <c r="J47" s="42">
        <v>144</v>
      </c>
      <c r="K47" s="42"/>
      <c r="L47" s="35">
        <f t="shared" si="13"/>
        <v>432</v>
      </c>
      <c r="M47" s="35">
        <f t="shared" si="12"/>
        <v>108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2024</v>
      </c>
      <c r="H51" s="10">
        <f>+G51</f>
        <v>2024</v>
      </c>
      <c r="I51" s="10">
        <f t="shared" ref="I51:M52" si="14">+H51</f>
        <v>2024</v>
      </c>
      <c r="J51" s="10">
        <f t="shared" si="14"/>
        <v>2024</v>
      </c>
      <c r="K51" s="10">
        <f t="shared" si="14"/>
        <v>2024</v>
      </c>
      <c r="L51" s="10">
        <f t="shared" si="14"/>
        <v>2024</v>
      </c>
      <c r="M51" s="10">
        <f t="shared" si="14"/>
        <v>2024</v>
      </c>
      <c r="N51" s="11"/>
      <c r="O51" s="44"/>
      <c r="P51" s="44"/>
      <c r="Q51" s="44"/>
      <c r="S51" s="12" t="str">
        <f>+C51</f>
        <v>Lavumisa</v>
      </c>
      <c r="T51" s="13">
        <f>+L55</f>
        <v>256</v>
      </c>
      <c r="U51" s="13">
        <f>+L56+L57</f>
        <v>68</v>
      </c>
      <c r="V51" s="13">
        <f>+L58+L59</f>
        <v>188</v>
      </c>
      <c r="W51" s="13">
        <f>+L62</f>
        <v>29</v>
      </c>
      <c r="X51" s="13">
        <f>+L60</f>
        <v>0</v>
      </c>
    </row>
    <row r="52" spans="1:24" x14ac:dyDescent="0.25">
      <c r="A52" s="14"/>
      <c r="B52" s="15"/>
      <c r="C52" s="41" t="str">
        <f>+$C36</f>
        <v>August 2024</v>
      </c>
      <c r="D52" s="18"/>
      <c r="E52" s="18"/>
      <c r="F52" s="18"/>
      <c r="G52" s="20" t="str">
        <f>+$G$4</f>
        <v>Aug</v>
      </c>
      <c r="H52" s="20" t="str">
        <f>+G52</f>
        <v>Aug</v>
      </c>
      <c r="I52" s="20" t="str">
        <f t="shared" si="14"/>
        <v>Aug</v>
      </c>
      <c r="J52" s="20" t="str">
        <f t="shared" si="14"/>
        <v>Aug</v>
      </c>
      <c r="K52" s="20" t="str">
        <f t="shared" si="14"/>
        <v>Aug</v>
      </c>
      <c r="L52" s="20" t="str">
        <f t="shared" si="14"/>
        <v>Aug</v>
      </c>
      <c r="M52" s="20" t="str">
        <f t="shared" si="14"/>
        <v>Aug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4</v>
      </c>
      <c r="H53" s="25">
        <f>+$H$5</f>
        <v>11</v>
      </c>
      <c r="I53" s="25">
        <f>+$I$5</f>
        <v>18</v>
      </c>
      <c r="J53" s="25">
        <f>+$J$5</f>
        <v>25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54</v>
      </c>
      <c r="H55" s="31">
        <f t="shared" ref="H55:L55" si="15">SUM(H56:H59)</f>
        <v>78</v>
      </c>
      <c r="I55" s="31">
        <f t="shared" si="15"/>
        <v>62</v>
      </c>
      <c r="J55" s="31">
        <f t="shared" si="15"/>
        <v>62</v>
      </c>
      <c r="K55" s="31">
        <f t="shared" si="15"/>
        <v>0</v>
      </c>
      <c r="L55" s="31">
        <f t="shared" si="15"/>
        <v>256</v>
      </c>
      <c r="M55" s="31">
        <f>ROUND((L55/$E$1),0)</f>
        <v>64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4</v>
      </c>
      <c r="H56" s="42">
        <v>3</v>
      </c>
      <c r="I56" s="42">
        <v>2</v>
      </c>
      <c r="J56" s="42">
        <v>4</v>
      </c>
      <c r="K56" s="42"/>
      <c r="L56" s="35">
        <f>SUM(G56:K56)</f>
        <v>13</v>
      </c>
      <c r="M56" s="35">
        <f t="shared" ref="M56:M64" si="16">ROUND((L56/$E$1),0)</f>
        <v>3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14</v>
      </c>
      <c r="H57" s="42">
        <v>16</v>
      </c>
      <c r="I57" s="42">
        <v>12</v>
      </c>
      <c r="J57" s="42">
        <v>13</v>
      </c>
      <c r="K57" s="42"/>
      <c r="L57" s="35">
        <f t="shared" ref="L57:L64" si="17">SUM(G57:K57)</f>
        <v>55</v>
      </c>
      <c r="M57" s="35">
        <f t="shared" si="16"/>
        <v>14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13</v>
      </c>
      <c r="H58" s="42">
        <v>18</v>
      </c>
      <c r="I58" s="42">
        <v>14</v>
      </c>
      <c r="J58" s="42">
        <v>14</v>
      </c>
      <c r="K58" s="42"/>
      <c r="L58" s="35">
        <f t="shared" si="17"/>
        <v>59</v>
      </c>
      <c r="M58" s="35">
        <f t="shared" si="16"/>
        <v>15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23</v>
      </c>
      <c r="H59" s="43">
        <v>41</v>
      </c>
      <c r="I59" s="43">
        <v>34</v>
      </c>
      <c r="J59" s="43">
        <v>31</v>
      </c>
      <c r="K59" s="43"/>
      <c r="L59" s="31">
        <f t="shared" si="17"/>
        <v>129</v>
      </c>
      <c r="M59" s="31">
        <f t="shared" si="16"/>
        <v>32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5</v>
      </c>
      <c r="H62" s="42">
        <v>9</v>
      </c>
      <c r="I62" s="42">
        <v>7</v>
      </c>
      <c r="J62" s="42">
        <v>8</v>
      </c>
      <c r="K62" s="42"/>
      <c r="L62" s="35">
        <f t="shared" si="17"/>
        <v>29</v>
      </c>
      <c r="M62" s="35">
        <f t="shared" si="16"/>
        <v>7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2024</v>
      </c>
      <c r="H67" s="10">
        <f>+G67</f>
        <v>2024</v>
      </c>
      <c r="I67" s="10">
        <f t="shared" ref="I67:M68" si="18">+H67</f>
        <v>2024</v>
      </c>
      <c r="J67" s="10">
        <f t="shared" si="18"/>
        <v>2024</v>
      </c>
      <c r="K67" s="10">
        <f t="shared" si="18"/>
        <v>2024</v>
      </c>
      <c r="L67" s="10">
        <f t="shared" si="18"/>
        <v>2024</v>
      </c>
      <c r="M67" s="10">
        <f t="shared" si="18"/>
        <v>2024</v>
      </c>
      <c r="N67" s="11"/>
      <c r="O67" s="44"/>
      <c r="P67" s="44"/>
      <c r="Q67" s="44"/>
      <c r="S67" s="12" t="str">
        <f>+C67</f>
        <v>Engcamini</v>
      </c>
      <c r="T67" s="13">
        <f>+L71</f>
        <v>341</v>
      </c>
      <c r="U67" s="13">
        <f>+L72+L73</f>
        <v>62</v>
      </c>
      <c r="V67" s="13">
        <f>+L74+L75</f>
        <v>279</v>
      </c>
      <c r="W67" s="13">
        <f>+L78</f>
        <v>3</v>
      </c>
      <c r="X67" s="13">
        <f>+L76</f>
        <v>27</v>
      </c>
    </row>
    <row r="68" spans="1:24" x14ac:dyDescent="0.25">
      <c r="A68" s="14"/>
      <c r="B68" s="15"/>
      <c r="C68" s="41" t="str">
        <f>+$C52</f>
        <v>August 2024</v>
      </c>
      <c r="D68" s="18"/>
      <c r="E68" s="18"/>
      <c r="F68" s="18"/>
      <c r="G68" s="20" t="str">
        <f>+$G$4</f>
        <v>Aug</v>
      </c>
      <c r="H68" s="20" t="str">
        <f>+G68</f>
        <v>Aug</v>
      </c>
      <c r="I68" s="20" t="str">
        <f t="shared" si="18"/>
        <v>Aug</v>
      </c>
      <c r="J68" s="20" t="str">
        <f t="shared" si="18"/>
        <v>Aug</v>
      </c>
      <c r="K68" s="20" t="str">
        <f t="shared" si="18"/>
        <v>Aug</v>
      </c>
      <c r="L68" s="20" t="str">
        <f t="shared" si="18"/>
        <v>Aug</v>
      </c>
      <c r="M68" s="20" t="str">
        <f t="shared" si="18"/>
        <v>Aug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4</v>
      </c>
      <c r="H69" s="25">
        <f>+$H$5</f>
        <v>11</v>
      </c>
      <c r="I69" s="25">
        <f>+$I$5</f>
        <v>18</v>
      </c>
      <c r="J69" s="25">
        <f>+$J$5</f>
        <v>25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55</v>
      </c>
      <c r="H71" s="31">
        <f t="shared" ref="H71:L71" si="19">SUM(H72:H75)</f>
        <v>79</v>
      </c>
      <c r="I71" s="31">
        <f t="shared" si="19"/>
        <v>100</v>
      </c>
      <c r="J71" s="31">
        <f t="shared" si="19"/>
        <v>107</v>
      </c>
      <c r="K71" s="31">
        <f t="shared" si="19"/>
        <v>0</v>
      </c>
      <c r="L71" s="31">
        <f t="shared" si="19"/>
        <v>341</v>
      </c>
      <c r="M71" s="31">
        <f>ROUND((L71/$E$1),0)</f>
        <v>85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4</v>
      </c>
      <c r="H72" s="42">
        <v>3</v>
      </c>
      <c r="I72" s="42">
        <v>6</v>
      </c>
      <c r="J72" s="42">
        <v>3</v>
      </c>
      <c r="K72" s="42"/>
      <c r="L72" s="35">
        <f>SUM(G72:K72)</f>
        <v>16</v>
      </c>
      <c r="M72" s="35">
        <f t="shared" ref="M72:M80" si="20">ROUND((L72/$E$1),0)</f>
        <v>4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7</v>
      </c>
      <c r="H73" s="42">
        <v>14</v>
      </c>
      <c r="I73" s="42">
        <v>11</v>
      </c>
      <c r="J73" s="42">
        <v>14</v>
      </c>
      <c r="K73" s="42"/>
      <c r="L73" s="35">
        <f t="shared" ref="L73:L80" si="21">SUM(G73:K73)</f>
        <v>46</v>
      </c>
      <c r="M73" s="35">
        <f t="shared" si="20"/>
        <v>12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7</v>
      </c>
      <c r="H74" s="42">
        <v>7</v>
      </c>
      <c r="I74" s="42">
        <v>15</v>
      </c>
      <c r="J74" s="42">
        <v>15</v>
      </c>
      <c r="K74" s="42"/>
      <c r="L74" s="35">
        <f t="shared" si="21"/>
        <v>44</v>
      </c>
      <c r="M74" s="35">
        <f t="shared" si="20"/>
        <v>11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37</v>
      </c>
      <c r="H75" s="43">
        <v>55</v>
      </c>
      <c r="I75" s="43">
        <v>68</v>
      </c>
      <c r="J75" s="43">
        <v>75</v>
      </c>
      <c r="K75" s="43"/>
      <c r="L75" s="31">
        <f t="shared" si="21"/>
        <v>235</v>
      </c>
      <c r="M75" s="31">
        <f t="shared" si="20"/>
        <v>59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>
        <v>5</v>
      </c>
      <c r="H76" s="42">
        <v>6</v>
      </c>
      <c r="I76" s="42">
        <v>5</v>
      </c>
      <c r="J76" s="42">
        <v>11</v>
      </c>
      <c r="K76" s="42"/>
      <c r="L76" s="35">
        <f t="shared" si="21"/>
        <v>27</v>
      </c>
      <c r="M76" s="35">
        <f t="shared" si="20"/>
        <v>7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/>
      <c r="H78" s="42">
        <v>1</v>
      </c>
      <c r="I78" s="42">
        <v>2</v>
      </c>
      <c r="J78" s="42"/>
      <c r="K78" s="42"/>
      <c r="L78" s="35">
        <f t="shared" si="21"/>
        <v>3</v>
      </c>
      <c r="M78" s="35">
        <f t="shared" si="20"/>
        <v>1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>
        <v>180</v>
      </c>
      <c r="H79" s="42">
        <v>90</v>
      </c>
      <c r="I79" s="42">
        <v>125</v>
      </c>
      <c r="J79" s="42">
        <v>288</v>
      </c>
      <c r="K79" s="42"/>
      <c r="L79" s="35">
        <f t="shared" si="21"/>
        <v>683</v>
      </c>
      <c r="M79" s="35">
        <f t="shared" si="20"/>
        <v>171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2024</v>
      </c>
      <c r="H83" s="10">
        <f>+G83</f>
        <v>2024</v>
      </c>
      <c r="I83" s="10">
        <f t="shared" ref="I83:M84" si="22">+H83</f>
        <v>2024</v>
      </c>
      <c r="J83" s="10">
        <f t="shared" si="22"/>
        <v>2024</v>
      </c>
      <c r="K83" s="10">
        <f t="shared" si="22"/>
        <v>2024</v>
      </c>
      <c r="L83" s="10">
        <f t="shared" si="22"/>
        <v>2024</v>
      </c>
      <c r="M83" s="10">
        <f t="shared" si="22"/>
        <v>2024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August 2024</v>
      </c>
      <c r="D84" s="18"/>
      <c r="E84" s="18"/>
      <c r="F84" s="18"/>
      <c r="G84" s="20" t="str">
        <f>+$G$4</f>
        <v>Aug</v>
      </c>
      <c r="H84" s="20" t="str">
        <f>+G84</f>
        <v>Aug</v>
      </c>
      <c r="I84" s="20" t="str">
        <f t="shared" si="22"/>
        <v>Aug</v>
      </c>
      <c r="J84" s="20" t="str">
        <f t="shared" si="22"/>
        <v>Aug</v>
      </c>
      <c r="K84" s="20" t="str">
        <f t="shared" si="22"/>
        <v>Aug</v>
      </c>
      <c r="L84" s="20" t="str">
        <f t="shared" si="22"/>
        <v>Aug</v>
      </c>
      <c r="M84" s="20" t="str">
        <f t="shared" si="22"/>
        <v>Aug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4</v>
      </c>
      <c r="H85" s="25">
        <f>+$H$5</f>
        <v>11</v>
      </c>
      <c r="I85" s="25">
        <f>+$I$5</f>
        <v>18</v>
      </c>
      <c r="J85" s="25">
        <f>+$J$5</f>
        <v>25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2024</v>
      </c>
      <c r="H99" s="10">
        <f>+G99</f>
        <v>2024</v>
      </c>
      <c r="I99" s="10">
        <f t="shared" ref="I99:M100" si="26">+H99</f>
        <v>2024</v>
      </c>
      <c r="J99" s="10">
        <f t="shared" si="26"/>
        <v>2024</v>
      </c>
      <c r="K99" s="10">
        <f t="shared" si="26"/>
        <v>2024</v>
      </c>
      <c r="L99" s="10">
        <f t="shared" si="26"/>
        <v>2024</v>
      </c>
      <c r="M99" s="10">
        <f t="shared" si="26"/>
        <v>2024</v>
      </c>
      <c r="N99" s="11"/>
      <c r="O99" s="44"/>
      <c r="P99" s="44"/>
      <c r="Q99" s="44"/>
      <c r="S99" s="12" t="str">
        <f>+C99</f>
        <v>Ngwempisi</v>
      </c>
      <c r="T99" s="13">
        <f>+L103</f>
        <v>145</v>
      </c>
      <c r="U99" s="13">
        <f>+L104+L105</f>
        <v>45</v>
      </c>
      <c r="V99" s="13">
        <f>+L106+L107</f>
        <v>100</v>
      </c>
      <c r="W99" s="13">
        <f>+L110</f>
        <v>11</v>
      </c>
      <c r="X99" s="13">
        <f>+L108</f>
        <v>0</v>
      </c>
    </row>
    <row r="100" spans="1:24" x14ac:dyDescent="0.25">
      <c r="A100" s="14"/>
      <c r="B100" s="15"/>
      <c r="C100" s="41" t="str">
        <f>+$C84</f>
        <v>August 2024</v>
      </c>
      <c r="D100" s="18"/>
      <c r="E100" s="18"/>
      <c r="F100" s="18"/>
      <c r="G100" s="20" t="str">
        <f>+$G$4</f>
        <v>Aug</v>
      </c>
      <c r="H100" s="20" t="str">
        <f>+G100</f>
        <v>Aug</v>
      </c>
      <c r="I100" s="20" t="str">
        <f t="shared" si="26"/>
        <v>Aug</v>
      </c>
      <c r="J100" s="20" t="str">
        <f t="shared" si="26"/>
        <v>Aug</v>
      </c>
      <c r="K100" s="20" t="str">
        <f t="shared" si="26"/>
        <v>Aug</v>
      </c>
      <c r="L100" s="20" t="str">
        <f t="shared" si="26"/>
        <v>Aug</v>
      </c>
      <c r="M100" s="20" t="str">
        <f t="shared" si="26"/>
        <v>Aug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4</v>
      </c>
      <c r="H101" s="25">
        <f>+$H$5</f>
        <v>11</v>
      </c>
      <c r="I101" s="25">
        <f>+$I$5</f>
        <v>18</v>
      </c>
      <c r="J101" s="25">
        <f>+$J$5</f>
        <v>25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 t="s">
        <v>73</v>
      </c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73</v>
      </c>
      <c r="H103" s="31">
        <f t="shared" ref="H103:L103" si="27">SUM(H104:H107)</f>
        <v>0</v>
      </c>
      <c r="I103" s="31">
        <f t="shared" si="27"/>
        <v>72</v>
      </c>
      <c r="J103" s="31">
        <f t="shared" si="27"/>
        <v>0</v>
      </c>
      <c r="K103" s="31">
        <f t="shared" si="27"/>
        <v>0</v>
      </c>
      <c r="L103" s="31">
        <f t="shared" si="27"/>
        <v>145</v>
      </c>
      <c r="M103" s="31">
        <f>ROUND((L103/$E$1),0)</f>
        <v>36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3</v>
      </c>
      <c r="H104" s="42"/>
      <c r="I104" s="42">
        <v>5</v>
      </c>
      <c r="J104" s="42"/>
      <c r="K104" s="42"/>
      <c r="L104" s="35">
        <f>SUM(G104:K104)</f>
        <v>8</v>
      </c>
      <c r="M104" s="35">
        <f t="shared" ref="M104:M112" si="28">ROUND((L104/$E$1),0)</f>
        <v>2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18</v>
      </c>
      <c r="H105" s="42"/>
      <c r="I105" s="42">
        <v>19</v>
      </c>
      <c r="J105" s="42"/>
      <c r="K105" s="42"/>
      <c r="L105" s="35">
        <f t="shared" ref="L105:L112" si="29">SUM(G105:K105)</f>
        <v>37</v>
      </c>
      <c r="M105" s="35">
        <f t="shared" si="28"/>
        <v>9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16</v>
      </c>
      <c r="H106" s="42"/>
      <c r="I106" s="42">
        <v>14</v>
      </c>
      <c r="J106" s="42"/>
      <c r="K106" s="42"/>
      <c r="L106" s="35">
        <f t="shared" si="29"/>
        <v>30</v>
      </c>
      <c r="M106" s="35">
        <f t="shared" si="28"/>
        <v>8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36</v>
      </c>
      <c r="H107" s="43"/>
      <c r="I107" s="43">
        <v>34</v>
      </c>
      <c r="J107" s="43"/>
      <c r="K107" s="43"/>
      <c r="L107" s="31">
        <f t="shared" si="29"/>
        <v>70</v>
      </c>
      <c r="M107" s="31">
        <f t="shared" si="28"/>
        <v>18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>
        <v>6</v>
      </c>
      <c r="H110" s="42"/>
      <c r="I110" s="42">
        <v>5</v>
      </c>
      <c r="J110" s="42"/>
      <c r="K110" s="42"/>
      <c r="L110" s="35">
        <f t="shared" si="29"/>
        <v>11</v>
      </c>
      <c r="M110" s="35">
        <f t="shared" si="28"/>
        <v>3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2024</v>
      </c>
      <c r="H115" s="10">
        <f>+G115</f>
        <v>2024</v>
      </c>
      <c r="I115" s="10">
        <f t="shared" ref="I115:M116" si="30">+H115</f>
        <v>2024</v>
      </c>
      <c r="J115" s="10">
        <f t="shared" si="30"/>
        <v>2024</v>
      </c>
      <c r="K115" s="10">
        <f t="shared" si="30"/>
        <v>2024</v>
      </c>
      <c r="L115" s="10">
        <f t="shared" si="30"/>
        <v>2024</v>
      </c>
      <c r="M115" s="10">
        <f t="shared" si="30"/>
        <v>2024</v>
      </c>
      <c r="N115" s="11"/>
      <c r="O115" s="44"/>
      <c r="P115" s="44"/>
      <c r="Q115" s="44"/>
      <c r="S115" s="12" t="str">
        <f>+C115</f>
        <v>Gebeni</v>
      </c>
      <c r="T115" s="13">
        <f>+L119</f>
        <v>226</v>
      </c>
      <c r="U115" s="13">
        <f>+L120+L121</f>
        <v>59</v>
      </c>
      <c r="V115" s="13">
        <f>+L122+L123</f>
        <v>167</v>
      </c>
      <c r="W115" s="13">
        <f>+L126</f>
        <v>16</v>
      </c>
      <c r="X115" s="13">
        <f>+L124</f>
        <v>6</v>
      </c>
    </row>
    <row r="116" spans="1:24" x14ac:dyDescent="0.25">
      <c r="A116" s="14"/>
      <c r="B116" s="15"/>
      <c r="C116" s="41" t="str">
        <f>+$C100</f>
        <v>August 2024</v>
      </c>
      <c r="D116" s="18"/>
      <c r="E116" s="18"/>
      <c r="F116" s="18"/>
      <c r="G116" s="20" t="str">
        <f>+$G$4</f>
        <v>Aug</v>
      </c>
      <c r="H116" s="20" t="str">
        <f>+G116</f>
        <v>Aug</v>
      </c>
      <c r="I116" s="20" t="str">
        <f t="shared" si="30"/>
        <v>Aug</v>
      </c>
      <c r="J116" s="20" t="str">
        <f t="shared" si="30"/>
        <v>Aug</v>
      </c>
      <c r="K116" s="20" t="str">
        <f t="shared" si="30"/>
        <v>Aug</v>
      </c>
      <c r="L116" s="20" t="str">
        <f t="shared" si="30"/>
        <v>Aug</v>
      </c>
      <c r="M116" s="20" t="str">
        <f t="shared" si="30"/>
        <v>Aug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4</v>
      </c>
      <c r="H117" s="25">
        <f>+$H$5</f>
        <v>11</v>
      </c>
      <c r="I117" s="25">
        <f>+$I$5</f>
        <v>18</v>
      </c>
      <c r="J117" s="25">
        <f>+$J$5</f>
        <v>25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47</v>
      </c>
      <c r="H119" s="31">
        <f t="shared" ref="H119:L119" si="31">SUM(H120:H123)</f>
        <v>49</v>
      </c>
      <c r="I119" s="31">
        <f t="shared" si="31"/>
        <v>72</v>
      </c>
      <c r="J119" s="31">
        <f t="shared" si="31"/>
        <v>58</v>
      </c>
      <c r="K119" s="31">
        <f t="shared" si="31"/>
        <v>0</v>
      </c>
      <c r="L119" s="31">
        <f t="shared" si="31"/>
        <v>226</v>
      </c>
      <c r="M119" s="31">
        <f>ROUND((L119/$E$1),0)</f>
        <v>57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5</v>
      </c>
      <c r="H120" s="42">
        <v>6</v>
      </c>
      <c r="I120" s="42">
        <v>3</v>
      </c>
      <c r="J120" s="42">
        <v>4</v>
      </c>
      <c r="K120" s="42"/>
      <c r="L120" s="35">
        <f>SUM(G120:K120)</f>
        <v>18</v>
      </c>
      <c r="M120" s="35">
        <f t="shared" ref="M120:M128" si="32">ROUND((L120/$E$1),0)</f>
        <v>5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6</v>
      </c>
      <c r="H121" s="42">
        <v>12</v>
      </c>
      <c r="I121" s="42">
        <v>13</v>
      </c>
      <c r="J121" s="42">
        <v>10</v>
      </c>
      <c r="K121" s="42"/>
      <c r="L121" s="35">
        <f t="shared" ref="L121:L128" si="33">SUM(G121:K121)</f>
        <v>41</v>
      </c>
      <c r="M121" s="35">
        <f t="shared" si="32"/>
        <v>10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15</v>
      </c>
      <c r="H122" s="42">
        <v>10</v>
      </c>
      <c r="I122" s="42">
        <v>18</v>
      </c>
      <c r="J122" s="42">
        <v>19</v>
      </c>
      <c r="K122" s="42"/>
      <c r="L122" s="35">
        <f t="shared" si="33"/>
        <v>62</v>
      </c>
      <c r="M122" s="35">
        <f t="shared" si="32"/>
        <v>16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21</v>
      </c>
      <c r="H123" s="43">
        <v>21</v>
      </c>
      <c r="I123" s="43">
        <v>38</v>
      </c>
      <c r="J123" s="43">
        <v>25</v>
      </c>
      <c r="K123" s="43"/>
      <c r="L123" s="31">
        <f t="shared" si="33"/>
        <v>105</v>
      </c>
      <c r="M123" s="31">
        <f t="shared" si="32"/>
        <v>26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3</v>
      </c>
      <c r="H124" s="42"/>
      <c r="I124" s="42">
        <v>3</v>
      </c>
      <c r="J124" s="42"/>
      <c r="K124" s="42"/>
      <c r="L124" s="35">
        <f t="shared" si="33"/>
        <v>6</v>
      </c>
      <c r="M124" s="35">
        <f t="shared" si="32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9</v>
      </c>
      <c r="H126" s="42"/>
      <c r="I126" s="42">
        <v>7</v>
      </c>
      <c r="J126" s="42"/>
      <c r="K126" s="42"/>
      <c r="L126" s="35">
        <f t="shared" si="33"/>
        <v>16</v>
      </c>
      <c r="M126" s="35">
        <f t="shared" si="32"/>
        <v>4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>
        <v>144</v>
      </c>
      <c r="H127" s="42"/>
      <c r="I127" s="42">
        <v>15</v>
      </c>
      <c r="J127" s="42"/>
      <c r="K127" s="42"/>
      <c r="L127" s="35">
        <f t="shared" si="33"/>
        <v>159</v>
      </c>
      <c r="M127" s="35">
        <f t="shared" si="32"/>
        <v>40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2024</v>
      </c>
      <c r="H131" s="10">
        <f>+G131</f>
        <v>2024</v>
      </c>
      <c r="I131" s="10">
        <f t="shared" ref="I131:M132" si="34">+H131</f>
        <v>2024</v>
      </c>
      <c r="J131" s="10">
        <f t="shared" si="34"/>
        <v>2024</v>
      </c>
      <c r="K131" s="10">
        <f t="shared" si="34"/>
        <v>2024</v>
      </c>
      <c r="L131" s="10">
        <f t="shared" si="34"/>
        <v>2024</v>
      </c>
      <c r="M131" s="10">
        <f t="shared" si="34"/>
        <v>2024</v>
      </c>
      <c r="N131" s="11"/>
      <c r="O131" s="44"/>
      <c r="P131" s="44"/>
      <c r="Q131" s="44"/>
      <c r="S131" s="12" t="str">
        <f>+C131</f>
        <v>Mpolonjeni CLC</v>
      </c>
      <c r="T131" s="13">
        <f>+L135</f>
        <v>237</v>
      </c>
      <c r="U131" s="13">
        <f>+L136+L137</f>
        <v>80</v>
      </c>
      <c r="V131" s="13">
        <f>+L138+L139</f>
        <v>157</v>
      </c>
      <c r="W131" s="13">
        <f>+L142</f>
        <v>2</v>
      </c>
      <c r="X131" s="13">
        <f>+L140</f>
        <v>0</v>
      </c>
    </row>
    <row r="132" spans="1:24" x14ac:dyDescent="0.25">
      <c r="A132" s="14"/>
      <c r="B132" s="15"/>
      <c r="C132" s="41" t="str">
        <f>+$C116</f>
        <v>August 2024</v>
      </c>
      <c r="D132" s="18"/>
      <c r="E132" s="18"/>
      <c r="F132" s="18"/>
      <c r="G132" s="20" t="str">
        <f>+$G$4</f>
        <v>Aug</v>
      </c>
      <c r="H132" s="20" t="str">
        <f>+G132</f>
        <v>Aug</v>
      </c>
      <c r="I132" s="20" t="str">
        <f t="shared" si="34"/>
        <v>Aug</v>
      </c>
      <c r="J132" s="20" t="str">
        <f t="shared" si="34"/>
        <v>Aug</v>
      </c>
      <c r="K132" s="20" t="str">
        <f t="shared" si="34"/>
        <v>Aug</v>
      </c>
      <c r="L132" s="20" t="str">
        <f t="shared" si="34"/>
        <v>Aug</v>
      </c>
      <c r="M132" s="20" t="str">
        <f t="shared" si="34"/>
        <v>Aug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4</v>
      </c>
      <c r="H133" s="25">
        <f>+$H$5</f>
        <v>11</v>
      </c>
      <c r="I133" s="25">
        <f>+$I$5</f>
        <v>18</v>
      </c>
      <c r="J133" s="25">
        <f>+$J$5</f>
        <v>25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59</v>
      </c>
      <c r="H135" s="31">
        <f t="shared" ref="H135:L135" si="35">SUM(H136:H139)</f>
        <v>60</v>
      </c>
      <c r="I135" s="31">
        <f t="shared" si="35"/>
        <v>57</v>
      </c>
      <c r="J135" s="31">
        <f t="shared" si="35"/>
        <v>61</v>
      </c>
      <c r="K135" s="31">
        <f t="shared" si="35"/>
        <v>0</v>
      </c>
      <c r="L135" s="31">
        <f t="shared" si="35"/>
        <v>237</v>
      </c>
      <c r="M135" s="31">
        <f>ROUND((L135/$E$1),0)</f>
        <v>59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5</v>
      </c>
      <c r="H136" s="42">
        <v>5</v>
      </c>
      <c r="I136" s="42">
        <v>5</v>
      </c>
      <c r="J136" s="42">
        <v>4</v>
      </c>
      <c r="K136" s="42"/>
      <c r="L136" s="35">
        <f>SUM(G136:K136)</f>
        <v>19</v>
      </c>
      <c r="M136" s="35">
        <f t="shared" ref="M136:M144" si="36">ROUND((L136/$E$1),0)</f>
        <v>5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16</v>
      </c>
      <c r="H137" s="42">
        <v>15</v>
      </c>
      <c r="I137" s="42">
        <v>15</v>
      </c>
      <c r="J137" s="42">
        <v>15</v>
      </c>
      <c r="K137" s="42"/>
      <c r="L137" s="35">
        <f t="shared" ref="L137:L144" si="37">SUM(G137:K137)</f>
        <v>61</v>
      </c>
      <c r="M137" s="35">
        <f t="shared" si="36"/>
        <v>15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12</v>
      </c>
      <c r="H138" s="42">
        <v>14</v>
      </c>
      <c r="I138" s="42">
        <v>13</v>
      </c>
      <c r="J138" s="42">
        <v>15</v>
      </c>
      <c r="K138" s="42"/>
      <c r="L138" s="35">
        <f t="shared" si="37"/>
        <v>54</v>
      </c>
      <c r="M138" s="35">
        <f t="shared" si="36"/>
        <v>14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26</v>
      </c>
      <c r="H139" s="43">
        <v>26</v>
      </c>
      <c r="I139" s="43">
        <v>24</v>
      </c>
      <c r="J139" s="43">
        <v>27</v>
      </c>
      <c r="K139" s="43"/>
      <c r="L139" s="31">
        <f t="shared" si="37"/>
        <v>103</v>
      </c>
      <c r="M139" s="31">
        <f t="shared" si="36"/>
        <v>26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>
        <v>1</v>
      </c>
      <c r="I142" s="42">
        <v>1</v>
      </c>
      <c r="J142" s="42"/>
      <c r="K142" s="42"/>
      <c r="L142" s="35">
        <f t="shared" si="37"/>
        <v>2</v>
      </c>
      <c r="M142" s="35">
        <f t="shared" si="36"/>
        <v>1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/>
      <c r="H143" s="42">
        <v>144</v>
      </c>
      <c r="I143" s="42">
        <v>144</v>
      </c>
      <c r="J143" s="42">
        <v>180</v>
      </c>
      <c r="K143" s="42"/>
      <c r="L143" s="35">
        <f t="shared" si="37"/>
        <v>468</v>
      </c>
      <c r="M143" s="35">
        <f t="shared" si="36"/>
        <v>117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2024</v>
      </c>
      <c r="H147" s="10">
        <f>+G147</f>
        <v>2024</v>
      </c>
      <c r="I147" s="10">
        <f t="shared" ref="I147:M148" si="38">+H147</f>
        <v>2024</v>
      </c>
      <c r="J147" s="10">
        <f t="shared" si="38"/>
        <v>2024</v>
      </c>
      <c r="K147" s="10">
        <f t="shared" si="38"/>
        <v>2024</v>
      </c>
      <c r="L147" s="10">
        <f t="shared" si="38"/>
        <v>2024</v>
      </c>
      <c r="M147" s="10">
        <f t="shared" si="38"/>
        <v>2024</v>
      </c>
      <c r="N147" s="11"/>
      <c r="O147" s="44"/>
      <c r="P147" s="44"/>
      <c r="Q147" s="44"/>
      <c r="S147" s="12" t="str">
        <f>+C147</f>
        <v>Msahweni CLC</v>
      </c>
      <c r="T147" s="13">
        <f>+L151</f>
        <v>331</v>
      </c>
      <c r="U147" s="13">
        <f>+L152+L153</f>
        <v>114</v>
      </c>
      <c r="V147" s="13">
        <f>+L154+L155</f>
        <v>217</v>
      </c>
      <c r="W147" s="13">
        <f>+L158</f>
        <v>4</v>
      </c>
      <c r="X147" s="13">
        <f>+L156</f>
        <v>0</v>
      </c>
    </row>
    <row r="148" spans="1:24" x14ac:dyDescent="0.25">
      <c r="A148" s="14"/>
      <c r="B148" s="15"/>
      <c r="C148" s="41" t="str">
        <f>+$C132</f>
        <v>August 2024</v>
      </c>
      <c r="D148" s="18"/>
      <c r="E148" s="18"/>
      <c r="F148" s="18"/>
      <c r="G148" s="20" t="str">
        <f>+$G$4</f>
        <v>Aug</v>
      </c>
      <c r="H148" s="20" t="str">
        <f>+G148</f>
        <v>Aug</v>
      </c>
      <c r="I148" s="20" t="str">
        <f t="shared" si="38"/>
        <v>Aug</v>
      </c>
      <c r="J148" s="20" t="str">
        <f t="shared" si="38"/>
        <v>Aug</v>
      </c>
      <c r="K148" s="20" t="str">
        <f t="shared" si="38"/>
        <v>Aug</v>
      </c>
      <c r="L148" s="20" t="str">
        <f t="shared" si="38"/>
        <v>Aug</v>
      </c>
      <c r="M148" s="20" t="str">
        <f t="shared" si="38"/>
        <v>Aug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4</v>
      </c>
      <c r="H149" s="25">
        <f>+$H$5</f>
        <v>11</v>
      </c>
      <c r="I149" s="25">
        <f>+$I$5</f>
        <v>18</v>
      </c>
      <c r="J149" s="25">
        <f>+$J$5</f>
        <v>25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92</v>
      </c>
      <c r="H151" s="31">
        <f t="shared" ref="H151:L151" si="39">SUM(H152:H155)</f>
        <v>86</v>
      </c>
      <c r="I151" s="31">
        <f t="shared" si="39"/>
        <v>102</v>
      </c>
      <c r="J151" s="31">
        <f t="shared" si="39"/>
        <v>51</v>
      </c>
      <c r="K151" s="31">
        <f t="shared" si="39"/>
        <v>0</v>
      </c>
      <c r="L151" s="31">
        <f t="shared" si="39"/>
        <v>331</v>
      </c>
      <c r="M151" s="31">
        <f>ROUND((L151/$E$1),0)</f>
        <v>83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4</v>
      </c>
      <c r="H152" s="42">
        <v>3</v>
      </c>
      <c r="I152" s="42">
        <v>4</v>
      </c>
      <c r="J152" s="42">
        <v>3</v>
      </c>
      <c r="K152" s="42"/>
      <c r="L152" s="35">
        <f>SUM(G152:K152)</f>
        <v>14</v>
      </c>
      <c r="M152" s="35">
        <f t="shared" ref="M152:M160" si="40">ROUND((L152/$E$1),0)</f>
        <v>4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27</v>
      </c>
      <c r="H153" s="42">
        <v>30</v>
      </c>
      <c r="I153" s="42">
        <v>27</v>
      </c>
      <c r="J153" s="42">
        <v>16</v>
      </c>
      <c r="K153" s="42"/>
      <c r="L153" s="35">
        <f t="shared" ref="L153:L160" si="41">SUM(G153:K153)</f>
        <v>100</v>
      </c>
      <c r="M153" s="35">
        <f t="shared" si="40"/>
        <v>25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31</v>
      </c>
      <c r="H154" s="42">
        <v>28</v>
      </c>
      <c r="I154" s="42">
        <v>41</v>
      </c>
      <c r="J154" s="42">
        <v>12</v>
      </c>
      <c r="K154" s="42"/>
      <c r="L154" s="35">
        <f t="shared" si="41"/>
        <v>112</v>
      </c>
      <c r="M154" s="35">
        <f t="shared" si="40"/>
        <v>28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30</v>
      </c>
      <c r="H155" s="43">
        <v>25</v>
      </c>
      <c r="I155" s="43">
        <v>30</v>
      </c>
      <c r="J155" s="43">
        <v>20</v>
      </c>
      <c r="K155" s="43"/>
      <c r="L155" s="31">
        <f t="shared" si="41"/>
        <v>105</v>
      </c>
      <c r="M155" s="31">
        <f t="shared" si="40"/>
        <v>26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/>
      <c r="K156" s="42"/>
      <c r="L156" s="35">
        <f t="shared" si="41"/>
        <v>0</v>
      </c>
      <c r="M156" s="35">
        <f t="shared" si="40"/>
        <v>0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1</v>
      </c>
      <c r="H158" s="42">
        <v>3</v>
      </c>
      <c r="I158" s="42"/>
      <c r="J158" s="42"/>
      <c r="K158" s="42"/>
      <c r="L158" s="35">
        <f t="shared" si="41"/>
        <v>4</v>
      </c>
      <c r="M158" s="35">
        <f t="shared" si="40"/>
        <v>1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/>
      <c r="H159" s="42">
        <v>15</v>
      </c>
      <c r="I159" s="42"/>
      <c r="J159" s="42">
        <v>36</v>
      </c>
      <c r="K159" s="42"/>
      <c r="L159" s="35">
        <f t="shared" si="41"/>
        <v>51</v>
      </c>
      <c r="M159" s="35">
        <f t="shared" si="40"/>
        <v>13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2024</v>
      </c>
      <c r="H163" s="10">
        <f>+G163</f>
        <v>2024</v>
      </c>
      <c r="I163" s="10">
        <f t="shared" ref="I163:M164" si="42">+H163</f>
        <v>2024</v>
      </c>
      <c r="J163" s="10">
        <f t="shared" si="42"/>
        <v>2024</v>
      </c>
      <c r="K163" s="10">
        <f t="shared" si="42"/>
        <v>2024</v>
      </c>
      <c r="L163" s="10">
        <f t="shared" si="42"/>
        <v>2024</v>
      </c>
      <c r="M163" s="10">
        <f t="shared" si="42"/>
        <v>2024</v>
      </c>
      <c r="N163" s="11"/>
      <c r="O163" s="44"/>
      <c r="P163" s="44"/>
      <c r="Q163" s="44"/>
      <c r="S163" s="12" t="str">
        <f>+C163</f>
        <v>Mhlangatane</v>
      </c>
      <c r="T163" s="13">
        <f>+L167</f>
        <v>173</v>
      </c>
      <c r="U163" s="13">
        <f>+L168+L169</f>
        <v>48</v>
      </c>
      <c r="V163" s="13">
        <f>+L170+L171</f>
        <v>125</v>
      </c>
      <c r="W163" s="13">
        <f>+L174</f>
        <v>10</v>
      </c>
      <c r="X163" s="13">
        <f>+L172</f>
        <v>0</v>
      </c>
    </row>
    <row r="164" spans="1:24" x14ac:dyDescent="0.25">
      <c r="A164" s="14"/>
      <c r="B164" s="15"/>
      <c r="C164" s="41" t="str">
        <f>+$C148</f>
        <v>August 2024</v>
      </c>
      <c r="D164" s="18"/>
      <c r="E164" s="18"/>
      <c r="F164" s="18"/>
      <c r="G164" s="20" t="str">
        <f>+$G$4</f>
        <v>Aug</v>
      </c>
      <c r="H164" s="20" t="str">
        <f>+G164</f>
        <v>Aug</v>
      </c>
      <c r="I164" s="20" t="str">
        <f t="shared" si="42"/>
        <v>Aug</v>
      </c>
      <c r="J164" s="20" t="str">
        <f t="shared" si="42"/>
        <v>Aug</v>
      </c>
      <c r="K164" s="20" t="str">
        <f t="shared" si="42"/>
        <v>Aug</v>
      </c>
      <c r="L164" s="20" t="str">
        <f t="shared" si="42"/>
        <v>Aug</v>
      </c>
      <c r="M164" s="20" t="str">
        <f t="shared" si="42"/>
        <v>Aug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4</v>
      </c>
      <c r="H165" s="25">
        <f>+$H$5</f>
        <v>11</v>
      </c>
      <c r="I165" s="25">
        <f>+$I$5</f>
        <v>18</v>
      </c>
      <c r="J165" s="25">
        <f>+$J$5</f>
        <v>25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41</v>
      </c>
      <c r="H167" s="31">
        <f t="shared" ref="H167:L167" si="43">SUM(H168:H171)</f>
        <v>33</v>
      </c>
      <c r="I167" s="31">
        <f t="shared" si="43"/>
        <v>34</v>
      </c>
      <c r="J167" s="31">
        <f t="shared" si="43"/>
        <v>65</v>
      </c>
      <c r="K167" s="31">
        <f t="shared" si="43"/>
        <v>0</v>
      </c>
      <c r="L167" s="31">
        <f t="shared" si="43"/>
        <v>173</v>
      </c>
      <c r="M167" s="31">
        <f>ROUND((L167/$E$1),0)</f>
        <v>43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2</v>
      </c>
      <c r="H168" s="42">
        <v>1</v>
      </c>
      <c r="I168" s="42">
        <v>3</v>
      </c>
      <c r="J168" s="42">
        <v>4</v>
      </c>
      <c r="K168" s="42"/>
      <c r="L168" s="35">
        <f>SUM(G168:K168)</f>
        <v>10</v>
      </c>
      <c r="M168" s="35">
        <f t="shared" ref="M168:M176" si="44">ROUND((L168/$E$1),0)</f>
        <v>3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10</v>
      </c>
      <c r="H169" s="42">
        <v>14</v>
      </c>
      <c r="I169" s="42">
        <v>5</v>
      </c>
      <c r="J169" s="42">
        <v>9</v>
      </c>
      <c r="K169" s="42"/>
      <c r="L169" s="35">
        <f t="shared" ref="L169:L176" si="45">SUM(G169:K169)</f>
        <v>38</v>
      </c>
      <c r="M169" s="35">
        <f t="shared" si="44"/>
        <v>10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7</v>
      </c>
      <c r="H170" s="42">
        <v>7</v>
      </c>
      <c r="I170" s="42">
        <v>6</v>
      </c>
      <c r="J170" s="42">
        <v>17</v>
      </c>
      <c r="K170" s="42"/>
      <c r="L170" s="35">
        <f t="shared" si="45"/>
        <v>37</v>
      </c>
      <c r="M170" s="35">
        <f t="shared" si="44"/>
        <v>9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22</v>
      </c>
      <c r="H171" s="43">
        <v>11</v>
      </c>
      <c r="I171" s="43">
        <v>20</v>
      </c>
      <c r="J171" s="43">
        <v>35</v>
      </c>
      <c r="K171" s="43"/>
      <c r="L171" s="31">
        <f t="shared" si="45"/>
        <v>88</v>
      </c>
      <c r="M171" s="31">
        <f t="shared" si="44"/>
        <v>22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3</v>
      </c>
      <c r="H174" s="42">
        <v>2</v>
      </c>
      <c r="I174" s="42">
        <v>2</v>
      </c>
      <c r="J174" s="42">
        <v>3</v>
      </c>
      <c r="K174" s="42"/>
      <c r="L174" s="35">
        <f t="shared" si="45"/>
        <v>10</v>
      </c>
      <c r="M174" s="35">
        <f t="shared" si="44"/>
        <v>3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72</v>
      </c>
      <c r="H175" s="42">
        <v>108</v>
      </c>
      <c r="I175" s="42">
        <v>144</v>
      </c>
      <c r="J175" s="42">
        <v>60</v>
      </c>
      <c r="K175" s="42"/>
      <c r="L175" s="35">
        <f t="shared" si="45"/>
        <v>384</v>
      </c>
      <c r="M175" s="35">
        <f t="shared" si="44"/>
        <v>96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2024</v>
      </c>
      <c r="H179" s="10">
        <f>+G179</f>
        <v>2024</v>
      </c>
      <c r="I179" s="10">
        <f t="shared" ref="I179:M180" si="46">+H179</f>
        <v>2024</v>
      </c>
      <c r="J179" s="10">
        <f t="shared" si="46"/>
        <v>2024</v>
      </c>
      <c r="K179" s="10">
        <f t="shared" si="46"/>
        <v>2024</v>
      </c>
      <c r="L179" s="10">
        <f t="shared" si="46"/>
        <v>2024</v>
      </c>
      <c r="M179" s="10">
        <f t="shared" si="46"/>
        <v>2024</v>
      </c>
      <c r="N179" s="11"/>
      <c r="O179" s="44"/>
      <c r="P179" s="44"/>
      <c r="Q179" s="44"/>
      <c r="S179" s="12" t="str">
        <f>+C179</f>
        <v>Tibane</v>
      </c>
      <c r="T179" s="13">
        <f>+L183</f>
        <v>273</v>
      </c>
      <c r="U179" s="13">
        <f>+L184+L185</f>
        <v>50</v>
      </c>
      <c r="V179" s="13">
        <f>+L186+L187</f>
        <v>223</v>
      </c>
      <c r="W179" s="13">
        <f>+L190</f>
        <v>48</v>
      </c>
      <c r="X179" s="13">
        <f>+L188</f>
        <v>4</v>
      </c>
    </row>
    <row r="180" spans="1:24" x14ac:dyDescent="0.25">
      <c r="A180" s="14"/>
      <c r="B180" s="15"/>
      <c r="C180" s="41" t="str">
        <f>+$C164</f>
        <v>August 2024</v>
      </c>
      <c r="D180" s="18"/>
      <c r="E180" s="18"/>
      <c r="F180" s="18"/>
      <c r="G180" s="20" t="str">
        <f>+$G$4</f>
        <v>Aug</v>
      </c>
      <c r="H180" s="20" t="str">
        <f>+G180</f>
        <v>Aug</v>
      </c>
      <c r="I180" s="20" t="str">
        <f t="shared" si="46"/>
        <v>Aug</v>
      </c>
      <c r="J180" s="20" t="str">
        <f t="shared" si="46"/>
        <v>Aug</v>
      </c>
      <c r="K180" s="20" t="str">
        <f t="shared" si="46"/>
        <v>Aug</v>
      </c>
      <c r="L180" s="20" t="str">
        <f t="shared" si="46"/>
        <v>Aug</v>
      </c>
      <c r="M180" s="20" t="str">
        <f t="shared" si="46"/>
        <v>Aug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4</v>
      </c>
      <c r="H181" s="25">
        <f>+$H$5</f>
        <v>11</v>
      </c>
      <c r="I181" s="25">
        <f>+$I$5</f>
        <v>18</v>
      </c>
      <c r="J181" s="25">
        <f>+$J$5</f>
        <v>25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63</v>
      </c>
      <c r="H183" s="31">
        <f t="shared" ref="H183:L183" si="47">SUM(H184:H187)</f>
        <v>65</v>
      </c>
      <c r="I183" s="31">
        <f t="shared" si="47"/>
        <v>68</v>
      </c>
      <c r="J183" s="31">
        <f t="shared" si="47"/>
        <v>77</v>
      </c>
      <c r="K183" s="31">
        <f t="shared" si="47"/>
        <v>0</v>
      </c>
      <c r="L183" s="31">
        <f t="shared" si="47"/>
        <v>273</v>
      </c>
      <c r="M183" s="31">
        <f>ROUND((L183/$E$1),0)</f>
        <v>68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2</v>
      </c>
      <c r="H184" s="42">
        <v>1</v>
      </c>
      <c r="I184" s="42">
        <v>2</v>
      </c>
      <c r="J184" s="42">
        <v>4</v>
      </c>
      <c r="K184" s="42"/>
      <c r="L184" s="35">
        <f>SUM(G184:K184)</f>
        <v>9</v>
      </c>
      <c r="M184" s="35">
        <f t="shared" ref="M184:M192" si="48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10</v>
      </c>
      <c r="H185" s="42">
        <v>9</v>
      </c>
      <c r="I185" s="42">
        <v>10</v>
      </c>
      <c r="J185" s="42">
        <v>12</v>
      </c>
      <c r="K185" s="42"/>
      <c r="L185" s="35">
        <f t="shared" ref="L185:L192" si="49">SUM(G185:K185)</f>
        <v>41</v>
      </c>
      <c r="M185" s="35">
        <f t="shared" si="48"/>
        <v>10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16</v>
      </c>
      <c r="H186" s="42">
        <v>15</v>
      </c>
      <c r="I186" s="42">
        <v>15</v>
      </c>
      <c r="J186" s="42">
        <v>16</v>
      </c>
      <c r="K186" s="42"/>
      <c r="L186" s="35">
        <f t="shared" si="49"/>
        <v>62</v>
      </c>
      <c r="M186" s="35">
        <f t="shared" si="48"/>
        <v>16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35</v>
      </c>
      <c r="H187" s="43">
        <v>40</v>
      </c>
      <c r="I187" s="43">
        <v>41</v>
      </c>
      <c r="J187" s="43">
        <v>45</v>
      </c>
      <c r="K187" s="43"/>
      <c r="L187" s="31">
        <f t="shared" si="49"/>
        <v>161</v>
      </c>
      <c r="M187" s="31">
        <f t="shared" si="48"/>
        <v>40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/>
      <c r="H188" s="42"/>
      <c r="I188" s="42"/>
      <c r="J188" s="42">
        <v>4</v>
      </c>
      <c r="K188" s="42"/>
      <c r="L188" s="35">
        <f t="shared" si="49"/>
        <v>4</v>
      </c>
      <c r="M188" s="35">
        <f t="shared" si="48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12</v>
      </c>
      <c r="H190" s="42">
        <v>14</v>
      </c>
      <c r="I190" s="42">
        <v>12</v>
      </c>
      <c r="J190" s="42">
        <v>10</v>
      </c>
      <c r="K190" s="42"/>
      <c r="L190" s="35">
        <f t="shared" si="49"/>
        <v>48</v>
      </c>
      <c r="M190" s="35">
        <f t="shared" si="48"/>
        <v>12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144</v>
      </c>
      <c r="H191" s="42">
        <v>144</v>
      </c>
      <c r="I191" s="42">
        <v>144</v>
      </c>
      <c r="J191" s="42">
        <v>144</v>
      </c>
      <c r="K191" s="42"/>
      <c r="L191" s="35">
        <f t="shared" si="49"/>
        <v>576</v>
      </c>
      <c r="M191" s="35">
        <f t="shared" si="48"/>
        <v>144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2024</v>
      </c>
      <c r="H195" s="10">
        <f>+G195</f>
        <v>2024</v>
      </c>
      <c r="I195" s="10">
        <f t="shared" ref="I195:M196" si="50">+H195</f>
        <v>2024</v>
      </c>
      <c r="J195" s="10">
        <f t="shared" si="50"/>
        <v>2024</v>
      </c>
      <c r="K195" s="10">
        <f t="shared" si="50"/>
        <v>2024</v>
      </c>
      <c r="L195" s="10">
        <f t="shared" si="50"/>
        <v>2024</v>
      </c>
      <c r="M195" s="10">
        <f t="shared" si="50"/>
        <v>2024</v>
      </c>
      <c r="N195" s="11"/>
      <c r="O195" s="44"/>
      <c r="P195" s="44"/>
      <c r="Q195" s="44"/>
      <c r="S195" s="12" t="str">
        <f>+C195</f>
        <v>Nyathela</v>
      </c>
      <c r="T195" s="13">
        <f>+L199</f>
        <v>243</v>
      </c>
      <c r="U195" s="13">
        <f>+L200+L201</f>
        <v>49</v>
      </c>
      <c r="V195" s="13">
        <f>+L202+L203</f>
        <v>194</v>
      </c>
      <c r="W195" s="13">
        <f>+L206</f>
        <v>17</v>
      </c>
      <c r="X195" s="13">
        <f>+L204</f>
        <v>0</v>
      </c>
    </row>
    <row r="196" spans="1:24" x14ac:dyDescent="0.25">
      <c r="A196" s="14"/>
      <c r="B196" s="15"/>
      <c r="C196" s="41" t="str">
        <f>+$C180</f>
        <v>August 2024</v>
      </c>
      <c r="D196" s="18"/>
      <c r="E196" s="18"/>
      <c r="F196" s="18"/>
      <c r="G196" s="20" t="str">
        <f>+$G$4</f>
        <v>Aug</v>
      </c>
      <c r="H196" s="20" t="str">
        <f>+G196</f>
        <v>Aug</v>
      </c>
      <c r="I196" s="20" t="str">
        <f t="shared" si="50"/>
        <v>Aug</v>
      </c>
      <c r="J196" s="20" t="str">
        <f t="shared" si="50"/>
        <v>Aug</v>
      </c>
      <c r="K196" s="20" t="str">
        <f t="shared" si="50"/>
        <v>Aug</v>
      </c>
      <c r="L196" s="20" t="str">
        <f t="shared" si="50"/>
        <v>Aug</v>
      </c>
      <c r="M196" s="20" t="str">
        <f t="shared" si="50"/>
        <v>Aug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4</v>
      </c>
      <c r="H197" s="25">
        <f>+$H$5</f>
        <v>11</v>
      </c>
      <c r="I197" s="25">
        <f>+$I$5</f>
        <v>18</v>
      </c>
      <c r="J197" s="25">
        <f>+$J$5</f>
        <v>25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65</v>
      </c>
      <c r="H199" s="31">
        <f t="shared" ref="H199:L199" si="51">SUM(H200:H203)</f>
        <v>58</v>
      </c>
      <c r="I199" s="31">
        <f t="shared" si="51"/>
        <v>56</v>
      </c>
      <c r="J199" s="31">
        <f t="shared" si="51"/>
        <v>64</v>
      </c>
      <c r="K199" s="31">
        <f t="shared" si="51"/>
        <v>0</v>
      </c>
      <c r="L199" s="31">
        <f t="shared" si="51"/>
        <v>243</v>
      </c>
      <c r="M199" s="31">
        <f>ROUND((L199/$E$1),0)</f>
        <v>61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4</v>
      </c>
      <c r="H200" s="42">
        <v>4</v>
      </c>
      <c r="I200" s="42">
        <v>4</v>
      </c>
      <c r="J200" s="42">
        <v>4</v>
      </c>
      <c r="K200" s="42"/>
      <c r="L200" s="35">
        <f>SUM(G200:K200)</f>
        <v>16</v>
      </c>
      <c r="M200" s="35">
        <f t="shared" ref="M200:M208" si="52">ROUND((L200/$E$1),0)</f>
        <v>4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9</v>
      </c>
      <c r="H201" s="42">
        <v>7</v>
      </c>
      <c r="I201" s="42">
        <v>8</v>
      </c>
      <c r="J201" s="42">
        <v>9</v>
      </c>
      <c r="K201" s="42"/>
      <c r="L201" s="35">
        <f t="shared" ref="L201:L208" si="53">SUM(G201:K201)</f>
        <v>33</v>
      </c>
      <c r="M201" s="35">
        <f t="shared" si="52"/>
        <v>8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20</v>
      </c>
      <c r="H202" s="42">
        <v>23</v>
      </c>
      <c r="I202" s="42">
        <v>17</v>
      </c>
      <c r="J202" s="42">
        <v>22</v>
      </c>
      <c r="K202" s="42"/>
      <c r="L202" s="35">
        <f t="shared" si="53"/>
        <v>82</v>
      </c>
      <c r="M202" s="35">
        <f t="shared" si="52"/>
        <v>21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32</v>
      </c>
      <c r="H203" s="43">
        <v>24</v>
      </c>
      <c r="I203" s="43">
        <v>27</v>
      </c>
      <c r="J203" s="43">
        <v>29</v>
      </c>
      <c r="K203" s="43"/>
      <c r="L203" s="31">
        <f t="shared" si="53"/>
        <v>112</v>
      </c>
      <c r="M203" s="31">
        <f t="shared" si="52"/>
        <v>28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53"/>
        <v>0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4</v>
      </c>
      <c r="H206" s="42">
        <v>6</v>
      </c>
      <c r="I206" s="42">
        <v>4</v>
      </c>
      <c r="J206" s="42">
        <v>3</v>
      </c>
      <c r="K206" s="42"/>
      <c r="L206" s="35">
        <f t="shared" si="53"/>
        <v>17</v>
      </c>
      <c r="M206" s="35">
        <f t="shared" si="52"/>
        <v>4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72</v>
      </c>
      <c r="H207" s="42">
        <v>180</v>
      </c>
      <c r="I207" s="42">
        <v>144</v>
      </c>
      <c r="J207" s="42">
        <v>144</v>
      </c>
      <c r="K207" s="42"/>
      <c r="L207" s="35">
        <f t="shared" si="53"/>
        <v>540</v>
      </c>
      <c r="M207" s="35">
        <f t="shared" si="52"/>
        <v>135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2024</v>
      </c>
      <c r="H211" s="10">
        <f>+G211</f>
        <v>2024</v>
      </c>
      <c r="I211" s="10">
        <f t="shared" ref="I211:M212" si="54">+H211</f>
        <v>2024</v>
      </c>
      <c r="J211" s="10">
        <f t="shared" si="54"/>
        <v>2024</v>
      </c>
      <c r="K211" s="10">
        <f t="shared" si="54"/>
        <v>2024</v>
      </c>
      <c r="L211" s="10">
        <f t="shared" si="54"/>
        <v>2024</v>
      </c>
      <c r="M211" s="10">
        <f t="shared" si="54"/>
        <v>2024</v>
      </c>
      <c r="N211" s="11"/>
      <c r="O211" s="44"/>
      <c r="P211" s="44"/>
      <c r="Q211" s="44"/>
      <c r="S211" s="12" t="str">
        <f>+C211</f>
        <v>Mlindazwe</v>
      </c>
      <c r="T211" s="13">
        <f>+L215</f>
        <v>325</v>
      </c>
      <c r="U211" s="13">
        <f>+L216+L217</f>
        <v>42</v>
      </c>
      <c r="V211" s="13">
        <f>+L218+L219</f>
        <v>283</v>
      </c>
      <c r="W211" s="13">
        <f>+L222</f>
        <v>11</v>
      </c>
      <c r="X211" s="13">
        <f>+L220</f>
        <v>0</v>
      </c>
    </row>
    <row r="212" spans="1:24" x14ac:dyDescent="0.25">
      <c r="A212" s="14"/>
      <c r="B212" s="15"/>
      <c r="C212" s="41" t="str">
        <f>+$C196</f>
        <v>August 2024</v>
      </c>
      <c r="D212" s="18"/>
      <c r="E212" s="18"/>
      <c r="F212" s="18"/>
      <c r="G212" s="20" t="str">
        <f>+$G$4</f>
        <v>Aug</v>
      </c>
      <c r="H212" s="20" t="str">
        <f>+G212</f>
        <v>Aug</v>
      </c>
      <c r="I212" s="20" t="str">
        <f t="shared" si="54"/>
        <v>Aug</v>
      </c>
      <c r="J212" s="20" t="str">
        <f t="shared" si="54"/>
        <v>Aug</v>
      </c>
      <c r="K212" s="20" t="str">
        <f t="shared" si="54"/>
        <v>Aug</v>
      </c>
      <c r="L212" s="20" t="str">
        <f t="shared" si="54"/>
        <v>Aug</v>
      </c>
      <c r="M212" s="20" t="str">
        <f t="shared" si="54"/>
        <v>Aug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4</v>
      </c>
      <c r="H213" s="25">
        <f>+$H$5</f>
        <v>11</v>
      </c>
      <c r="I213" s="25">
        <f>+$I$5</f>
        <v>18</v>
      </c>
      <c r="J213" s="25">
        <f>+$J$5</f>
        <v>25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80</v>
      </c>
      <c r="H215" s="31">
        <f t="shared" ref="H215:L215" si="55">SUM(H216:H219)</f>
        <v>94</v>
      </c>
      <c r="I215" s="31">
        <f t="shared" si="55"/>
        <v>63</v>
      </c>
      <c r="J215" s="31">
        <f t="shared" si="55"/>
        <v>88</v>
      </c>
      <c r="K215" s="31">
        <f t="shared" si="55"/>
        <v>0</v>
      </c>
      <c r="L215" s="31">
        <f t="shared" si="55"/>
        <v>325</v>
      </c>
      <c r="M215" s="31">
        <f>ROUND((L215/$E$1),0)</f>
        <v>81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3</v>
      </c>
      <c r="H216" s="42">
        <v>1</v>
      </c>
      <c r="I216" s="42">
        <v>1</v>
      </c>
      <c r="J216" s="42">
        <v>2</v>
      </c>
      <c r="K216" s="42"/>
      <c r="L216" s="35">
        <f>SUM(G216:K216)</f>
        <v>7</v>
      </c>
      <c r="M216" s="35">
        <f t="shared" ref="M216:M224" si="56">ROUND((L216/$E$1),0)</f>
        <v>2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10</v>
      </c>
      <c r="H217" s="42">
        <v>10</v>
      </c>
      <c r="I217" s="42">
        <v>5</v>
      </c>
      <c r="J217" s="42">
        <v>10</v>
      </c>
      <c r="K217" s="42"/>
      <c r="L217" s="35">
        <f t="shared" ref="L217:L224" si="57">SUM(G217:K217)</f>
        <v>35</v>
      </c>
      <c r="M217" s="35">
        <f t="shared" si="56"/>
        <v>9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23</v>
      </c>
      <c r="H218" s="42">
        <v>32</v>
      </c>
      <c r="I218" s="42">
        <v>16</v>
      </c>
      <c r="J218" s="42">
        <v>23</v>
      </c>
      <c r="K218" s="42"/>
      <c r="L218" s="35">
        <f t="shared" si="57"/>
        <v>94</v>
      </c>
      <c r="M218" s="35">
        <f t="shared" si="56"/>
        <v>24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44</v>
      </c>
      <c r="H219" s="43">
        <v>51</v>
      </c>
      <c r="I219" s="43">
        <v>41</v>
      </c>
      <c r="J219" s="43">
        <v>53</v>
      </c>
      <c r="K219" s="43"/>
      <c r="L219" s="31">
        <f t="shared" si="57"/>
        <v>189</v>
      </c>
      <c r="M219" s="31">
        <f t="shared" si="56"/>
        <v>47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>
        <f t="shared" si="56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2</v>
      </c>
      <c r="H222" s="42">
        <v>6</v>
      </c>
      <c r="I222" s="42"/>
      <c r="J222" s="42">
        <v>3</v>
      </c>
      <c r="K222" s="42"/>
      <c r="L222" s="35">
        <f t="shared" si="57"/>
        <v>11</v>
      </c>
      <c r="M222" s="35">
        <f t="shared" si="56"/>
        <v>3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72</v>
      </c>
      <c r="H223" s="42">
        <v>72</v>
      </c>
      <c r="I223" s="42">
        <v>144</v>
      </c>
      <c r="J223" s="42"/>
      <c r="K223" s="42"/>
      <c r="L223" s="35">
        <f t="shared" si="57"/>
        <v>288</v>
      </c>
      <c r="M223" s="35">
        <f t="shared" si="56"/>
        <v>72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2024</v>
      </c>
      <c r="H227" s="10">
        <f>+G227</f>
        <v>2024</v>
      </c>
      <c r="I227" s="10">
        <f t="shared" ref="I227:M228" si="58">+H227</f>
        <v>2024</v>
      </c>
      <c r="J227" s="10">
        <f t="shared" si="58"/>
        <v>2024</v>
      </c>
      <c r="K227" s="10">
        <f t="shared" si="58"/>
        <v>2024</v>
      </c>
      <c r="L227" s="10">
        <f t="shared" si="58"/>
        <v>2024</v>
      </c>
      <c r="M227" s="10">
        <f t="shared" si="58"/>
        <v>2024</v>
      </c>
      <c r="N227" s="11"/>
      <c r="O227" s="44"/>
      <c r="P227" s="44"/>
      <c r="Q227" s="44"/>
      <c r="S227" s="12" t="str">
        <f>+C227</f>
        <v>Lundzi</v>
      </c>
      <c r="T227" s="13">
        <f>+L231</f>
        <v>218</v>
      </c>
      <c r="U227" s="13">
        <f>+L232+L233</f>
        <v>90</v>
      </c>
      <c r="V227" s="13">
        <f>+L234+L235</f>
        <v>128</v>
      </c>
      <c r="W227" s="13">
        <f>+L238</f>
        <v>14</v>
      </c>
      <c r="X227" s="13">
        <f>+L236</f>
        <v>0</v>
      </c>
    </row>
    <row r="228" spans="1:24" x14ac:dyDescent="0.25">
      <c r="A228" s="14"/>
      <c r="B228" s="15"/>
      <c r="C228" s="41" t="str">
        <f>+$C212</f>
        <v>August 2024</v>
      </c>
      <c r="D228" s="18"/>
      <c r="E228" s="18"/>
      <c r="F228" s="18"/>
      <c r="G228" s="20" t="str">
        <f>+$G$4</f>
        <v>Aug</v>
      </c>
      <c r="H228" s="20" t="str">
        <f>+G228</f>
        <v>Aug</v>
      </c>
      <c r="I228" s="20" t="str">
        <f t="shared" si="58"/>
        <v>Aug</v>
      </c>
      <c r="J228" s="20" t="str">
        <f t="shared" si="58"/>
        <v>Aug</v>
      </c>
      <c r="K228" s="20" t="str">
        <f t="shared" si="58"/>
        <v>Aug</v>
      </c>
      <c r="L228" s="20" t="str">
        <f t="shared" si="58"/>
        <v>Aug</v>
      </c>
      <c r="M228" s="20" t="str">
        <f t="shared" si="58"/>
        <v>Aug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4</v>
      </c>
      <c r="H229" s="25">
        <f>+$H$5</f>
        <v>11</v>
      </c>
      <c r="I229" s="25">
        <f>+$I$5</f>
        <v>18</v>
      </c>
      <c r="J229" s="25">
        <f>+$J$5</f>
        <v>25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56</v>
      </c>
      <c r="H231" s="31">
        <f t="shared" ref="H231:L231" si="59">SUM(H232:H235)</f>
        <v>56</v>
      </c>
      <c r="I231" s="31">
        <f t="shared" si="59"/>
        <v>53</v>
      </c>
      <c r="J231" s="31">
        <f t="shared" si="59"/>
        <v>53</v>
      </c>
      <c r="K231" s="31">
        <f t="shared" si="59"/>
        <v>0</v>
      </c>
      <c r="L231" s="31">
        <f t="shared" si="59"/>
        <v>218</v>
      </c>
      <c r="M231" s="31">
        <f>ROUND((L231/$E$1),0)</f>
        <v>55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8</v>
      </c>
      <c r="H232" s="42">
        <v>8</v>
      </c>
      <c r="I232" s="42">
        <v>9</v>
      </c>
      <c r="J232" s="42">
        <v>7</v>
      </c>
      <c r="K232" s="42"/>
      <c r="L232" s="35">
        <f>SUM(G232:K232)</f>
        <v>32</v>
      </c>
      <c r="M232" s="35">
        <f t="shared" ref="M232:M240" si="60">ROUND((L232/$E$1),0)</f>
        <v>8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15</v>
      </c>
      <c r="H233" s="42">
        <v>15</v>
      </c>
      <c r="I233" s="42">
        <v>13</v>
      </c>
      <c r="J233" s="42">
        <v>15</v>
      </c>
      <c r="K233" s="42"/>
      <c r="L233" s="35">
        <f t="shared" ref="L233:L240" si="61">SUM(G233:K233)</f>
        <v>58</v>
      </c>
      <c r="M233" s="35">
        <f t="shared" si="60"/>
        <v>15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10</v>
      </c>
      <c r="H234" s="42">
        <v>10</v>
      </c>
      <c r="I234" s="42">
        <v>5</v>
      </c>
      <c r="J234" s="42">
        <v>11</v>
      </c>
      <c r="K234" s="42"/>
      <c r="L234" s="35">
        <f t="shared" si="61"/>
        <v>36</v>
      </c>
      <c r="M234" s="35">
        <f t="shared" si="60"/>
        <v>9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23</v>
      </c>
      <c r="H235" s="43">
        <v>23</v>
      </c>
      <c r="I235" s="43">
        <v>26</v>
      </c>
      <c r="J235" s="43">
        <v>20</v>
      </c>
      <c r="K235" s="43"/>
      <c r="L235" s="31">
        <f t="shared" si="61"/>
        <v>92</v>
      </c>
      <c r="M235" s="31">
        <f t="shared" si="60"/>
        <v>23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/>
      <c r="I236" s="42"/>
      <c r="J236" s="42"/>
      <c r="K236" s="42"/>
      <c r="L236" s="35">
        <f t="shared" si="61"/>
        <v>0</v>
      </c>
      <c r="M236" s="35">
        <f t="shared" si="60"/>
        <v>0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>
        <v>3</v>
      </c>
      <c r="H238" s="42">
        <v>3</v>
      </c>
      <c r="I238" s="42">
        <v>3</v>
      </c>
      <c r="J238" s="42">
        <v>5</v>
      </c>
      <c r="K238" s="42"/>
      <c r="L238" s="35">
        <f t="shared" si="61"/>
        <v>14</v>
      </c>
      <c r="M238" s="35">
        <f t="shared" si="60"/>
        <v>4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>
        <v>360</v>
      </c>
      <c r="K239" s="42"/>
      <c r="L239" s="35">
        <f t="shared" si="61"/>
        <v>360</v>
      </c>
      <c r="M239" s="35">
        <f t="shared" si="60"/>
        <v>90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2024</v>
      </c>
      <c r="H243" s="10">
        <f>+G243</f>
        <v>2024</v>
      </c>
      <c r="I243" s="10">
        <f t="shared" ref="I243:M244" si="62">+H243</f>
        <v>2024</v>
      </c>
      <c r="J243" s="10">
        <f t="shared" si="62"/>
        <v>2024</v>
      </c>
      <c r="K243" s="10">
        <f t="shared" si="62"/>
        <v>2024</v>
      </c>
      <c r="L243" s="10">
        <f t="shared" si="62"/>
        <v>2024</v>
      </c>
      <c r="M243" s="10">
        <f t="shared" si="62"/>
        <v>2024</v>
      </c>
      <c r="N243" s="11"/>
      <c r="O243" s="44"/>
      <c r="P243" s="44"/>
      <c r="Q243" s="44"/>
      <c r="S243" s="12" t="str">
        <f>+C243</f>
        <v>Esigcaweni</v>
      </c>
      <c r="T243" s="13">
        <f>+L247</f>
        <v>344</v>
      </c>
      <c r="U243" s="13">
        <f>+L248+L249</f>
        <v>46</v>
      </c>
      <c r="V243" s="13">
        <f>+L250+L251</f>
        <v>298</v>
      </c>
      <c r="W243" s="13">
        <f>+L254</f>
        <v>35</v>
      </c>
      <c r="X243" s="13">
        <f>+L252</f>
        <v>0</v>
      </c>
    </row>
    <row r="244" spans="1:24" x14ac:dyDescent="0.25">
      <c r="A244" s="14"/>
      <c r="B244" s="15"/>
      <c r="C244" s="41" t="str">
        <f>+$C228</f>
        <v>August 2024</v>
      </c>
      <c r="D244" s="18"/>
      <c r="E244" s="18"/>
      <c r="F244" s="18"/>
      <c r="G244" s="20" t="str">
        <f>+$G$4</f>
        <v>Aug</v>
      </c>
      <c r="H244" s="20" t="str">
        <f>+G244</f>
        <v>Aug</v>
      </c>
      <c r="I244" s="20" t="str">
        <f t="shared" si="62"/>
        <v>Aug</v>
      </c>
      <c r="J244" s="20" t="str">
        <f t="shared" si="62"/>
        <v>Aug</v>
      </c>
      <c r="K244" s="20" t="str">
        <f t="shared" si="62"/>
        <v>Aug</v>
      </c>
      <c r="L244" s="20" t="str">
        <f t="shared" si="62"/>
        <v>Aug</v>
      </c>
      <c r="M244" s="20" t="str">
        <f t="shared" si="62"/>
        <v>Aug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4</v>
      </c>
      <c r="H245" s="25">
        <f>+$H$5</f>
        <v>11</v>
      </c>
      <c r="I245" s="25">
        <f>+$I$5</f>
        <v>18</v>
      </c>
      <c r="J245" s="25">
        <f>+$J$5</f>
        <v>25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60</v>
      </c>
      <c r="H247" s="31">
        <f t="shared" ref="H247:L247" si="63">SUM(H248:H251)</f>
        <v>89</v>
      </c>
      <c r="I247" s="31">
        <f t="shared" si="63"/>
        <v>90</v>
      </c>
      <c r="J247" s="31">
        <f t="shared" si="63"/>
        <v>105</v>
      </c>
      <c r="K247" s="31">
        <f t="shared" si="63"/>
        <v>0</v>
      </c>
      <c r="L247" s="31">
        <f t="shared" si="63"/>
        <v>344</v>
      </c>
      <c r="M247" s="31">
        <f>ROUND((L247/$E$1),0)</f>
        <v>86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4</v>
      </c>
      <c r="H248" s="42">
        <v>5</v>
      </c>
      <c r="I248" s="42">
        <v>5</v>
      </c>
      <c r="J248" s="42">
        <v>5</v>
      </c>
      <c r="K248" s="42"/>
      <c r="L248" s="35">
        <f>SUM(G248:K248)</f>
        <v>19</v>
      </c>
      <c r="M248" s="35">
        <f t="shared" ref="M248:M256" si="64">ROUND((L248/$E$1),0)</f>
        <v>5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5</v>
      </c>
      <c r="H249" s="42">
        <v>8</v>
      </c>
      <c r="I249" s="42">
        <v>7</v>
      </c>
      <c r="J249" s="42">
        <v>7</v>
      </c>
      <c r="K249" s="42"/>
      <c r="L249" s="35">
        <f t="shared" ref="L249:L256" si="65">SUM(G249:K249)</f>
        <v>27</v>
      </c>
      <c r="M249" s="35">
        <f t="shared" si="64"/>
        <v>7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16</v>
      </c>
      <c r="H250" s="42">
        <v>20</v>
      </c>
      <c r="I250" s="42">
        <v>24</v>
      </c>
      <c r="J250" s="42">
        <v>26</v>
      </c>
      <c r="K250" s="42"/>
      <c r="L250" s="35">
        <f t="shared" si="65"/>
        <v>86</v>
      </c>
      <c r="M250" s="35">
        <f t="shared" si="64"/>
        <v>22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35</v>
      </c>
      <c r="H251" s="43">
        <v>56</v>
      </c>
      <c r="I251" s="43">
        <v>54</v>
      </c>
      <c r="J251" s="43">
        <v>67</v>
      </c>
      <c r="K251" s="43"/>
      <c r="L251" s="31">
        <f t="shared" si="65"/>
        <v>212</v>
      </c>
      <c r="M251" s="31">
        <f t="shared" si="64"/>
        <v>53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6</v>
      </c>
      <c r="H254" s="42">
        <v>6</v>
      </c>
      <c r="I254" s="42">
        <v>15</v>
      </c>
      <c r="J254" s="42">
        <v>8</v>
      </c>
      <c r="K254" s="42"/>
      <c r="L254" s="35">
        <f t="shared" si="65"/>
        <v>35</v>
      </c>
      <c r="M254" s="35">
        <f t="shared" si="64"/>
        <v>9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2024</v>
      </c>
      <c r="H259" s="10">
        <f>+G259</f>
        <v>2024</v>
      </c>
      <c r="I259" s="10">
        <f t="shared" ref="I259:M260" si="66">+H259</f>
        <v>2024</v>
      </c>
      <c r="J259" s="10">
        <f t="shared" si="66"/>
        <v>2024</v>
      </c>
      <c r="K259" s="10">
        <f t="shared" si="66"/>
        <v>2024</v>
      </c>
      <c r="L259" s="10">
        <f t="shared" si="66"/>
        <v>2024</v>
      </c>
      <c r="M259" s="10">
        <f t="shared" si="66"/>
        <v>2024</v>
      </c>
      <c r="N259" s="11"/>
      <c r="S259" s="12" t="str">
        <f>+C259</f>
        <v>Lonhlalane</v>
      </c>
      <c r="T259" s="13">
        <f>+L263</f>
        <v>168</v>
      </c>
      <c r="U259" s="13">
        <f>+L264+L265</f>
        <v>18</v>
      </c>
      <c r="V259" s="13">
        <f>+L266+L267</f>
        <v>150</v>
      </c>
      <c r="W259" s="13">
        <f>+L270</f>
        <v>3</v>
      </c>
      <c r="X259" s="13">
        <f>+L268</f>
        <v>2</v>
      </c>
    </row>
    <row r="260" spans="1:24" x14ac:dyDescent="0.25">
      <c r="A260" s="14"/>
      <c r="B260" s="15"/>
      <c r="C260" s="41" t="str">
        <f>+$C244</f>
        <v>August 2024</v>
      </c>
      <c r="D260" s="18"/>
      <c r="E260" s="18"/>
      <c r="F260" s="18"/>
      <c r="G260" s="20" t="str">
        <f>+$G$4</f>
        <v>Aug</v>
      </c>
      <c r="H260" s="20" t="str">
        <f>+G260</f>
        <v>Aug</v>
      </c>
      <c r="I260" s="20" t="str">
        <f t="shared" si="66"/>
        <v>Aug</v>
      </c>
      <c r="J260" s="20" t="str">
        <f t="shared" si="66"/>
        <v>Aug</v>
      </c>
      <c r="K260" s="20" t="str">
        <f t="shared" si="66"/>
        <v>Aug</v>
      </c>
      <c r="L260" s="20" t="str">
        <f t="shared" si="66"/>
        <v>Aug</v>
      </c>
      <c r="M260" s="20" t="str">
        <f t="shared" si="66"/>
        <v>Aug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4</v>
      </c>
      <c r="H261" s="25">
        <f>+$H$5</f>
        <v>11</v>
      </c>
      <c r="I261" s="25">
        <f>+$I$5</f>
        <v>18</v>
      </c>
      <c r="J261" s="25">
        <f>+$J$5</f>
        <v>25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46</v>
      </c>
      <c r="H263" s="31">
        <f t="shared" ref="H263:L263" si="67">SUM(H264:H267)</f>
        <v>31</v>
      </c>
      <c r="I263" s="31">
        <f t="shared" si="67"/>
        <v>46</v>
      </c>
      <c r="J263" s="31">
        <f t="shared" si="67"/>
        <v>45</v>
      </c>
      <c r="K263" s="31">
        <f t="shared" si="67"/>
        <v>0</v>
      </c>
      <c r="L263" s="31">
        <f t="shared" si="67"/>
        <v>168</v>
      </c>
      <c r="M263" s="31">
        <f>ROUND((L263/$E$1),0)</f>
        <v>42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1</v>
      </c>
      <c r="J264" s="42">
        <v>2</v>
      </c>
      <c r="K264" s="42"/>
      <c r="L264" s="35">
        <f>SUM(G264:K264)</f>
        <v>5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5</v>
      </c>
      <c r="H265" s="42">
        <v>1</v>
      </c>
      <c r="I265" s="42">
        <v>4</v>
      </c>
      <c r="J265" s="42">
        <v>3</v>
      </c>
      <c r="K265" s="42"/>
      <c r="L265" s="35">
        <f t="shared" ref="L265:L272" si="69">SUM(G265:K265)</f>
        <v>13</v>
      </c>
      <c r="M265" s="35">
        <f t="shared" si="68"/>
        <v>3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5</v>
      </c>
      <c r="H266" s="42">
        <v>5</v>
      </c>
      <c r="I266" s="42">
        <v>5</v>
      </c>
      <c r="J266" s="42">
        <v>8</v>
      </c>
      <c r="K266" s="42"/>
      <c r="L266" s="35">
        <f t="shared" si="69"/>
        <v>23</v>
      </c>
      <c r="M266" s="35">
        <f t="shared" si="68"/>
        <v>6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35</v>
      </c>
      <c r="H267" s="43">
        <v>24</v>
      </c>
      <c r="I267" s="43">
        <v>36</v>
      </c>
      <c r="J267" s="43">
        <v>32</v>
      </c>
      <c r="K267" s="43"/>
      <c r="L267" s="31">
        <f t="shared" si="69"/>
        <v>127</v>
      </c>
      <c r="M267" s="31">
        <f t="shared" si="68"/>
        <v>32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>
        <v>2</v>
      </c>
      <c r="H268" s="42"/>
      <c r="I268" s="42"/>
      <c r="J268" s="42"/>
      <c r="K268" s="42"/>
      <c r="L268" s="35">
        <f t="shared" si="69"/>
        <v>2</v>
      </c>
      <c r="M268" s="35">
        <f t="shared" si="68"/>
        <v>1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>
        <v>2</v>
      </c>
      <c r="H270" s="42">
        <v>1</v>
      </c>
      <c r="I270" s="42"/>
      <c r="J270" s="42"/>
      <c r="K270" s="42"/>
      <c r="L270" s="35">
        <f t="shared" si="69"/>
        <v>3</v>
      </c>
      <c r="M270" s="35">
        <f t="shared" si="68"/>
        <v>1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>
        <v>72</v>
      </c>
      <c r="H271" s="42">
        <v>36</v>
      </c>
      <c r="I271" s="42"/>
      <c r="J271" s="42">
        <v>72</v>
      </c>
      <c r="K271" s="42"/>
      <c r="L271" s="35">
        <f t="shared" si="69"/>
        <v>180</v>
      </c>
      <c r="M271" s="35">
        <f t="shared" si="68"/>
        <v>45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2024</v>
      </c>
      <c r="H275" s="10">
        <f>+G275</f>
        <v>2024</v>
      </c>
      <c r="I275" s="10">
        <f t="shared" ref="I275:M276" si="70">+H275</f>
        <v>2024</v>
      </c>
      <c r="J275" s="10">
        <f t="shared" si="70"/>
        <v>2024</v>
      </c>
      <c r="K275" s="10">
        <f t="shared" si="70"/>
        <v>2024</v>
      </c>
      <c r="L275" s="10">
        <f t="shared" si="70"/>
        <v>2024</v>
      </c>
      <c r="M275" s="10">
        <f t="shared" si="70"/>
        <v>2024</v>
      </c>
      <c r="N275" s="11"/>
      <c r="S275" s="12" t="str">
        <f>+C275</f>
        <v>Zondwako</v>
      </c>
      <c r="T275" s="13">
        <f>+L279</f>
        <v>272</v>
      </c>
      <c r="U275" s="13">
        <f>+L280+L281</f>
        <v>30</v>
      </c>
      <c r="V275" s="13">
        <f>+L282+L283</f>
        <v>242</v>
      </c>
      <c r="W275" s="13">
        <f>+L286</f>
        <v>2</v>
      </c>
      <c r="X275" s="13">
        <f>+L284</f>
        <v>0</v>
      </c>
    </row>
    <row r="276" spans="1:24" x14ac:dyDescent="0.25">
      <c r="A276" s="14"/>
      <c r="B276" s="15"/>
      <c r="C276" s="41" t="str">
        <f>+$C260</f>
        <v>August 2024</v>
      </c>
      <c r="D276" s="18"/>
      <c r="E276" s="18"/>
      <c r="F276" s="18"/>
      <c r="G276" s="20" t="str">
        <f>+$G$4</f>
        <v>Aug</v>
      </c>
      <c r="H276" s="20" t="str">
        <f>+G276</f>
        <v>Aug</v>
      </c>
      <c r="I276" s="20" t="str">
        <f t="shared" si="70"/>
        <v>Aug</v>
      </c>
      <c r="J276" s="20" t="str">
        <f t="shared" si="70"/>
        <v>Aug</v>
      </c>
      <c r="K276" s="20" t="str">
        <f t="shared" si="70"/>
        <v>Aug</v>
      </c>
      <c r="L276" s="20" t="str">
        <f t="shared" si="70"/>
        <v>Aug</v>
      </c>
      <c r="M276" s="20" t="str">
        <f t="shared" si="70"/>
        <v>Aug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4</v>
      </c>
      <c r="H277" s="25">
        <f>+$H$5</f>
        <v>11</v>
      </c>
      <c r="I277" s="25">
        <f>+$I$5</f>
        <v>18</v>
      </c>
      <c r="J277" s="25">
        <f>+$J$5</f>
        <v>25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51</v>
      </c>
      <c r="H279" s="31">
        <f t="shared" ref="H279:L279" si="71">SUM(H280:H283)</f>
        <v>71</v>
      </c>
      <c r="I279" s="31">
        <f t="shared" si="71"/>
        <v>80</v>
      </c>
      <c r="J279" s="31">
        <f t="shared" si="71"/>
        <v>70</v>
      </c>
      <c r="K279" s="31">
        <f t="shared" si="71"/>
        <v>0</v>
      </c>
      <c r="L279" s="31">
        <f t="shared" si="71"/>
        <v>272</v>
      </c>
      <c r="M279" s="31">
        <f>ROUND((L279/$E$1),0)</f>
        <v>68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2</v>
      </c>
      <c r="H280" s="42">
        <v>2</v>
      </c>
      <c r="I280" s="42">
        <v>2</v>
      </c>
      <c r="J280" s="42">
        <v>1</v>
      </c>
      <c r="K280" s="42"/>
      <c r="L280" s="35">
        <f>SUM(G280:K280)</f>
        <v>7</v>
      </c>
      <c r="M280" s="35">
        <f t="shared" ref="M280:M288" si="72">ROUND((L280/$E$1),0)</f>
        <v>2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8</v>
      </c>
      <c r="H281" s="42">
        <v>5</v>
      </c>
      <c r="I281" s="42">
        <v>5</v>
      </c>
      <c r="J281" s="42">
        <v>5</v>
      </c>
      <c r="K281" s="42"/>
      <c r="L281" s="35">
        <f t="shared" ref="L281:L288" si="73">SUM(G281:K281)</f>
        <v>23</v>
      </c>
      <c r="M281" s="35">
        <f t="shared" si="72"/>
        <v>6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11</v>
      </c>
      <c r="H282" s="42">
        <v>13</v>
      </c>
      <c r="I282" s="42">
        <v>15</v>
      </c>
      <c r="J282" s="42">
        <v>16</v>
      </c>
      <c r="K282" s="42"/>
      <c r="L282" s="35">
        <f t="shared" si="73"/>
        <v>55</v>
      </c>
      <c r="M282" s="35">
        <f t="shared" si="72"/>
        <v>14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30</v>
      </c>
      <c r="H283" s="43">
        <v>51</v>
      </c>
      <c r="I283" s="43">
        <v>58</v>
      </c>
      <c r="J283" s="43">
        <v>48</v>
      </c>
      <c r="K283" s="43"/>
      <c r="L283" s="31">
        <f t="shared" si="73"/>
        <v>187</v>
      </c>
      <c r="M283" s="31">
        <f t="shared" si="72"/>
        <v>47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>
        <v>2</v>
      </c>
      <c r="J286" s="42"/>
      <c r="K286" s="42"/>
      <c r="L286" s="35">
        <f t="shared" si="73"/>
        <v>2</v>
      </c>
      <c r="M286" s="35">
        <f t="shared" si="72"/>
        <v>1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2024</v>
      </c>
      <c r="H291" s="10">
        <f>+G291</f>
        <v>2024</v>
      </c>
      <c r="I291" s="10">
        <f t="shared" ref="I291:M292" si="74">+H291</f>
        <v>2024</v>
      </c>
      <c r="J291" s="10">
        <f t="shared" si="74"/>
        <v>2024</v>
      </c>
      <c r="K291" s="10">
        <f t="shared" si="74"/>
        <v>2024</v>
      </c>
      <c r="L291" s="10">
        <f t="shared" si="74"/>
        <v>2024</v>
      </c>
      <c r="M291" s="10">
        <f t="shared" si="74"/>
        <v>2024</v>
      </c>
      <c r="N291" s="11"/>
      <c r="S291" s="12" t="str">
        <f>+C291</f>
        <v>Mangcongco</v>
      </c>
      <c r="T291" s="13">
        <f>+L295</f>
        <v>256</v>
      </c>
      <c r="U291" s="13">
        <f>+L296+L297</f>
        <v>34</v>
      </c>
      <c r="V291" s="13">
        <f>+L298+L299</f>
        <v>222</v>
      </c>
      <c r="W291" s="13">
        <f>+L302</f>
        <v>10</v>
      </c>
      <c r="X291" s="13">
        <f>+L300</f>
        <v>0</v>
      </c>
    </row>
    <row r="292" spans="1:24" x14ac:dyDescent="0.25">
      <c r="A292" s="14"/>
      <c r="B292" s="15"/>
      <c r="C292" s="41" t="str">
        <f>+$C276</f>
        <v>August 2024</v>
      </c>
      <c r="D292" s="18"/>
      <c r="E292" s="18"/>
      <c r="F292" s="18"/>
      <c r="G292" s="20" t="str">
        <f>+$G$4</f>
        <v>Aug</v>
      </c>
      <c r="H292" s="20" t="str">
        <f>+G292</f>
        <v>Aug</v>
      </c>
      <c r="I292" s="20" t="str">
        <f t="shared" si="74"/>
        <v>Aug</v>
      </c>
      <c r="J292" s="20" t="str">
        <f t="shared" si="74"/>
        <v>Aug</v>
      </c>
      <c r="K292" s="20" t="str">
        <f t="shared" si="74"/>
        <v>Aug</v>
      </c>
      <c r="L292" s="20" t="str">
        <f t="shared" si="74"/>
        <v>Aug</v>
      </c>
      <c r="M292" s="20" t="str">
        <f t="shared" si="74"/>
        <v>Aug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4</v>
      </c>
      <c r="H293" s="25">
        <f>+$H$5</f>
        <v>11</v>
      </c>
      <c r="I293" s="25">
        <f>+$I$5</f>
        <v>18</v>
      </c>
      <c r="J293" s="25">
        <f>+$J$5</f>
        <v>25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65</v>
      </c>
      <c r="H295" s="31">
        <f t="shared" ref="H295:L295" si="75">SUM(H296:H299)</f>
        <v>64</v>
      </c>
      <c r="I295" s="31">
        <f t="shared" si="75"/>
        <v>65</v>
      </c>
      <c r="J295" s="31">
        <f t="shared" si="75"/>
        <v>62</v>
      </c>
      <c r="K295" s="31">
        <f t="shared" si="75"/>
        <v>0</v>
      </c>
      <c r="L295" s="31">
        <f t="shared" si="75"/>
        <v>256</v>
      </c>
      <c r="M295" s="31">
        <f>ROUND((L295/$E$1),0)</f>
        <v>64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2</v>
      </c>
      <c r="H296" s="42">
        <v>2</v>
      </c>
      <c r="I296" s="42">
        <v>2</v>
      </c>
      <c r="J296" s="42">
        <v>2</v>
      </c>
      <c r="K296" s="42"/>
      <c r="L296" s="35">
        <f>SUM(G296:K296)</f>
        <v>8</v>
      </c>
      <c r="M296" s="35">
        <f t="shared" ref="M296:M304" si="76">ROUND((L296/$E$1),0)</f>
        <v>2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8</v>
      </c>
      <c r="H297" s="42">
        <v>5</v>
      </c>
      <c r="I297" s="42">
        <v>6</v>
      </c>
      <c r="J297" s="42">
        <v>7</v>
      </c>
      <c r="K297" s="42"/>
      <c r="L297" s="35">
        <f t="shared" ref="L297:L304" si="77">SUM(G297:K297)</f>
        <v>26</v>
      </c>
      <c r="M297" s="35">
        <f t="shared" si="76"/>
        <v>7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18</v>
      </c>
      <c r="H298" s="42">
        <v>24</v>
      </c>
      <c r="I298" s="42">
        <v>25</v>
      </c>
      <c r="J298" s="42">
        <v>23</v>
      </c>
      <c r="K298" s="42"/>
      <c r="L298" s="35">
        <f t="shared" si="77"/>
        <v>90</v>
      </c>
      <c r="M298" s="35">
        <f t="shared" si="76"/>
        <v>23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37</v>
      </c>
      <c r="H299" s="43">
        <v>33</v>
      </c>
      <c r="I299" s="43">
        <v>32</v>
      </c>
      <c r="J299" s="43">
        <v>30</v>
      </c>
      <c r="K299" s="43"/>
      <c r="L299" s="31">
        <f t="shared" si="77"/>
        <v>132</v>
      </c>
      <c r="M299" s="31">
        <f t="shared" si="76"/>
        <v>33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2</v>
      </c>
      <c r="H302" s="42">
        <v>3</v>
      </c>
      <c r="I302" s="42">
        <v>2</v>
      </c>
      <c r="J302" s="42">
        <v>3</v>
      </c>
      <c r="K302" s="42"/>
      <c r="L302" s="35">
        <f t="shared" si="77"/>
        <v>10</v>
      </c>
      <c r="M302" s="35">
        <f t="shared" si="76"/>
        <v>3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2024</v>
      </c>
      <c r="H307" s="10">
        <f>+G307</f>
        <v>2024</v>
      </c>
      <c r="I307" s="10">
        <f t="shared" ref="I307:M308" si="78">+H307</f>
        <v>2024</v>
      </c>
      <c r="J307" s="10">
        <f t="shared" si="78"/>
        <v>2024</v>
      </c>
      <c r="K307" s="10">
        <f t="shared" si="78"/>
        <v>2024</v>
      </c>
      <c r="L307" s="10">
        <f t="shared" si="78"/>
        <v>2024</v>
      </c>
      <c r="M307" s="10">
        <f t="shared" si="78"/>
        <v>2024</v>
      </c>
      <c r="N307" s="11"/>
      <c r="S307" s="12" t="str">
        <f>+C307</f>
        <v>Kaliba</v>
      </c>
      <c r="T307" s="13">
        <f>+L311</f>
        <v>339</v>
      </c>
      <c r="U307" s="13">
        <f>+L312+L313</f>
        <v>66</v>
      </c>
      <c r="V307" s="13">
        <f>+L314+L315</f>
        <v>273</v>
      </c>
      <c r="W307" s="13">
        <f>+L318</f>
        <v>6</v>
      </c>
      <c r="X307" s="13">
        <f>+L316</f>
        <v>5</v>
      </c>
    </row>
    <row r="308" spans="1:24" x14ac:dyDescent="0.25">
      <c r="A308" s="14"/>
      <c r="B308" s="15"/>
      <c r="C308" s="41" t="str">
        <f>+$C292</f>
        <v>August 2024</v>
      </c>
      <c r="D308" s="18"/>
      <c r="E308" s="18"/>
      <c r="F308" s="18"/>
      <c r="G308" s="20" t="str">
        <f>+$G$4</f>
        <v>Aug</v>
      </c>
      <c r="H308" s="20" t="str">
        <f>+G308</f>
        <v>Aug</v>
      </c>
      <c r="I308" s="20" t="str">
        <f t="shared" si="78"/>
        <v>Aug</v>
      </c>
      <c r="J308" s="20" t="str">
        <f t="shared" si="78"/>
        <v>Aug</v>
      </c>
      <c r="K308" s="20" t="str">
        <f t="shared" si="78"/>
        <v>Aug</v>
      </c>
      <c r="L308" s="20" t="str">
        <f t="shared" si="78"/>
        <v>Aug</v>
      </c>
      <c r="M308" s="20" t="str">
        <f t="shared" si="78"/>
        <v>Aug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4</v>
      </c>
      <c r="H309" s="25">
        <f>+$H$5</f>
        <v>11</v>
      </c>
      <c r="I309" s="25">
        <f>+$I$5</f>
        <v>18</v>
      </c>
      <c r="J309" s="25">
        <f>+$J$5</f>
        <v>25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86</v>
      </c>
      <c r="H311" s="31">
        <f t="shared" ref="H311:L311" si="79">SUM(H312:H315)</f>
        <v>83</v>
      </c>
      <c r="I311" s="31">
        <f t="shared" si="79"/>
        <v>88</v>
      </c>
      <c r="J311" s="31">
        <f t="shared" si="79"/>
        <v>82</v>
      </c>
      <c r="K311" s="31">
        <f t="shared" si="79"/>
        <v>0</v>
      </c>
      <c r="L311" s="31">
        <f t="shared" si="79"/>
        <v>339</v>
      </c>
      <c r="M311" s="31">
        <f>ROUND((L311/$E$1),0)</f>
        <v>85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4</v>
      </c>
      <c r="H312" s="42">
        <v>3</v>
      </c>
      <c r="I312" s="42">
        <v>4</v>
      </c>
      <c r="J312" s="42">
        <v>6</v>
      </c>
      <c r="K312" s="42"/>
      <c r="L312" s="35">
        <f>SUM(G312:K312)</f>
        <v>17</v>
      </c>
      <c r="M312" s="35">
        <f t="shared" ref="M312:M320" si="80">ROUND((L312/$E$1),0)</f>
        <v>4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12</v>
      </c>
      <c r="H313" s="42">
        <v>12</v>
      </c>
      <c r="I313" s="42">
        <v>12</v>
      </c>
      <c r="J313" s="42">
        <v>13</v>
      </c>
      <c r="K313" s="42"/>
      <c r="L313" s="35">
        <f t="shared" ref="L313:L320" si="81">SUM(G313:K313)</f>
        <v>49</v>
      </c>
      <c r="M313" s="35">
        <f t="shared" si="80"/>
        <v>12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26</v>
      </c>
      <c r="H314" s="42">
        <v>29</v>
      </c>
      <c r="I314" s="42">
        <v>34</v>
      </c>
      <c r="J314" s="42">
        <v>24</v>
      </c>
      <c r="K314" s="42"/>
      <c r="L314" s="35">
        <f t="shared" si="81"/>
        <v>113</v>
      </c>
      <c r="M314" s="35">
        <f t="shared" si="80"/>
        <v>28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44</v>
      </c>
      <c r="H315" s="43">
        <v>39</v>
      </c>
      <c r="I315" s="43">
        <v>38</v>
      </c>
      <c r="J315" s="43">
        <v>39</v>
      </c>
      <c r="K315" s="43"/>
      <c r="L315" s="31">
        <f t="shared" si="81"/>
        <v>160</v>
      </c>
      <c r="M315" s="31">
        <f t="shared" si="80"/>
        <v>40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>
        <v>2</v>
      </c>
      <c r="H316" s="42"/>
      <c r="I316" s="42">
        <v>3</v>
      </c>
      <c r="J316" s="42"/>
      <c r="K316" s="42"/>
      <c r="L316" s="35">
        <f t="shared" si="81"/>
        <v>5</v>
      </c>
      <c r="M316" s="35">
        <f t="shared" si="80"/>
        <v>1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>
        <v>6</v>
      </c>
      <c r="I318" s="42"/>
      <c r="J318" s="42"/>
      <c r="K318" s="42"/>
      <c r="L318" s="35">
        <f t="shared" si="81"/>
        <v>6</v>
      </c>
      <c r="M318" s="35">
        <f t="shared" si="80"/>
        <v>2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136</v>
      </c>
      <c r="H319" s="42">
        <v>144</v>
      </c>
      <c r="I319" s="42">
        <v>234</v>
      </c>
      <c r="J319" s="42">
        <v>144</v>
      </c>
      <c r="K319" s="42"/>
      <c r="L319" s="35">
        <f t="shared" si="81"/>
        <v>658</v>
      </c>
      <c r="M319" s="35">
        <f t="shared" si="80"/>
        <v>165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2024</v>
      </c>
      <c r="H323" s="10">
        <f>+G323</f>
        <v>2024</v>
      </c>
      <c r="I323" s="10">
        <f t="shared" ref="I323:M324" si="82">+H323</f>
        <v>2024</v>
      </c>
      <c r="J323" s="10">
        <f t="shared" si="82"/>
        <v>2024</v>
      </c>
      <c r="K323" s="10">
        <f t="shared" si="82"/>
        <v>2024</v>
      </c>
      <c r="L323" s="10">
        <f t="shared" si="82"/>
        <v>2024</v>
      </c>
      <c r="M323" s="10">
        <f t="shared" si="82"/>
        <v>2024</v>
      </c>
      <c r="N323" s="11"/>
      <c r="S323" s="12" t="str">
        <f>+C323</f>
        <v>Kancesi</v>
      </c>
      <c r="T323" s="13">
        <f>+L327</f>
        <v>249</v>
      </c>
      <c r="U323" s="13">
        <f>+L328+L329</f>
        <v>77</v>
      </c>
      <c r="V323" s="13">
        <f>+L330+L331</f>
        <v>172</v>
      </c>
      <c r="W323" s="13">
        <f>+L334</f>
        <v>43</v>
      </c>
      <c r="X323" s="13">
        <f>+L332</f>
        <v>9</v>
      </c>
    </row>
    <row r="324" spans="1:24" x14ac:dyDescent="0.25">
      <c r="A324" s="14"/>
      <c r="B324" s="15"/>
      <c r="C324" s="41" t="str">
        <f>+$C308</f>
        <v>August 2024</v>
      </c>
      <c r="D324" s="18"/>
      <c r="E324" s="18"/>
      <c r="F324" s="18"/>
      <c r="G324" s="20" t="str">
        <f>+$G$4</f>
        <v>Aug</v>
      </c>
      <c r="H324" s="20" t="str">
        <f>+G324</f>
        <v>Aug</v>
      </c>
      <c r="I324" s="20" t="str">
        <f t="shared" si="82"/>
        <v>Aug</v>
      </c>
      <c r="J324" s="20" t="str">
        <f t="shared" si="82"/>
        <v>Aug</v>
      </c>
      <c r="K324" s="20" t="str">
        <f t="shared" si="82"/>
        <v>Aug</v>
      </c>
      <c r="L324" s="20" t="str">
        <f t="shared" si="82"/>
        <v>Aug</v>
      </c>
      <c r="M324" s="20" t="str">
        <f t="shared" si="82"/>
        <v>Aug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4</v>
      </c>
      <c r="H325" s="25">
        <f>+$H$5</f>
        <v>11</v>
      </c>
      <c r="I325" s="25">
        <f>+$I$5</f>
        <v>18</v>
      </c>
      <c r="J325" s="25">
        <f>+$J$5</f>
        <v>25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57</v>
      </c>
      <c r="H327" s="31">
        <f t="shared" ref="H327:L327" si="83">SUM(H328:H331)</f>
        <v>67</v>
      </c>
      <c r="I327" s="31">
        <f t="shared" si="83"/>
        <v>61</v>
      </c>
      <c r="J327" s="31">
        <f t="shared" si="83"/>
        <v>64</v>
      </c>
      <c r="K327" s="31">
        <f t="shared" si="83"/>
        <v>0</v>
      </c>
      <c r="L327" s="31">
        <f t="shared" si="83"/>
        <v>249</v>
      </c>
      <c r="M327" s="31">
        <f>ROUND((L327/$E$1),0)</f>
        <v>62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6</v>
      </c>
      <c r="H328" s="42">
        <v>6</v>
      </c>
      <c r="I328" s="42">
        <v>5</v>
      </c>
      <c r="J328" s="42">
        <v>5</v>
      </c>
      <c r="K328" s="42"/>
      <c r="L328" s="35">
        <f>SUM(G328:K328)</f>
        <v>22</v>
      </c>
      <c r="M328" s="35">
        <f t="shared" ref="M328:M336" si="84">ROUND((L328/$E$1),0)</f>
        <v>6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15</v>
      </c>
      <c r="H329" s="42">
        <v>11</v>
      </c>
      <c r="I329" s="42">
        <v>17</v>
      </c>
      <c r="J329" s="42">
        <v>12</v>
      </c>
      <c r="K329" s="42"/>
      <c r="L329" s="35">
        <f t="shared" ref="L329:L336" si="85">SUM(G329:K329)</f>
        <v>55</v>
      </c>
      <c r="M329" s="35">
        <f t="shared" si="84"/>
        <v>14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12</v>
      </c>
      <c r="H330" s="42">
        <v>17</v>
      </c>
      <c r="I330" s="42">
        <v>21</v>
      </c>
      <c r="J330" s="42">
        <v>17</v>
      </c>
      <c r="K330" s="42"/>
      <c r="L330" s="35">
        <f t="shared" si="85"/>
        <v>67</v>
      </c>
      <c r="M330" s="35">
        <f t="shared" si="84"/>
        <v>17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24</v>
      </c>
      <c r="H331" s="43">
        <v>33</v>
      </c>
      <c r="I331" s="43">
        <v>18</v>
      </c>
      <c r="J331" s="43">
        <v>30</v>
      </c>
      <c r="K331" s="43"/>
      <c r="L331" s="31">
        <f t="shared" si="85"/>
        <v>105</v>
      </c>
      <c r="M331" s="31">
        <f t="shared" si="84"/>
        <v>26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/>
      <c r="H332" s="42">
        <v>2</v>
      </c>
      <c r="I332" s="42">
        <v>7</v>
      </c>
      <c r="J332" s="42"/>
      <c r="K332" s="42"/>
      <c r="L332" s="35">
        <f t="shared" si="85"/>
        <v>9</v>
      </c>
      <c r="M332" s="35">
        <f t="shared" si="84"/>
        <v>2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10</v>
      </c>
      <c r="H334" s="42">
        <v>11</v>
      </c>
      <c r="I334" s="42">
        <v>13</v>
      </c>
      <c r="J334" s="42">
        <v>9</v>
      </c>
      <c r="K334" s="42"/>
      <c r="L334" s="35">
        <f t="shared" si="85"/>
        <v>43</v>
      </c>
      <c r="M334" s="35">
        <f t="shared" si="84"/>
        <v>11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144</v>
      </c>
      <c r="H335" s="42">
        <v>144</v>
      </c>
      <c r="I335" s="42"/>
      <c r="J335" s="42">
        <v>72</v>
      </c>
      <c r="K335" s="42"/>
      <c r="L335" s="35">
        <f t="shared" si="85"/>
        <v>360</v>
      </c>
      <c r="M335" s="35">
        <f t="shared" si="84"/>
        <v>90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2024</v>
      </c>
      <c r="H339" s="10">
        <f>+G339</f>
        <v>2024</v>
      </c>
      <c r="I339" s="10">
        <f t="shared" ref="I339:M340" si="86">+H339</f>
        <v>2024</v>
      </c>
      <c r="J339" s="10">
        <f t="shared" si="86"/>
        <v>2024</v>
      </c>
      <c r="K339" s="10">
        <f t="shared" si="86"/>
        <v>2024</v>
      </c>
      <c r="L339" s="10">
        <f t="shared" si="86"/>
        <v>2024</v>
      </c>
      <c r="M339" s="10">
        <f t="shared" si="86"/>
        <v>2024</v>
      </c>
      <c r="N339" s="11"/>
      <c r="S339" s="12" t="str">
        <f>+C339</f>
        <v>Mpuluzi</v>
      </c>
      <c r="T339" s="13">
        <f>+L343</f>
        <v>485</v>
      </c>
      <c r="U339" s="13">
        <f>+L344+L345</f>
        <v>191</v>
      </c>
      <c r="V339" s="13">
        <f>+L346+L347</f>
        <v>294</v>
      </c>
      <c r="W339" s="13">
        <f>+L350</f>
        <v>17</v>
      </c>
      <c r="X339" s="13">
        <f>+L348</f>
        <v>23</v>
      </c>
    </row>
    <row r="340" spans="1:24" x14ac:dyDescent="0.25">
      <c r="A340" s="14"/>
      <c r="B340" s="15"/>
      <c r="C340" s="41" t="str">
        <f>+$C324</f>
        <v>August 2024</v>
      </c>
      <c r="D340" s="18"/>
      <c r="E340" s="18"/>
      <c r="F340" s="18"/>
      <c r="G340" s="20" t="str">
        <f>+$G$4</f>
        <v>Aug</v>
      </c>
      <c r="H340" s="20" t="str">
        <f>+G340</f>
        <v>Aug</v>
      </c>
      <c r="I340" s="20" t="str">
        <f t="shared" si="86"/>
        <v>Aug</v>
      </c>
      <c r="J340" s="20" t="str">
        <f t="shared" si="86"/>
        <v>Aug</v>
      </c>
      <c r="K340" s="20" t="str">
        <f t="shared" si="86"/>
        <v>Aug</v>
      </c>
      <c r="L340" s="20" t="str">
        <f t="shared" si="86"/>
        <v>Aug</v>
      </c>
      <c r="M340" s="20" t="str">
        <f t="shared" si="86"/>
        <v>Aug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4</v>
      </c>
      <c r="H341" s="25">
        <f>+$H$5</f>
        <v>11</v>
      </c>
      <c r="I341" s="25">
        <f>+$I$5</f>
        <v>18</v>
      </c>
      <c r="J341" s="25">
        <f>+$J$5</f>
        <v>25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129</v>
      </c>
      <c r="H343" s="31">
        <f t="shared" ref="H343:L343" si="87">SUM(H344:H347)</f>
        <v>145</v>
      </c>
      <c r="I343" s="31">
        <f t="shared" si="87"/>
        <v>101</v>
      </c>
      <c r="J343" s="31">
        <f t="shared" si="87"/>
        <v>110</v>
      </c>
      <c r="K343" s="31">
        <f t="shared" si="87"/>
        <v>0</v>
      </c>
      <c r="L343" s="31">
        <f t="shared" si="87"/>
        <v>485</v>
      </c>
      <c r="M343" s="31">
        <f>ROUND((L343/$E$1),0)</f>
        <v>121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16</v>
      </c>
      <c r="H344" s="42">
        <v>14</v>
      </c>
      <c r="I344" s="42">
        <v>9</v>
      </c>
      <c r="J344" s="42">
        <v>10</v>
      </c>
      <c r="K344" s="42"/>
      <c r="L344" s="35">
        <f>SUM(G344:K344)</f>
        <v>49</v>
      </c>
      <c r="M344" s="35">
        <f t="shared" ref="M344:M352" si="88">ROUND((L344/$E$1),0)</f>
        <v>12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41</v>
      </c>
      <c r="H345" s="42">
        <v>37</v>
      </c>
      <c r="I345" s="42">
        <v>36</v>
      </c>
      <c r="J345" s="42">
        <v>28</v>
      </c>
      <c r="K345" s="42"/>
      <c r="L345" s="35">
        <f t="shared" ref="L345:L352" si="89">SUM(G345:K345)</f>
        <v>142</v>
      </c>
      <c r="M345" s="35">
        <f t="shared" si="88"/>
        <v>36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66</v>
      </c>
      <c r="H346" s="42">
        <v>24</v>
      </c>
      <c r="I346" s="42">
        <v>8</v>
      </c>
      <c r="J346" s="42">
        <v>18</v>
      </c>
      <c r="K346" s="42"/>
      <c r="L346" s="35">
        <f t="shared" si="89"/>
        <v>116</v>
      </c>
      <c r="M346" s="35">
        <f t="shared" si="88"/>
        <v>29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6</v>
      </c>
      <c r="H347" s="43">
        <v>70</v>
      </c>
      <c r="I347" s="43">
        <v>48</v>
      </c>
      <c r="J347" s="43">
        <v>54</v>
      </c>
      <c r="K347" s="43"/>
      <c r="L347" s="31">
        <f t="shared" si="89"/>
        <v>178</v>
      </c>
      <c r="M347" s="31">
        <f t="shared" si="88"/>
        <v>45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11</v>
      </c>
      <c r="H348" s="42">
        <v>6</v>
      </c>
      <c r="I348" s="42">
        <v>2</v>
      </c>
      <c r="J348" s="42">
        <v>4</v>
      </c>
      <c r="K348" s="42"/>
      <c r="L348" s="35">
        <f t="shared" si="89"/>
        <v>23</v>
      </c>
      <c r="M348" s="35">
        <f t="shared" si="88"/>
        <v>6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6</v>
      </c>
      <c r="H350" s="42">
        <v>4</v>
      </c>
      <c r="I350" s="42">
        <v>4</v>
      </c>
      <c r="J350" s="42">
        <v>3</v>
      </c>
      <c r="K350" s="42"/>
      <c r="L350" s="35">
        <f t="shared" si="89"/>
        <v>17</v>
      </c>
      <c r="M350" s="35">
        <f t="shared" si="88"/>
        <v>4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>
        <v>108</v>
      </c>
      <c r="H351" s="42">
        <v>144</v>
      </c>
      <c r="I351" s="42">
        <v>72</v>
      </c>
      <c r="J351" s="42">
        <v>72</v>
      </c>
      <c r="K351" s="42"/>
      <c r="L351" s="35">
        <f t="shared" si="89"/>
        <v>396</v>
      </c>
      <c r="M351" s="35">
        <f t="shared" si="88"/>
        <v>99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2024</v>
      </c>
      <c r="H355" s="10">
        <f>+G355</f>
        <v>2024</v>
      </c>
      <c r="I355" s="10">
        <f t="shared" ref="I355:M356" si="90">+H355</f>
        <v>2024</v>
      </c>
      <c r="J355" s="10">
        <f t="shared" si="90"/>
        <v>2024</v>
      </c>
      <c r="K355" s="10">
        <f t="shared" si="90"/>
        <v>2024</v>
      </c>
      <c r="L355" s="10">
        <f t="shared" si="90"/>
        <v>2024</v>
      </c>
      <c r="M355" s="10">
        <f t="shared" si="90"/>
        <v>2024</v>
      </c>
      <c r="N355" s="11"/>
      <c r="S355" s="12" t="str">
        <f>+C355</f>
        <v>Bulunga</v>
      </c>
      <c r="T355" s="13">
        <f>+L359</f>
        <v>142</v>
      </c>
      <c r="U355" s="13">
        <f>+L360+L361</f>
        <v>15</v>
      </c>
      <c r="V355" s="13">
        <f>+L362+L363</f>
        <v>127</v>
      </c>
      <c r="W355" s="13">
        <f>+L366</f>
        <v>27</v>
      </c>
      <c r="X355" s="13">
        <f>+L364</f>
        <v>6</v>
      </c>
    </row>
    <row r="356" spans="1:24" x14ac:dyDescent="0.25">
      <c r="A356" s="14"/>
      <c r="B356" s="15"/>
      <c r="C356" s="41" t="str">
        <f>+$C340</f>
        <v>August 2024</v>
      </c>
      <c r="D356" s="18"/>
      <c r="E356" s="18"/>
      <c r="F356" s="18"/>
      <c r="G356" s="20" t="str">
        <f>+$G$4</f>
        <v>Aug</v>
      </c>
      <c r="H356" s="20" t="str">
        <f>+G356</f>
        <v>Aug</v>
      </c>
      <c r="I356" s="20" t="str">
        <f t="shared" si="90"/>
        <v>Aug</v>
      </c>
      <c r="J356" s="20" t="str">
        <f t="shared" si="90"/>
        <v>Aug</v>
      </c>
      <c r="K356" s="20" t="str">
        <f t="shared" si="90"/>
        <v>Aug</v>
      </c>
      <c r="L356" s="20" t="str">
        <f t="shared" si="90"/>
        <v>Aug</v>
      </c>
      <c r="M356" s="20" t="str">
        <f t="shared" si="90"/>
        <v>Aug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4</v>
      </c>
      <c r="H357" s="25">
        <f>+$H$5</f>
        <v>11</v>
      </c>
      <c r="I357" s="25">
        <f>+$I$5</f>
        <v>18</v>
      </c>
      <c r="J357" s="25">
        <f>+$J$5</f>
        <v>25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38</v>
      </c>
      <c r="H359" s="31">
        <f t="shared" ref="H359:L359" si="91">SUM(H360:H363)</f>
        <v>33</v>
      </c>
      <c r="I359" s="31">
        <f t="shared" si="91"/>
        <v>33</v>
      </c>
      <c r="J359" s="31">
        <f t="shared" si="91"/>
        <v>38</v>
      </c>
      <c r="K359" s="31">
        <f t="shared" si="91"/>
        <v>0</v>
      </c>
      <c r="L359" s="31">
        <f t="shared" si="91"/>
        <v>142</v>
      </c>
      <c r="M359" s="31">
        <f>ROUND((L359/$E$1),0)</f>
        <v>36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2</v>
      </c>
      <c r="H360" s="42">
        <v>1</v>
      </c>
      <c r="I360" s="42">
        <v>2</v>
      </c>
      <c r="J360" s="42">
        <v>2</v>
      </c>
      <c r="K360" s="42"/>
      <c r="L360" s="35">
        <f>SUM(G360:K360)</f>
        <v>7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2</v>
      </c>
      <c r="H361" s="42">
        <v>1</v>
      </c>
      <c r="I361" s="42">
        <v>3</v>
      </c>
      <c r="J361" s="42">
        <v>2</v>
      </c>
      <c r="K361" s="42"/>
      <c r="L361" s="35">
        <f t="shared" ref="L361:L368" si="93">SUM(G361:K361)</f>
        <v>8</v>
      </c>
      <c r="M361" s="35">
        <f t="shared" si="92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19</v>
      </c>
      <c r="H362" s="42">
        <v>17</v>
      </c>
      <c r="I362" s="42">
        <v>10</v>
      </c>
      <c r="J362" s="42">
        <v>19</v>
      </c>
      <c r="K362" s="42"/>
      <c r="L362" s="35">
        <f t="shared" si="93"/>
        <v>65</v>
      </c>
      <c r="M362" s="35">
        <f t="shared" si="92"/>
        <v>16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15</v>
      </c>
      <c r="H363" s="43">
        <v>14</v>
      </c>
      <c r="I363" s="43">
        <v>18</v>
      </c>
      <c r="J363" s="43">
        <v>15</v>
      </c>
      <c r="K363" s="43"/>
      <c r="L363" s="31">
        <f t="shared" si="93"/>
        <v>62</v>
      </c>
      <c r="M363" s="31">
        <f t="shared" si="92"/>
        <v>16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/>
      <c r="H364" s="42"/>
      <c r="I364" s="42"/>
      <c r="J364" s="42">
        <v>6</v>
      </c>
      <c r="K364" s="42"/>
      <c r="L364" s="35">
        <f t="shared" si="93"/>
        <v>6</v>
      </c>
      <c r="M364" s="35">
        <f t="shared" si="92"/>
        <v>2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4</v>
      </c>
      <c r="H366" s="42">
        <v>6</v>
      </c>
      <c r="I366" s="42">
        <v>10</v>
      </c>
      <c r="J366" s="42">
        <v>7</v>
      </c>
      <c r="K366" s="42"/>
      <c r="L366" s="35">
        <f t="shared" si="93"/>
        <v>27</v>
      </c>
      <c r="M366" s="35">
        <f t="shared" si="92"/>
        <v>7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/>
      <c r="I367" s="42">
        <v>288</v>
      </c>
      <c r="J367" s="42">
        <v>432</v>
      </c>
      <c r="K367" s="42"/>
      <c r="L367" s="35">
        <f t="shared" si="93"/>
        <v>720</v>
      </c>
      <c r="M367" s="35">
        <f t="shared" si="92"/>
        <v>180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2024</v>
      </c>
      <c r="H371" s="10">
        <f>+G371</f>
        <v>2024</v>
      </c>
      <c r="I371" s="10">
        <f t="shared" ref="I371:M372" si="94">+H371</f>
        <v>2024</v>
      </c>
      <c r="J371" s="10">
        <f t="shared" si="94"/>
        <v>2024</v>
      </c>
      <c r="K371" s="10">
        <f t="shared" si="94"/>
        <v>2024</v>
      </c>
      <c r="L371" s="10">
        <f t="shared" si="94"/>
        <v>2024</v>
      </c>
      <c r="M371" s="10">
        <f t="shared" si="94"/>
        <v>2024</v>
      </c>
      <c r="N371" s="11"/>
      <c r="P371" s="44"/>
      <c r="S371" s="12" t="str">
        <f>+C371</f>
        <v>Mbowane</v>
      </c>
      <c r="T371" s="13">
        <f>+L375</f>
        <v>83</v>
      </c>
      <c r="U371" s="13">
        <f>+L376+L377</f>
        <v>15</v>
      </c>
      <c r="V371" s="13">
        <f>+L378+L379</f>
        <v>68</v>
      </c>
      <c r="W371" s="13">
        <f>+L382</f>
        <v>18</v>
      </c>
      <c r="X371" s="13">
        <f>+L380</f>
        <v>3</v>
      </c>
    </row>
    <row r="372" spans="1:24" x14ac:dyDescent="0.25">
      <c r="A372" s="14"/>
      <c r="B372" s="15"/>
      <c r="C372" s="41" t="str">
        <f>+$C356</f>
        <v>August 2024</v>
      </c>
      <c r="D372" s="18"/>
      <c r="E372" s="18"/>
      <c r="F372" s="18"/>
      <c r="G372" s="20" t="str">
        <f>+$G$4</f>
        <v>Aug</v>
      </c>
      <c r="H372" s="20" t="str">
        <f>+G372</f>
        <v>Aug</v>
      </c>
      <c r="I372" s="20" t="str">
        <f t="shared" si="94"/>
        <v>Aug</v>
      </c>
      <c r="J372" s="20" t="str">
        <f t="shared" si="94"/>
        <v>Aug</v>
      </c>
      <c r="K372" s="20" t="str">
        <f t="shared" si="94"/>
        <v>Aug</v>
      </c>
      <c r="L372" s="20" t="str">
        <f t="shared" si="94"/>
        <v>Aug</v>
      </c>
      <c r="M372" s="20" t="str">
        <f t="shared" si="94"/>
        <v>Aug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4</v>
      </c>
      <c r="H373" s="25">
        <f>+$H$5</f>
        <v>11</v>
      </c>
      <c r="I373" s="25">
        <f>+$I$5</f>
        <v>18</v>
      </c>
      <c r="J373" s="25">
        <f>+$J$5</f>
        <v>25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17</v>
      </c>
      <c r="H375" s="31">
        <f t="shared" ref="H375:L375" si="95">SUM(H376:H379)</f>
        <v>23</v>
      </c>
      <c r="I375" s="31">
        <f t="shared" si="95"/>
        <v>23</v>
      </c>
      <c r="J375" s="31">
        <f t="shared" si="95"/>
        <v>20</v>
      </c>
      <c r="K375" s="31">
        <f t="shared" si="95"/>
        <v>0</v>
      </c>
      <c r="L375" s="31">
        <f t="shared" si="95"/>
        <v>83</v>
      </c>
      <c r="M375" s="31">
        <f>ROUND((L375/$E$1),0)</f>
        <v>21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1</v>
      </c>
      <c r="H376" s="42">
        <v>1</v>
      </c>
      <c r="I376" s="42">
        <v>1</v>
      </c>
      <c r="J376" s="42">
        <v>1</v>
      </c>
      <c r="K376" s="42"/>
      <c r="L376" s="35">
        <f>SUM(G376:K376)</f>
        <v>4</v>
      </c>
      <c r="M376" s="35">
        <f t="shared" ref="M376:M384" si="96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3</v>
      </c>
      <c r="H377" s="42">
        <v>3</v>
      </c>
      <c r="I377" s="42">
        <v>2</v>
      </c>
      <c r="J377" s="42">
        <v>3</v>
      </c>
      <c r="K377" s="42"/>
      <c r="L377" s="35">
        <f t="shared" ref="L377:L384" si="97">SUM(G377:K377)</f>
        <v>11</v>
      </c>
      <c r="M377" s="35">
        <f t="shared" si="96"/>
        <v>3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5</v>
      </c>
      <c r="H378" s="42">
        <v>6</v>
      </c>
      <c r="I378" s="42">
        <v>8</v>
      </c>
      <c r="J378" s="42">
        <v>6</v>
      </c>
      <c r="K378" s="42"/>
      <c r="L378" s="35">
        <f t="shared" si="97"/>
        <v>25</v>
      </c>
      <c r="M378" s="35">
        <f t="shared" si="96"/>
        <v>6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8</v>
      </c>
      <c r="H379" s="43">
        <v>13</v>
      </c>
      <c r="I379" s="43">
        <v>12</v>
      </c>
      <c r="J379" s="43">
        <v>10</v>
      </c>
      <c r="K379" s="43"/>
      <c r="L379" s="31">
        <f t="shared" si="97"/>
        <v>43</v>
      </c>
      <c r="M379" s="31">
        <f t="shared" si="96"/>
        <v>11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>
        <v>1</v>
      </c>
      <c r="I380" s="42"/>
      <c r="J380" s="42">
        <v>2</v>
      </c>
      <c r="K380" s="42"/>
      <c r="L380" s="35">
        <f t="shared" si="97"/>
        <v>3</v>
      </c>
      <c r="M380" s="35">
        <f t="shared" si="96"/>
        <v>1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4</v>
      </c>
      <c r="H382" s="42">
        <v>6</v>
      </c>
      <c r="I382" s="42">
        <v>2</v>
      </c>
      <c r="J382" s="42">
        <v>6</v>
      </c>
      <c r="K382" s="42"/>
      <c r="L382" s="35">
        <f t="shared" si="97"/>
        <v>18</v>
      </c>
      <c r="M382" s="35">
        <f t="shared" si="96"/>
        <v>5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>
        <v>108</v>
      </c>
      <c r="H383" s="42">
        <v>72</v>
      </c>
      <c r="I383" s="42">
        <v>144</v>
      </c>
      <c r="J383" s="42">
        <v>108</v>
      </c>
      <c r="K383" s="42"/>
      <c r="L383" s="35">
        <f t="shared" si="97"/>
        <v>432</v>
      </c>
      <c r="M383" s="35">
        <f t="shared" si="96"/>
        <v>108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2024</v>
      </c>
      <c r="H387" s="10">
        <f>+G387</f>
        <v>2024</v>
      </c>
      <c r="I387" s="10">
        <f t="shared" ref="I387:M388" si="98">+H387</f>
        <v>2024</v>
      </c>
      <c r="J387" s="10">
        <f t="shared" si="98"/>
        <v>2024</v>
      </c>
      <c r="K387" s="10">
        <f t="shared" si="98"/>
        <v>2024</v>
      </c>
      <c r="L387" s="10">
        <f t="shared" si="98"/>
        <v>2024</v>
      </c>
      <c r="M387" s="10">
        <f t="shared" si="98"/>
        <v>2024</v>
      </c>
      <c r="N387" s="11"/>
      <c r="P387" s="44"/>
      <c r="S387" s="12" t="str">
        <f>+C387</f>
        <v>Sibovini</v>
      </c>
      <c r="T387" s="13">
        <f>+L391</f>
        <v>211</v>
      </c>
      <c r="U387" s="13">
        <f>+L392+L393</f>
        <v>55</v>
      </c>
      <c r="V387" s="13">
        <f>+L394+L395</f>
        <v>156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August 2024</v>
      </c>
      <c r="D388" s="18"/>
      <c r="E388" s="18"/>
      <c r="F388" s="18"/>
      <c r="G388" s="20" t="str">
        <f>+$G$4</f>
        <v>Aug</v>
      </c>
      <c r="H388" s="20" t="str">
        <f>+G388</f>
        <v>Aug</v>
      </c>
      <c r="I388" s="20" t="str">
        <f t="shared" si="98"/>
        <v>Aug</v>
      </c>
      <c r="J388" s="20" t="str">
        <f t="shared" si="98"/>
        <v>Aug</v>
      </c>
      <c r="K388" s="20" t="str">
        <f t="shared" si="98"/>
        <v>Aug</v>
      </c>
      <c r="L388" s="20" t="str">
        <f t="shared" si="98"/>
        <v>Aug</v>
      </c>
      <c r="M388" s="20" t="str">
        <f t="shared" si="98"/>
        <v>Aug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4</v>
      </c>
      <c r="H389" s="25">
        <f>+$H$5</f>
        <v>11</v>
      </c>
      <c r="I389" s="25">
        <f>+$I$5</f>
        <v>18</v>
      </c>
      <c r="J389" s="25">
        <f>+$J$5</f>
        <v>25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56</v>
      </c>
      <c r="H391" s="31">
        <f t="shared" ref="H391:L391" si="99">SUM(H392:H395)</f>
        <v>44</v>
      </c>
      <c r="I391" s="31">
        <f t="shared" si="99"/>
        <v>60</v>
      </c>
      <c r="J391" s="31">
        <f t="shared" si="99"/>
        <v>51</v>
      </c>
      <c r="K391" s="31">
        <f t="shared" si="99"/>
        <v>0</v>
      </c>
      <c r="L391" s="31">
        <f t="shared" si="99"/>
        <v>211</v>
      </c>
      <c r="M391" s="31">
        <f>ROUND((L391/$E$1),0)</f>
        <v>53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3</v>
      </c>
      <c r="H392" s="42">
        <v>3</v>
      </c>
      <c r="I392" s="42">
        <v>3</v>
      </c>
      <c r="J392" s="42">
        <v>3</v>
      </c>
      <c r="K392" s="42"/>
      <c r="L392" s="35">
        <f>SUM(G392:K392)</f>
        <v>12</v>
      </c>
      <c r="M392" s="35">
        <f t="shared" ref="M392:M400" si="100">ROUND((L392/$E$1),0)</f>
        <v>3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12</v>
      </c>
      <c r="H393" s="42">
        <v>8</v>
      </c>
      <c r="I393" s="42">
        <v>10</v>
      </c>
      <c r="J393" s="42">
        <v>13</v>
      </c>
      <c r="K393" s="42"/>
      <c r="L393" s="35">
        <f t="shared" ref="L393:L400" si="101">SUM(G393:K393)</f>
        <v>43</v>
      </c>
      <c r="M393" s="35">
        <f t="shared" si="100"/>
        <v>11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15</v>
      </c>
      <c r="H394" s="42">
        <v>12</v>
      </c>
      <c r="I394" s="42">
        <v>12</v>
      </c>
      <c r="J394" s="42">
        <v>12</v>
      </c>
      <c r="K394" s="42"/>
      <c r="L394" s="35">
        <f t="shared" si="101"/>
        <v>51</v>
      </c>
      <c r="M394" s="35">
        <f t="shared" si="100"/>
        <v>13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26</v>
      </c>
      <c r="H395" s="43">
        <v>21</v>
      </c>
      <c r="I395" s="43">
        <v>35</v>
      </c>
      <c r="J395" s="43">
        <v>23</v>
      </c>
      <c r="K395" s="43"/>
      <c r="L395" s="31">
        <f t="shared" si="101"/>
        <v>105</v>
      </c>
      <c r="M395" s="31">
        <f t="shared" si="100"/>
        <v>26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2024</v>
      </c>
      <c r="H403" s="10">
        <f>+G403</f>
        <v>2024</v>
      </c>
      <c r="I403" s="10">
        <f t="shared" ref="I403:M404" si="102">+H403</f>
        <v>2024</v>
      </c>
      <c r="J403" s="10">
        <f t="shared" si="102"/>
        <v>2024</v>
      </c>
      <c r="K403" s="10">
        <f t="shared" si="102"/>
        <v>2024</v>
      </c>
      <c r="L403" s="10">
        <f t="shared" si="102"/>
        <v>2024</v>
      </c>
      <c r="M403" s="10">
        <f t="shared" si="102"/>
        <v>2024</v>
      </c>
      <c r="N403" s="11"/>
      <c r="P403" s="44"/>
      <c r="S403" s="12" t="str">
        <f>+C403</f>
        <v>Nsubani</v>
      </c>
      <c r="T403" s="13">
        <f>+L407</f>
        <v>260</v>
      </c>
      <c r="U403" s="13">
        <f>+L408+L409</f>
        <v>68</v>
      </c>
      <c r="V403" s="13">
        <f>+L410+L411</f>
        <v>192</v>
      </c>
      <c r="W403" s="13">
        <f>+L414</f>
        <v>41</v>
      </c>
      <c r="X403" s="13">
        <f>+L412</f>
        <v>0</v>
      </c>
    </row>
    <row r="404" spans="1:24" x14ac:dyDescent="0.25">
      <c r="A404" s="14"/>
      <c r="B404" s="15"/>
      <c r="C404" s="41" t="str">
        <f>+$C388</f>
        <v>August 2024</v>
      </c>
      <c r="D404" s="18"/>
      <c r="E404" s="18"/>
      <c r="F404" s="18"/>
      <c r="G404" s="20" t="str">
        <f>+$G$4</f>
        <v>Aug</v>
      </c>
      <c r="H404" s="20" t="str">
        <f>+G404</f>
        <v>Aug</v>
      </c>
      <c r="I404" s="20" t="str">
        <f t="shared" si="102"/>
        <v>Aug</v>
      </c>
      <c r="J404" s="20" t="str">
        <f t="shared" si="102"/>
        <v>Aug</v>
      </c>
      <c r="K404" s="20" t="str">
        <f t="shared" si="102"/>
        <v>Aug</v>
      </c>
      <c r="L404" s="20" t="str">
        <f t="shared" si="102"/>
        <v>Aug</v>
      </c>
      <c r="M404" s="20" t="str">
        <f t="shared" si="102"/>
        <v>Aug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4</v>
      </c>
      <c r="H405" s="25">
        <f>+$H$5</f>
        <v>11</v>
      </c>
      <c r="I405" s="25">
        <f>+$I$5</f>
        <v>18</v>
      </c>
      <c r="J405" s="25">
        <f>+$J$5</f>
        <v>25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71</v>
      </c>
      <c r="H407" s="31">
        <f t="shared" ref="H407:L407" si="103">SUM(H408:H411)</f>
        <v>48</v>
      </c>
      <c r="I407" s="31">
        <f t="shared" si="103"/>
        <v>72</v>
      </c>
      <c r="J407" s="31">
        <f t="shared" si="103"/>
        <v>69</v>
      </c>
      <c r="K407" s="31">
        <f t="shared" si="103"/>
        <v>0</v>
      </c>
      <c r="L407" s="31">
        <f t="shared" si="103"/>
        <v>260</v>
      </c>
      <c r="M407" s="31">
        <f>ROUND((L407/$E$1),0)</f>
        <v>65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4</v>
      </c>
      <c r="H408" s="42">
        <v>3</v>
      </c>
      <c r="I408" s="42">
        <v>4</v>
      </c>
      <c r="J408" s="42">
        <v>4</v>
      </c>
      <c r="K408" s="42"/>
      <c r="L408" s="35">
        <f>SUM(G408:K408)</f>
        <v>15</v>
      </c>
      <c r="M408" s="35">
        <f t="shared" ref="M408:M416" si="104">ROUND((L408/$E$1),0)</f>
        <v>4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15</v>
      </c>
      <c r="H409" s="42">
        <v>15</v>
      </c>
      <c r="I409" s="42">
        <v>12</v>
      </c>
      <c r="J409" s="42">
        <v>11</v>
      </c>
      <c r="K409" s="42"/>
      <c r="L409" s="35">
        <f t="shared" ref="L409:L416" si="105">SUM(G409:K409)</f>
        <v>53</v>
      </c>
      <c r="M409" s="35">
        <f t="shared" si="104"/>
        <v>13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12</v>
      </c>
      <c r="H410" s="42">
        <v>9</v>
      </c>
      <c r="I410" s="42">
        <v>16</v>
      </c>
      <c r="J410" s="42">
        <v>19</v>
      </c>
      <c r="K410" s="42"/>
      <c r="L410" s="35">
        <f t="shared" si="105"/>
        <v>56</v>
      </c>
      <c r="M410" s="35">
        <f t="shared" si="104"/>
        <v>14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40</v>
      </c>
      <c r="H411" s="43">
        <v>21</v>
      </c>
      <c r="I411" s="43">
        <v>40</v>
      </c>
      <c r="J411" s="43">
        <v>35</v>
      </c>
      <c r="K411" s="43"/>
      <c r="L411" s="31">
        <f t="shared" si="105"/>
        <v>136</v>
      </c>
      <c r="M411" s="31">
        <f t="shared" si="104"/>
        <v>34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10</v>
      </c>
      <c r="H414" s="42">
        <v>10</v>
      </c>
      <c r="I414" s="42">
        <v>10</v>
      </c>
      <c r="J414" s="42">
        <v>11</v>
      </c>
      <c r="K414" s="42"/>
      <c r="L414" s="35">
        <f t="shared" si="105"/>
        <v>41</v>
      </c>
      <c r="M414" s="35">
        <f t="shared" si="104"/>
        <v>10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72</v>
      </c>
      <c r="H415" s="42">
        <v>72</v>
      </c>
      <c r="I415" s="42">
        <v>108</v>
      </c>
      <c r="J415" s="42">
        <v>108</v>
      </c>
      <c r="K415" s="42"/>
      <c r="L415" s="35">
        <f t="shared" si="105"/>
        <v>360</v>
      </c>
      <c r="M415" s="35">
        <f t="shared" si="104"/>
        <v>90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2024</v>
      </c>
      <c r="H419" s="10">
        <f>+G419</f>
        <v>2024</v>
      </c>
      <c r="I419" s="10">
        <f t="shared" ref="I419:M420" si="106">+H419</f>
        <v>2024</v>
      </c>
      <c r="J419" s="10">
        <f t="shared" si="106"/>
        <v>2024</v>
      </c>
      <c r="K419" s="10">
        <f t="shared" si="106"/>
        <v>2024</v>
      </c>
      <c r="L419" s="10">
        <f t="shared" si="106"/>
        <v>2024</v>
      </c>
      <c r="M419" s="10">
        <f t="shared" si="106"/>
        <v>2024</v>
      </c>
      <c r="N419" s="11"/>
      <c r="P419" s="44"/>
      <c r="S419" s="12" t="str">
        <f>+C419</f>
        <v>Mhlabubovu</v>
      </c>
      <c r="T419" s="13">
        <f>+L423</f>
        <v>218</v>
      </c>
      <c r="U419" s="13">
        <f>+L424+L425</f>
        <v>44</v>
      </c>
      <c r="V419" s="13">
        <f>+L426+L427</f>
        <v>174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August 2024</v>
      </c>
      <c r="D420" s="18"/>
      <c r="E420" s="18"/>
      <c r="F420" s="18"/>
      <c r="G420" s="20" t="str">
        <f>+$G$4</f>
        <v>Aug</v>
      </c>
      <c r="H420" s="20" t="str">
        <f>+G420</f>
        <v>Aug</v>
      </c>
      <c r="I420" s="20" t="str">
        <f t="shared" si="106"/>
        <v>Aug</v>
      </c>
      <c r="J420" s="20" t="str">
        <f t="shared" si="106"/>
        <v>Aug</v>
      </c>
      <c r="K420" s="20" t="str">
        <f t="shared" si="106"/>
        <v>Aug</v>
      </c>
      <c r="L420" s="20" t="str">
        <f t="shared" si="106"/>
        <v>Aug</v>
      </c>
      <c r="M420" s="20" t="str">
        <f t="shared" si="106"/>
        <v>Aug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4</v>
      </c>
      <c r="H421" s="25">
        <f>+$H$5</f>
        <v>11</v>
      </c>
      <c r="I421" s="25">
        <f>+$I$5</f>
        <v>18</v>
      </c>
      <c r="J421" s="25">
        <f>+$J$5</f>
        <v>25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45</v>
      </c>
      <c r="H423" s="31">
        <f t="shared" ref="H423:L423" si="107">SUM(H424:H427)</f>
        <v>86</v>
      </c>
      <c r="I423" s="31">
        <f t="shared" si="107"/>
        <v>43</v>
      </c>
      <c r="J423" s="31">
        <f t="shared" si="107"/>
        <v>44</v>
      </c>
      <c r="K423" s="31">
        <f t="shared" si="107"/>
        <v>0</v>
      </c>
      <c r="L423" s="31">
        <f t="shared" si="107"/>
        <v>218</v>
      </c>
      <c r="M423" s="31">
        <f>ROUND((L423/$E$1),0)</f>
        <v>55</v>
      </c>
      <c r="N423" s="32"/>
      <c r="AA423" s="46"/>
      <c r="AB423" s="46"/>
      <c r="AC423" s="46"/>
      <c r="AD423" s="46"/>
      <c r="AE423" s="46"/>
      <c r="AF423" s="46"/>
      <c r="AG423" s="46"/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>
        <v>2</v>
      </c>
      <c r="H424" s="42">
        <v>3</v>
      </c>
      <c r="I424" s="42">
        <v>2</v>
      </c>
      <c r="J424" s="42">
        <v>1</v>
      </c>
      <c r="K424" s="42"/>
      <c r="L424" s="35">
        <f>SUM(G424:K424)</f>
        <v>8</v>
      </c>
      <c r="M424" s="35">
        <f t="shared" ref="M424:M432" si="108">ROUND((L424/$E$1),0)</f>
        <v>2</v>
      </c>
      <c r="N424" s="32"/>
      <c r="AA424" s="46"/>
      <c r="AB424" s="46"/>
      <c r="AC424" s="46"/>
      <c r="AD424" s="46"/>
      <c r="AE424" s="46"/>
      <c r="AF424" s="46"/>
      <c r="AG424" s="46"/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8</v>
      </c>
      <c r="H425" s="42">
        <v>14</v>
      </c>
      <c r="I425" s="42">
        <v>7</v>
      </c>
      <c r="J425" s="42">
        <v>7</v>
      </c>
      <c r="K425" s="42"/>
      <c r="L425" s="35">
        <f t="shared" ref="L425:L432" si="109">SUM(G425:K425)</f>
        <v>36</v>
      </c>
      <c r="M425" s="35">
        <f t="shared" si="108"/>
        <v>9</v>
      </c>
      <c r="N425" s="32"/>
      <c r="AA425" s="46"/>
      <c r="AB425" s="46"/>
      <c r="AC425" s="46"/>
      <c r="AD425" s="46"/>
      <c r="AE425" s="46"/>
      <c r="AF425" s="46"/>
      <c r="AG425" s="46"/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21</v>
      </c>
      <c r="H426" s="42">
        <v>22</v>
      </c>
      <c r="I426" s="42">
        <v>12</v>
      </c>
      <c r="J426" s="42">
        <v>12</v>
      </c>
      <c r="K426" s="42"/>
      <c r="L426" s="35">
        <f t="shared" si="109"/>
        <v>67</v>
      </c>
      <c r="M426" s="35">
        <f t="shared" si="108"/>
        <v>17</v>
      </c>
      <c r="N426" s="32"/>
      <c r="AA426" s="46"/>
      <c r="AB426" s="46"/>
      <c r="AC426" s="46"/>
      <c r="AD426" s="46"/>
      <c r="AE426" s="46"/>
      <c r="AF426" s="46"/>
      <c r="AG426" s="46"/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14</v>
      </c>
      <c r="H427" s="43">
        <v>47</v>
      </c>
      <c r="I427" s="43">
        <v>22</v>
      </c>
      <c r="J427" s="43">
        <v>24</v>
      </c>
      <c r="K427" s="43"/>
      <c r="L427" s="31">
        <f t="shared" si="109"/>
        <v>107</v>
      </c>
      <c r="M427" s="31">
        <f t="shared" si="108"/>
        <v>27</v>
      </c>
      <c r="N427" s="32"/>
      <c r="AA427" s="46"/>
      <c r="AB427" s="46"/>
      <c r="AC427" s="46"/>
      <c r="AD427" s="46"/>
      <c r="AE427" s="46"/>
      <c r="AF427" s="46"/>
      <c r="AG427" s="46"/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/>
      <c r="AG428" s="46"/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/>
      <c r="AG429" s="46"/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/>
      <c r="AG430" s="46"/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/>
      <c r="AG431" s="46"/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/>
      <c r="AG432" s="46"/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2024</v>
      </c>
      <c r="H435" s="10">
        <f>+G435</f>
        <v>2024</v>
      </c>
      <c r="I435" s="10">
        <f t="shared" ref="I435:M436" si="110">+H435</f>
        <v>2024</v>
      </c>
      <c r="J435" s="10">
        <f t="shared" si="110"/>
        <v>2024</v>
      </c>
      <c r="K435" s="10">
        <f t="shared" si="110"/>
        <v>2024</v>
      </c>
      <c r="L435" s="10">
        <f t="shared" si="110"/>
        <v>2024</v>
      </c>
      <c r="M435" s="10">
        <f t="shared" si="110"/>
        <v>2024</v>
      </c>
      <c r="N435" s="11"/>
      <c r="S435" s="12" t="str">
        <f>+C435</f>
        <v>Jubukweni</v>
      </c>
      <c r="T435" s="13">
        <f>+L439</f>
        <v>91</v>
      </c>
      <c r="U435" s="13">
        <f>+L440+L441</f>
        <v>19</v>
      </c>
      <c r="V435" s="13">
        <f>+L442+L443</f>
        <v>72</v>
      </c>
      <c r="W435" s="13">
        <f>+L446</f>
        <v>0</v>
      </c>
      <c r="X435" s="13">
        <f>+L444</f>
        <v>0</v>
      </c>
    </row>
    <row r="436" spans="1:24" x14ac:dyDescent="0.25">
      <c r="A436" s="14"/>
      <c r="B436" s="15"/>
      <c r="C436" s="41" t="str">
        <f>+$C420</f>
        <v>August 2024</v>
      </c>
      <c r="D436" s="18"/>
      <c r="E436" s="18"/>
      <c r="F436" s="18"/>
      <c r="G436" s="20" t="str">
        <f>+$G$4</f>
        <v>Aug</v>
      </c>
      <c r="H436" s="20" t="str">
        <f>+G436</f>
        <v>Aug</v>
      </c>
      <c r="I436" s="20" t="str">
        <f t="shared" si="110"/>
        <v>Aug</v>
      </c>
      <c r="J436" s="20" t="str">
        <f t="shared" si="110"/>
        <v>Aug</v>
      </c>
      <c r="K436" s="20" t="str">
        <f t="shared" si="110"/>
        <v>Aug</v>
      </c>
      <c r="L436" s="20" t="str">
        <f t="shared" si="110"/>
        <v>Aug</v>
      </c>
      <c r="M436" s="20" t="str">
        <f t="shared" si="110"/>
        <v>Aug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4</v>
      </c>
      <c r="H437" s="25">
        <f>+$H$5</f>
        <v>11</v>
      </c>
      <c r="I437" s="25">
        <f>+$I$5</f>
        <v>18</v>
      </c>
      <c r="J437" s="25">
        <f>+$J$5</f>
        <v>25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23</v>
      </c>
      <c r="H439" s="31">
        <f t="shared" ref="H439:L439" si="111">SUM(H440:H443)</f>
        <v>28</v>
      </c>
      <c r="I439" s="31">
        <f t="shared" si="111"/>
        <v>18</v>
      </c>
      <c r="J439" s="31">
        <f t="shared" si="111"/>
        <v>22</v>
      </c>
      <c r="K439" s="31">
        <f t="shared" si="111"/>
        <v>0</v>
      </c>
      <c r="L439" s="31">
        <f t="shared" si="111"/>
        <v>91</v>
      </c>
      <c r="M439" s="31">
        <f>ROUND((L439/$E$1),0)</f>
        <v>23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2</v>
      </c>
      <c r="I440" s="42">
        <v>2</v>
      </c>
      <c r="J440" s="42">
        <v>2</v>
      </c>
      <c r="K440" s="42"/>
      <c r="L440" s="35">
        <f>SUM(G440:K440)</f>
        <v>8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1</v>
      </c>
      <c r="H441" s="42">
        <v>4</v>
      </c>
      <c r="I441" s="42">
        <v>2</v>
      </c>
      <c r="J441" s="42">
        <v>4</v>
      </c>
      <c r="K441" s="42"/>
      <c r="L441" s="35">
        <f t="shared" ref="L441:L448" si="113">SUM(G441:K441)</f>
        <v>11</v>
      </c>
      <c r="M441" s="35">
        <f t="shared" si="112"/>
        <v>3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10</v>
      </c>
      <c r="H442" s="42">
        <v>12</v>
      </c>
      <c r="I442" s="42">
        <v>4</v>
      </c>
      <c r="J442" s="42">
        <v>1</v>
      </c>
      <c r="K442" s="42"/>
      <c r="L442" s="35">
        <f t="shared" si="113"/>
        <v>27</v>
      </c>
      <c r="M442" s="35">
        <f t="shared" si="112"/>
        <v>7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10</v>
      </c>
      <c r="I443" s="43">
        <v>10</v>
      </c>
      <c r="J443" s="43">
        <v>15</v>
      </c>
      <c r="K443" s="43"/>
      <c r="L443" s="31">
        <f t="shared" si="113"/>
        <v>45</v>
      </c>
      <c r="M443" s="31">
        <f t="shared" si="112"/>
        <v>11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/>
      <c r="I446" s="42"/>
      <c r="J446" s="42"/>
      <c r="K446" s="42"/>
      <c r="L446" s="35">
        <f t="shared" si="113"/>
        <v>0</v>
      </c>
      <c r="M446" s="35">
        <f t="shared" si="112"/>
        <v>0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/>
      <c r="I447" s="42">
        <v>180</v>
      </c>
      <c r="J447" s="42">
        <v>180</v>
      </c>
      <c r="K447" s="42"/>
      <c r="L447" s="35">
        <f t="shared" si="113"/>
        <v>360</v>
      </c>
      <c r="M447" s="35">
        <f t="shared" si="112"/>
        <v>90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2024</v>
      </c>
      <c r="H451" s="10">
        <f>+G451</f>
        <v>2024</v>
      </c>
      <c r="I451" s="10">
        <f t="shared" ref="I451:M452" si="114">+H451</f>
        <v>2024</v>
      </c>
      <c r="J451" s="10">
        <f t="shared" si="114"/>
        <v>2024</v>
      </c>
      <c r="K451" s="10">
        <f t="shared" si="114"/>
        <v>2024</v>
      </c>
      <c r="L451" s="10">
        <f t="shared" si="114"/>
        <v>2024</v>
      </c>
      <c r="M451" s="10">
        <f t="shared" si="114"/>
        <v>2024</v>
      </c>
      <c r="N451" s="11"/>
      <c r="S451" s="12" t="str">
        <f>+C451</f>
        <v>Sigangeni</v>
      </c>
      <c r="T451" s="13">
        <f>+L455</f>
        <v>234</v>
      </c>
      <c r="U451" s="13">
        <f>+L456+L457</f>
        <v>51</v>
      </c>
      <c r="V451" s="13">
        <f>+L458+L459</f>
        <v>183</v>
      </c>
      <c r="W451" s="13">
        <f>+L462</f>
        <v>23</v>
      </c>
      <c r="X451" s="13">
        <f>+L460</f>
        <v>0</v>
      </c>
    </row>
    <row r="452" spans="1:24" x14ac:dyDescent="0.25">
      <c r="A452" s="14"/>
      <c r="B452" s="15"/>
      <c r="C452" s="41" t="str">
        <f>+$C436</f>
        <v>August 2024</v>
      </c>
      <c r="D452" s="18"/>
      <c r="E452" s="18"/>
      <c r="F452" s="18"/>
      <c r="G452" s="20" t="str">
        <f>+$G$4</f>
        <v>Aug</v>
      </c>
      <c r="H452" s="20" t="str">
        <f>+G452</f>
        <v>Aug</v>
      </c>
      <c r="I452" s="20" t="str">
        <f t="shared" si="114"/>
        <v>Aug</v>
      </c>
      <c r="J452" s="20" t="str">
        <f t="shared" si="114"/>
        <v>Aug</v>
      </c>
      <c r="K452" s="20" t="str">
        <f t="shared" si="114"/>
        <v>Aug</v>
      </c>
      <c r="L452" s="20" t="str">
        <f t="shared" si="114"/>
        <v>Aug</v>
      </c>
      <c r="M452" s="20" t="str">
        <f t="shared" si="114"/>
        <v>Aug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4</v>
      </c>
      <c r="H453" s="25">
        <f>+$H$5</f>
        <v>11</v>
      </c>
      <c r="I453" s="25">
        <f>+$I$5</f>
        <v>18</v>
      </c>
      <c r="J453" s="25">
        <f>+$J$5</f>
        <v>25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52</v>
      </c>
      <c r="H455" s="31">
        <f t="shared" ref="H455:L455" si="115">SUM(H456:H459)</f>
        <v>48</v>
      </c>
      <c r="I455" s="31">
        <f t="shared" si="115"/>
        <v>60</v>
      </c>
      <c r="J455" s="31">
        <f t="shared" si="115"/>
        <v>74</v>
      </c>
      <c r="K455" s="31">
        <f t="shared" si="115"/>
        <v>0</v>
      </c>
      <c r="L455" s="31">
        <f t="shared" si="115"/>
        <v>234</v>
      </c>
      <c r="M455" s="31">
        <f>ROUND((L455/$E$1),0)</f>
        <v>59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6</v>
      </c>
      <c r="H456" s="42">
        <v>7</v>
      </c>
      <c r="I456" s="42">
        <v>7</v>
      </c>
      <c r="J456" s="42">
        <v>7</v>
      </c>
      <c r="K456" s="42"/>
      <c r="L456" s="35">
        <f>SUM(G456:K456)</f>
        <v>27</v>
      </c>
      <c r="M456" s="35">
        <f t="shared" ref="M456:M464" si="116">ROUND((L456/$E$1),0)</f>
        <v>7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5</v>
      </c>
      <c r="H457" s="42">
        <v>5</v>
      </c>
      <c r="I457" s="42">
        <v>9</v>
      </c>
      <c r="J457" s="42">
        <v>5</v>
      </c>
      <c r="K457" s="42"/>
      <c r="L457" s="35">
        <f t="shared" ref="L457:L464" si="117">SUM(G457:K457)</f>
        <v>24</v>
      </c>
      <c r="M457" s="35">
        <f t="shared" si="116"/>
        <v>6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9</v>
      </c>
      <c r="H458" s="42">
        <v>13</v>
      </c>
      <c r="I458" s="42">
        <v>17</v>
      </c>
      <c r="J458" s="42">
        <v>14</v>
      </c>
      <c r="K458" s="42"/>
      <c r="L458" s="35">
        <f t="shared" si="117"/>
        <v>53</v>
      </c>
      <c r="M458" s="35">
        <f t="shared" si="116"/>
        <v>13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32</v>
      </c>
      <c r="H459" s="43">
        <v>23</v>
      </c>
      <c r="I459" s="43">
        <v>27</v>
      </c>
      <c r="J459" s="43">
        <v>48</v>
      </c>
      <c r="K459" s="43"/>
      <c r="L459" s="31">
        <f t="shared" si="117"/>
        <v>130</v>
      </c>
      <c r="M459" s="31">
        <f t="shared" si="116"/>
        <v>33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5</v>
      </c>
      <c r="H462" s="42">
        <v>7</v>
      </c>
      <c r="I462" s="42">
        <v>8</v>
      </c>
      <c r="J462" s="42">
        <v>3</v>
      </c>
      <c r="K462" s="42"/>
      <c r="L462" s="35">
        <f t="shared" si="117"/>
        <v>23</v>
      </c>
      <c r="M462" s="35">
        <f t="shared" si="116"/>
        <v>6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2024</v>
      </c>
      <c r="H467" s="10">
        <f>+G467</f>
        <v>2024</v>
      </c>
      <c r="I467" s="10">
        <f t="shared" ref="I467:M468" si="118">+H467</f>
        <v>2024</v>
      </c>
      <c r="J467" s="10">
        <f t="shared" si="118"/>
        <v>2024</v>
      </c>
      <c r="K467" s="10">
        <f t="shared" si="118"/>
        <v>2024</v>
      </c>
      <c r="L467" s="10">
        <f t="shared" si="118"/>
        <v>2024</v>
      </c>
      <c r="M467" s="10">
        <f t="shared" si="118"/>
        <v>2024</v>
      </c>
      <c r="N467" s="11"/>
      <c r="S467" s="12" t="str">
        <f>+C467</f>
        <v>Sgombeni</v>
      </c>
      <c r="T467" s="13">
        <f>+L471</f>
        <v>320</v>
      </c>
      <c r="U467" s="13">
        <f>+L472+L473</f>
        <v>77</v>
      </c>
      <c r="V467" s="13">
        <f>+L474+L475</f>
        <v>243</v>
      </c>
      <c r="W467" s="13">
        <f>+L478</f>
        <v>19</v>
      </c>
      <c r="X467" s="13">
        <f>+L476</f>
        <v>0</v>
      </c>
    </row>
    <row r="468" spans="1:24" x14ac:dyDescent="0.25">
      <c r="A468" s="14"/>
      <c r="B468" s="15"/>
      <c r="C468" s="41" t="str">
        <f>+$C452</f>
        <v>August 2024</v>
      </c>
      <c r="D468" s="18"/>
      <c r="E468" s="18"/>
      <c r="F468" s="18"/>
      <c r="G468" s="20" t="str">
        <f>+$G$4</f>
        <v>Aug</v>
      </c>
      <c r="H468" s="20" t="str">
        <f>+G468</f>
        <v>Aug</v>
      </c>
      <c r="I468" s="20" t="str">
        <f t="shared" si="118"/>
        <v>Aug</v>
      </c>
      <c r="J468" s="20" t="str">
        <f t="shared" si="118"/>
        <v>Aug</v>
      </c>
      <c r="K468" s="20" t="str">
        <f t="shared" si="118"/>
        <v>Aug</v>
      </c>
      <c r="L468" s="20" t="str">
        <f t="shared" si="118"/>
        <v>Aug</v>
      </c>
      <c r="M468" s="20" t="str">
        <f t="shared" si="118"/>
        <v>Aug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4</v>
      </c>
      <c r="H469" s="25">
        <f>+$H$5</f>
        <v>11</v>
      </c>
      <c r="I469" s="25">
        <f>+$I$5</f>
        <v>18</v>
      </c>
      <c r="J469" s="25">
        <f>+$J$5</f>
        <v>25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86</v>
      </c>
      <c r="H471" s="31">
        <f t="shared" ref="H471:L471" si="119">SUM(H472:H475)</f>
        <v>75</v>
      </c>
      <c r="I471" s="31">
        <f t="shared" si="119"/>
        <v>73</v>
      </c>
      <c r="J471" s="31">
        <f t="shared" si="119"/>
        <v>86</v>
      </c>
      <c r="K471" s="31">
        <f t="shared" si="119"/>
        <v>0</v>
      </c>
      <c r="L471" s="31">
        <f t="shared" si="119"/>
        <v>320</v>
      </c>
      <c r="M471" s="31">
        <f>ROUND((L471/$E$1),0)</f>
        <v>80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10</v>
      </c>
      <c r="H472" s="42">
        <v>2</v>
      </c>
      <c r="I472" s="42">
        <v>6</v>
      </c>
      <c r="J472" s="42">
        <v>9</v>
      </c>
      <c r="K472" s="42"/>
      <c r="L472" s="35">
        <f>SUM(G472:K472)</f>
        <v>27</v>
      </c>
      <c r="M472" s="35">
        <f t="shared" ref="M472:M480" si="120">ROUND((L472/$E$1),0)</f>
        <v>7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13</v>
      </c>
      <c r="H473" s="42">
        <v>8</v>
      </c>
      <c r="I473" s="42">
        <v>13</v>
      </c>
      <c r="J473" s="42">
        <v>16</v>
      </c>
      <c r="K473" s="42"/>
      <c r="L473" s="35">
        <f t="shared" ref="L473:L480" si="121">SUM(G473:K473)</f>
        <v>50</v>
      </c>
      <c r="M473" s="35">
        <f t="shared" si="120"/>
        <v>13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24</v>
      </c>
      <c r="H474" s="42">
        <v>22</v>
      </c>
      <c r="I474" s="42">
        <v>22</v>
      </c>
      <c r="J474" s="42">
        <v>20</v>
      </c>
      <c r="K474" s="42"/>
      <c r="L474" s="35">
        <f t="shared" si="121"/>
        <v>88</v>
      </c>
      <c r="M474" s="35">
        <f t="shared" si="120"/>
        <v>22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39</v>
      </c>
      <c r="H475" s="43">
        <v>43</v>
      </c>
      <c r="I475" s="43">
        <v>32</v>
      </c>
      <c r="J475" s="43">
        <v>41</v>
      </c>
      <c r="K475" s="43"/>
      <c r="L475" s="31">
        <f t="shared" si="121"/>
        <v>155</v>
      </c>
      <c r="M475" s="31">
        <f t="shared" si="120"/>
        <v>39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5</v>
      </c>
      <c r="H478" s="42">
        <v>3</v>
      </c>
      <c r="I478" s="42">
        <v>5</v>
      </c>
      <c r="J478" s="42">
        <v>6</v>
      </c>
      <c r="K478" s="42"/>
      <c r="L478" s="35">
        <f t="shared" si="121"/>
        <v>19</v>
      </c>
      <c r="M478" s="35">
        <f t="shared" si="120"/>
        <v>5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>
        <v>40</v>
      </c>
      <c r="H479" s="42"/>
      <c r="I479" s="42">
        <v>35</v>
      </c>
      <c r="J479" s="42">
        <v>45</v>
      </c>
      <c r="K479" s="42"/>
      <c r="L479" s="35">
        <f t="shared" si="121"/>
        <v>120</v>
      </c>
      <c r="M479" s="35">
        <f t="shared" si="120"/>
        <v>30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2024</v>
      </c>
      <c r="H483" s="10">
        <f>+G483</f>
        <v>2024</v>
      </c>
      <c r="I483" s="10">
        <f t="shared" ref="I483:M484" si="122">+H483</f>
        <v>2024</v>
      </c>
      <c r="J483" s="10">
        <f t="shared" si="122"/>
        <v>2024</v>
      </c>
      <c r="K483" s="10">
        <f t="shared" si="122"/>
        <v>2024</v>
      </c>
      <c r="L483" s="10">
        <f t="shared" si="122"/>
        <v>2024</v>
      </c>
      <c r="M483" s="10">
        <f t="shared" si="122"/>
        <v>2024</v>
      </c>
      <c r="N483" s="11"/>
      <c r="S483" s="12" t="str">
        <f>+C483</f>
        <v>Lushikishini</v>
      </c>
      <c r="T483" s="13">
        <f>+L487</f>
        <v>208</v>
      </c>
      <c r="U483" s="13">
        <f>+L488+L489</f>
        <v>96</v>
      </c>
      <c r="V483" s="13">
        <f>+L490+L491</f>
        <v>112</v>
      </c>
      <c r="W483" s="13">
        <f>+L494</f>
        <v>6</v>
      </c>
      <c r="X483" s="13">
        <f>+L492</f>
        <v>2</v>
      </c>
    </row>
    <row r="484" spans="1:24" x14ac:dyDescent="0.25">
      <c r="A484" s="14"/>
      <c r="B484" s="15"/>
      <c r="C484" s="41" t="str">
        <f>+$C468</f>
        <v>August 2024</v>
      </c>
      <c r="D484" s="18"/>
      <c r="E484" s="18"/>
      <c r="F484" s="18"/>
      <c r="G484" s="20" t="str">
        <f>+$G$4</f>
        <v>Aug</v>
      </c>
      <c r="H484" s="20" t="str">
        <f>+G484</f>
        <v>Aug</v>
      </c>
      <c r="I484" s="20" t="str">
        <f t="shared" si="122"/>
        <v>Aug</v>
      </c>
      <c r="J484" s="20" t="str">
        <f t="shared" si="122"/>
        <v>Aug</v>
      </c>
      <c r="K484" s="20" t="str">
        <f t="shared" si="122"/>
        <v>Aug</v>
      </c>
      <c r="L484" s="20" t="str">
        <f t="shared" si="122"/>
        <v>Aug</v>
      </c>
      <c r="M484" s="20" t="str">
        <f t="shared" si="122"/>
        <v>Aug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4</v>
      </c>
      <c r="H485" s="25">
        <f>+$H$5</f>
        <v>11</v>
      </c>
      <c r="I485" s="25">
        <f>+$I$5</f>
        <v>18</v>
      </c>
      <c r="J485" s="25">
        <f>+$J$5</f>
        <v>25</v>
      </c>
      <c r="K485" s="25">
        <f>+$K$5</f>
        <v>0</v>
      </c>
      <c r="L485" s="25" t="s">
        <v>6</v>
      </c>
      <c r="M485" s="25" t="s">
        <v>7</v>
      </c>
      <c r="N485" s="26"/>
      <c r="P485" s="1" t="s">
        <v>74</v>
      </c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42</v>
      </c>
      <c r="H487" s="31">
        <f t="shared" ref="H487:L487" si="123">SUM(H488:H491)</f>
        <v>98</v>
      </c>
      <c r="I487" s="31">
        <f t="shared" si="123"/>
        <v>68</v>
      </c>
      <c r="J487" s="31">
        <f t="shared" si="123"/>
        <v>0</v>
      </c>
      <c r="K487" s="31">
        <f t="shared" si="123"/>
        <v>0</v>
      </c>
      <c r="L487" s="31">
        <f t="shared" si="123"/>
        <v>208</v>
      </c>
      <c r="M487" s="31">
        <f>ROUND((L487/$E$1),0)</f>
        <v>52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1</v>
      </c>
      <c r="H488" s="42">
        <v>24</v>
      </c>
      <c r="I488" s="42">
        <v>4</v>
      </c>
      <c r="J488" s="42"/>
      <c r="K488" s="42"/>
      <c r="L488" s="35">
        <f>SUM(G488:K488)</f>
        <v>29</v>
      </c>
      <c r="M488" s="35">
        <f t="shared" ref="M488:M496" si="124">ROUND((L488/$E$1),0)</f>
        <v>7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19</v>
      </c>
      <c r="H489" s="42">
        <v>33</v>
      </c>
      <c r="I489" s="42">
        <v>15</v>
      </c>
      <c r="J489" s="42"/>
      <c r="K489" s="42"/>
      <c r="L489" s="35">
        <f t="shared" ref="L489:L496" si="125">SUM(G489:K489)</f>
        <v>67</v>
      </c>
      <c r="M489" s="35">
        <f t="shared" si="124"/>
        <v>17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10</v>
      </c>
      <c r="H490" s="42">
        <v>13</v>
      </c>
      <c r="I490" s="42">
        <v>15</v>
      </c>
      <c r="J490" s="42"/>
      <c r="K490" s="42"/>
      <c r="L490" s="35">
        <f t="shared" si="125"/>
        <v>38</v>
      </c>
      <c r="M490" s="35">
        <f t="shared" si="124"/>
        <v>10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12</v>
      </c>
      <c r="H491" s="43">
        <v>28</v>
      </c>
      <c r="I491" s="43">
        <v>34</v>
      </c>
      <c r="J491" s="43"/>
      <c r="K491" s="43"/>
      <c r="L491" s="31">
        <f t="shared" si="125"/>
        <v>74</v>
      </c>
      <c r="M491" s="31">
        <f t="shared" si="124"/>
        <v>19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>
        <v>2</v>
      </c>
      <c r="J492" s="42"/>
      <c r="K492" s="42"/>
      <c r="L492" s="35">
        <f t="shared" si="125"/>
        <v>2</v>
      </c>
      <c r="M492" s="35">
        <f t="shared" si="124"/>
        <v>1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>
        <v>6</v>
      </c>
      <c r="I494" s="42"/>
      <c r="J494" s="42"/>
      <c r="K494" s="42"/>
      <c r="L494" s="35">
        <f t="shared" si="125"/>
        <v>6</v>
      </c>
      <c r="M494" s="35">
        <f t="shared" si="124"/>
        <v>2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>
        <v>36</v>
      </c>
      <c r="I495" s="42">
        <v>504</v>
      </c>
      <c r="J495" s="42"/>
      <c r="K495" s="42"/>
      <c r="L495" s="35">
        <f t="shared" si="125"/>
        <v>540</v>
      </c>
      <c r="M495" s="35">
        <f t="shared" si="124"/>
        <v>135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2024</v>
      </c>
      <c r="H499" s="10">
        <f>+G499</f>
        <v>2024</v>
      </c>
      <c r="I499" s="10">
        <f t="shared" ref="I499:M500" si="126">+H499</f>
        <v>2024</v>
      </c>
      <c r="J499" s="10">
        <f t="shared" si="126"/>
        <v>2024</v>
      </c>
      <c r="K499" s="10">
        <f t="shared" si="126"/>
        <v>2024</v>
      </c>
      <c r="L499" s="10">
        <f t="shared" si="126"/>
        <v>2024</v>
      </c>
      <c r="M499" s="10">
        <f t="shared" si="126"/>
        <v>2024</v>
      </c>
      <c r="N499" s="11"/>
      <c r="S499" s="12" t="str">
        <f>+C499</f>
        <v>Sigengeni (Shiselweni)</v>
      </c>
      <c r="T499" s="13">
        <f>+L503</f>
        <v>432</v>
      </c>
      <c r="U499" s="13">
        <f>+L504+L505</f>
        <v>80</v>
      </c>
      <c r="V499" s="13">
        <f>+L506+L507</f>
        <v>352</v>
      </c>
      <c r="W499" s="13">
        <f>+L510</f>
        <v>18</v>
      </c>
      <c r="X499" s="13">
        <f>+L508</f>
        <v>13</v>
      </c>
    </row>
    <row r="500" spans="1:24" x14ac:dyDescent="0.25">
      <c r="A500" s="14"/>
      <c r="B500" s="15"/>
      <c r="C500" s="41" t="str">
        <f>+$C484</f>
        <v>August 2024</v>
      </c>
      <c r="D500" s="18"/>
      <c r="E500" s="18"/>
      <c r="F500" s="18"/>
      <c r="G500" s="20" t="str">
        <f>+$G$4</f>
        <v>Aug</v>
      </c>
      <c r="H500" s="20" t="str">
        <f>+G500</f>
        <v>Aug</v>
      </c>
      <c r="I500" s="20" t="str">
        <f t="shared" si="126"/>
        <v>Aug</v>
      </c>
      <c r="J500" s="20" t="str">
        <f t="shared" si="126"/>
        <v>Aug</v>
      </c>
      <c r="K500" s="20" t="str">
        <f t="shared" si="126"/>
        <v>Aug</v>
      </c>
      <c r="L500" s="20" t="str">
        <f t="shared" si="126"/>
        <v>Aug</v>
      </c>
      <c r="M500" s="20" t="str">
        <f t="shared" si="126"/>
        <v>Aug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4</v>
      </c>
      <c r="H501" s="25">
        <f>+$H$5</f>
        <v>11</v>
      </c>
      <c r="I501" s="25">
        <f>+$I$5</f>
        <v>18</v>
      </c>
      <c r="J501" s="25">
        <f>+$J$5</f>
        <v>25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96</v>
      </c>
      <c r="H503" s="31">
        <f t="shared" ref="H503:L503" si="127">SUM(H504:H507)</f>
        <v>155</v>
      </c>
      <c r="I503" s="31">
        <f t="shared" si="127"/>
        <v>98</v>
      </c>
      <c r="J503" s="31">
        <f t="shared" si="127"/>
        <v>83</v>
      </c>
      <c r="K503" s="31">
        <f t="shared" si="127"/>
        <v>0</v>
      </c>
      <c r="L503" s="31">
        <f t="shared" si="127"/>
        <v>432</v>
      </c>
      <c r="M503" s="31">
        <f>ROUND((L503/$E$1),0)</f>
        <v>108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3</v>
      </c>
      <c r="H504" s="42">
        <v>12</v>
      </c>
      <c r="I504" s="42">
        <v>5</v>
      </c>
      <c r="J504" s="42">
        <v>3</v>
      </c>
      <c r="K504" s="42"/>
      <c r="L504" s="35">
        <f>SUM(G504:K504)</f>
        <v>23</v>
      </c>
      <c r="M504" s="35">
        <f t="shared" ref="M504:M512" si="128">ROUND((L504/$E$1),0)</f>
        <v>6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13</v>
      </c>
      <c r="H505" s="42">
        <v>21</v>
      </c>
      <c r="I505" s="42">
        <v>13</v>
      </c>
      <c r="J505" s="42">
        <v>10</v>
      </c>
      <c r="K505" s="42"/>
      <c r="L505" s="35">
        <f t="shared" ref="L505:L512" si="129">SUM(G505:K505)</f>
        <v>57</v>
      </c>
      <c r="M505" s="35">
        <f t="shared" si="128"/>
        <v>14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16</v>
      </c>
      <c r="H506" s="42">
        <v>26</v>
      </c>
      <c r="I506" s="42">
        <v>16</v>
      </c>
      <c r="J506" s="42">
        <v>14</v>
      </c>
      <c r="K506" s="42"/>
      <c r="L506" s="35">
        <f t="shared" si="129"/>
        <v>72</v>
      </c>
      <c r="M506" s="35">
        <f t="shared" si="128"/>
        <v>18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64</v>
      </c>
      <c r="H507" s="43">
        <v>96</v>
      </c>
      <c r="I507" s="43">
        <v>64</v>
      </c>
      <c r="J507" s="43">
        <v>56</v>
      </c>
      <c r="K507" s="43"/>
      <c r="L507" s="31">
        <f t="shared" si="129"/>
        <v>280</v>
      </c>
      <c r="M507" s="31">
        <f t="shared" si="128"/>
        <v>70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>
        <v>7</v>
      </c>
      <c r="I508" s="42">
        <v>3</v>
      </c>
      <c r="J508" s="42">
        <v>3</v>
      </c>
      <c r="K508" s="42"/>
      <c r="L508" s="35">
        <f t="shared" si="129"/>
        <v>13</v>
      </c>
      <c r="M508" s="35">
        <f t="shared" si="128"/>
        <v>3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3</v>
      </c>
      <c r="H510" s="42">
        <v>10</v>
      </c>
      <c r="I510" s="42">
        <v>3</v>
      </c>
      <c r="J510" s="42">
        <v>2</v>
      </c>
      <c r="K510" s="42"/>
      <c r="L510" s="35">
        <f t="shared" si="129"/>
        <v>18</v>
      </c>
      <c r="M510" s="35">
        <f t="shared" si="128"/>
        <v>5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360</v>
      </c>
      <c r="H511" s="42">
        <v>360</v>
      </c>
      <c r="I511" s="42">
        <v>72</v>
      </c>
      <c r="J511" s="42">
        <v>144</v>
      </c>
      <c r="K511" s="42"/>
      <c r="L511" s="35">
        <f t="shared" si="129"/>
        <v>936</v>
      </c>
      <c r="M511" s="35">
        <f t="shared" si="128"/>
        <v>234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2024</v>
      </c>
      <c r="H515" s="10">
        <f>+G515</f>
        <v>2024</v>
      </c>
      <c r="I515" s="10">
        <f t="shared" ref="I515:M516" si="130">+H515</f>
        <v>2024</v>
      </c>
      <c r="J515" s="10">
        <f t="shared" si="130"/>
        <v>2024</v>
      </c>
      <c r="K515" s="10">
        <f t="shared" si="130"/>
        <v>2024</v>
      </c>
      <c r="L515" s="10">
        <f t="shared" si="130"/>
        <v>2024</v>
      </c>
      <c r="M515" s="10">
        <f t="shared" si="130"/>
        <v>2024</v>
      </c>
      <c r="N515" s="11"/>
      <c r="S515" s="12" t="str">
        <f>+C515</f>
        <v>Gundviwini</v>
      </c>
      <c r="T515" s="13">
        <f>+L519</f>
        <v>171</v>
      </c>
      <c r="U515" s="13">
        <f>+L520+L521</f>
        <v>46</v>
      </c>
      <c r="V515" s="13">
        <f>+L522+L523</f>
        <v>125</v>
      </c>
      <c r="W515" s="13">
        <f>+L526</f>
        <v>39</v>
      </c>
      <c r="X515" s="13">
        <f>+L524</f>
        <v>1</v>
      </c>
    </row>
    <row r="516" spans="1:24" x14ac:dyDescent="0.25">
      <c r="A516" s="14"/>
      <c r="B516" s="15"/>
      <c r="C516" s="41" t="str">
        <f>+$C500</f>
        <v>August 2024</v>
      </c>
      <c r="D516" s="18"/>
      <c r="E516" s="18"/>
      <c r="F516" s="18"/>
      <c r="G516" s="20" t="str">
        <f>+$G$4</f>
        <v>Aug</v>
      </c>
      <c r="H516" s="20" t="str">
        <f>+G516</f>
        <v>Aug</v>
      </c>
      <c r="I516" s="20" t="str">
        <f t="shared" si="130"/>
        <v>Aug</v>
      </c>
      <c r="J516" s="20" t="str">
        <f t="shared" si="130"/>
        <v>Aug</v>
      </c>
      <c r="K516" s="20" t="str">
        <f t="shared" si="130"/>
        <v>Aug</v>
      </c>
      <c r="L516" s="20" t="str">
        <f t="shared" si="130"/>
        <v>Aug</v>
      </c>
      <c r="M516" s="20" t="str">
        <f t="shared" si="130"/>
        <v>Aug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4</v>
      </c>
      <c r="H517" s="25">
        <f>+$H$5</f>
        <v>11</v>
      </c>
      <c r="I517" s="25">
        <f>+$I$5</f>
        <v>18</v>
      </c>
      <c r="J517" s="25">
        <f>+$J$5</f>
        <v>25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47</v>
      </c>
      <c r="H519" s="31">
        <f t="shared" ref="H519:L519" si="131">SUM(H520:H523)</f>
        <v>35</v>
      </c>
      <c r="I519" s="31">
        <f t="shared" si="131"/>
        <v>50</v>
      </c>
      <c r="J519" s="31">
        <f t="shared" si="131"/>
        <v>39</v>
      </c>
      <c r="K519" s="31">
        <f t="shared" si="131"/>
        <v>0</v>
      </c>
      <c r="L519" s="31">
        <f t="shared" si="131"/>
        <v>171</v>
      </c>
      <c r="M519" s="31">
        <f>ROUND((L519/$E$1),0)</f>
        <v>43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5</v>
      </c>
      <c r="H520" s="42">
        <v>4</v>
      </c>
      <c r="I520" s="42">
        <v>6</v>
      </c>
      <c r="J520" s="42">
        <v>4</v>
      </c>
      <c r="K520" s="42"/>
      <c r="L520" s="35">
        <f>SUM(G520:K520)</f>
        <v>19</v>
      </c>
      <c r="M520" s="35">
        <f t="shared" ref="M520:M528" si="132">ROUND((L520/$E$1),0)</f>
        <v>5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8</v>
      </c>
      <c r="H521" s="42">
        <v>5</v>
      </c>
      <c r="I521" s="42">
        <v>10</v>
      </c>
      <c r="J521" s="42">
        <v>4</v>
      </c>
      <c r="K521" s="42"/>
      <c r="L521" s="35">
        <f t="shared" ref="L521:L528" si="133">SUM(G521:K521)</f>
        <v>27</v>
      </c>
      <c r="M521" s="35">
        <f t="shared" si="132"/>
        <v>7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8</v>
      </c>
      <c r="H522" s="42">
        <v>6</v>
      </c>
      <c r="I522" s="42">
        <v>7</v>
      </c>
      <c r="J522" s="42">
        <v>6</v>
      </c>
      <c r="K522" s="42"/>
      <c r="L522" s="35">
        <f t="shared" si="133"/>
        <v>27</v>
      </c>
      <c r="M522" s="35">
        <f t="shared" si="132"/>
        <v>7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26</v>
      </c>
      <c r="H523" s="43">
        <v>20</v>
      </c>
      <c r="I523" s="43">
        <v>27</v>
      </c>
      <c r="J523" s="43">
        <v>25</v>
      </c>
      <c r="K523" s="43"/>
      <c r="L523" s="31">
        <f t="shared" si="133"/>
        <v>98</v>
      </c>
      <c r="M523" s="31">
        <f t="shared" si="132"/>
        <v>25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/>
      <c r="I524" s="42">
        <v>1</v>
      </c>
      <c r="J524" s="42"/>
      <c r="K524" s="42"/>
      <c r="L524" s="35">
        <f t="shared" si="133"/>
        <v>1</v>
      </c>
      <c r="M524" s="35">
        <f t="shared" si="132"/>
        <v>0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>
        <v>1</v>
      </c>
      <c r="H526" s="42"/>
      <c r="I526" s="42">
        <v>36</v>
      </c>
      <c r="J526" s="42">
        <v>2</v>
      </c>
      <c r="K526" s="42"/>
      <c r="L526" s="35">
        <f t="shared" si="133"/>
        <v>39</v>
      </c>
      <c r="M526" s="35">
        <f t="shared" si="132"/>
        <v>10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2024</v>
      </c>
      <c r="H531" s="10">
        <f>+G531</f>
        <v>2024</v>
      </c>
      <c r="I531" s="10">
        <f t="shared" ref="I531:M532" si="134">+H531</f>
        <v>2024</v>
      </c>
      <c r="J531" s="10">
        <f t="shared" si="134"/>
        <v>2024</v>
      </c>
      <c r="K531" s="10">
        <f t="shared" si="134"/>
        <v>2024</v>
      </c>
      <c r="L531" s="10">
        <f t="shared" si="134"/>
        <v>2024</v>
      </c>
      <c r="M531" s="10">
        <f t="shared" si="134"/>
        <v>2024</v>
      </c>
      <c r="N531" s="11"/>
      <c r="P531" s="44"/>
      <c r="S531" s="12" t="str">
        <f>+C531</f>
        <v>Mcuba</v>
      </c>
      <c r="T531" s="13">
        <f>+L535</f>
        <v>304</v>
      </c>
      <c r="U531" s="13">
        <f>+L536+L537</f>
        <v>75</v>
      </c>
      <c r="V531" s="13">
        <f>+L538+L539</f>
        <v>229</v>
      </c>
      <c r="W531" s="13">
        <f>+L542</f>
        <v>4</v>
      </c>
      <c r="X531" s="13">
        <f>+L540</f>
        <v>0</v>
      </c>
    </row>
    <row r="532" spans="1:24" x14ac:dyDescent="0.25">
      <c r="A532" s="14"/>
      <c r="B532" s="15"/>
      <c r="C532" s="41" t="str">
        <f>+$C516</f>
        <v>August 2024</v>
      </c>
      <c r="D532" s="18"/>
      <c r="E532" s="18"/>
      <c r="F532" s="18"/>
      <c r="G532" s="20" t="str">
        <f>+$G$4</f>
        <v>Aug</v>
      </c>
      <c r="H532" s="20" t="str">
        <f>+G532</f>
        <v>Aug</v>
      </c>
      <c r="I532" s="20" t="str">
        <f t="shared" si="134"/>
        <v>Aug</v>
      </c>
      <c r="J532" s="20" t="str">
        <f t="shared" si="134"/>
        <v>Aug</v>
      </c>
      <c r="K532" s="20" t="str">
        <f t="shared" si="134"/>
        <v>Aug</v>
      </c>
      <c r="L532" s="20" t="str">
        <f t="shared" si="134"/>
        <v>Aug</v>
      </c>
      <c r="M532" s="20" t="str">
        <f t="shared" si="134"/>
        <v>Aug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4</v>
      </c>
      <c r="H533" s="25">
        <f>+$H$5</f>
        <v>11</v>
      </c>
      <c r="I533" s="25">
        <f>+$I$5</f>
        <v>18</v>
      </c>
      <c r="J533" s="25">
        <f>+$J$5</f>
        <v>25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63</v>
      </c>
      <c r="H535" s="31">
        <f t="shared" ref="H535:L535" si="135">SUM(H536:H539)</f>
        <v>80</v>
      </c>
      <c r="I535" s="31">
        <f t="shared" si="135"/>
        <v>94</v>
      </c>
      <c r="J535" s="31">
        <f t="shared" si="135"/>
        <v>67</v>
      </c>
      <c r="K535" s="31">
        <f t="shared" si="135"/>
        <v>0</v>
      </c>
      <c r="L535" s="31">
        <f t="shared" si="135"/>
        <v>304</v>
      </c>
      <c r="M535" s="31">
        <f>ROUND((L535/$E$1),0)</f>
        <v>76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3</v>
      </c>
      <c r="H536" s="42">
        <v>4</v>
      </c>
      <c r="I536" s="42">
        <v>7</v>
      </c>
      <c r="J536" s="42">
        <v>3</v>
      </c>
      <c r="K536" s="42"/>
      <c r="L536" s="35">
        <f>SUM(G536:K536)</f>
        <v>17</v>
      </c>
      <c r="M536" s="35">
        <f t="shared" ref="M536:M544" si="136">ROUND((L536/$E$1),0)</f>
        <v>4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10</v>
      </c>
      <c r="H537" s="42">
        <v>16</v>
      </c>
      <c r="I537" s="42">
        <v>24</v>
      </c>
      <c r="J537" s="42">
        <v>8</v>
      </c>
      <c r="K537" s="42"/>
      <c r="L537" s="35">
        <f t="shared" ref="L537:L544" si="137">SUM(G537:K537)</f>
        <v>58</v>
      </c>
      <c r="M537" s="35">
        <f t="shared" si="136"/>
        <v>15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15</v>
      </c>
      <c r="H538" s="42">
        <v>22</v>
      </c>
      <c r="I538" s="42">
        <v>21</v>
      </c>
      <c r="J538" s="42">
        <v>11</v>
      </c>
      <c r="K538" s="42"/>
      <c r="L538" s="35">
        <f t="shared" si="137"/>
        <v>69</v>
      </c>
      <c r="M538" s="35">
        <f t="shared" si="136"/>
        <v>17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35</v>
      </c>
      <c r="H539" s="43">
        <v>38</v>
      </c>
      <c r="I539" s="43">
        <v>42</v>
      </c>
      <c r="J539" s="43">
        <v>45</v>
      </c>
      <c r="K539" s="43"/>
      <c r="L539" s="31">
        <f t="shared" si="137"/>
        <v>160</v>
      </c>
      <c r="M539" s="31">
        <f t="shared" si="136"/>
        <v>40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>
        <v>2</v>
      </c>
      <c r="H542" s="42">
        <v>2</v>
      </c>
      <c r="I542" s="42"/>
      <c r="J542" s="42"/>
      <c r="K542" s="42"/>
      <c r="L542" s="35">
        <f t="shared" si="137"/>
        <v>4</v>
      </c>
      <c r="M542" s="35">
        <f t="shared" si="136"/>
        <v>1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>
        <v>108</v>
      </c>
      <c r="H543" s="42">
        <v>72</v>
      </c>
      <c r="I543" s="42">
        <v>180</v>
      </c>
      <c r="J543" s="42">
        <v>72</v>
      </c>
      <c r="K543" s="42"/>
      <c r="L543" s="35">
        <f t="shared" si="137"/>
        <v>432</v>
      </c>
      <c r="M543" s="35">
        <f t="shared" si="136"/>
        <v>108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2024</v>
      </c>
      <c r="H547" s="10">
        <f>+G547</f>
        <v>2024</v>
      </c>
      <c r="I547" s="10">
        <f t="shared" ref="I547:M548" si="138">+H547</f>
        <v>2024</v>
      </c>
      <c r="J547" s="10">
        <f t="shared" si="138"/>
        <v>2024</v>
      </c>
      <c r="K547" s="10">
        <f t="shared" si="138"/>
        <v>2024</v>
      </c>
      <c r="L547" s="10">
        <f t="shared" si="138"/>
        <v>2024</v>
      </c>
      <c r="M547" s="10">
        <f t="shared" si="138"/>
        <v>2024</v>
      </c>
      <c r="N547" s="11"/>
      <c r="P547" s="44"/>
      <c r="S547" s="12" t="str">
        <f>+C547</f>
        <v>Phonjwane</v>
      </c>
      <c r="T547" s="13">
        <f>+L551</f>
        <v>405</v>
      </c>
      <c r="U547" s="13">
        <f>+L552+L553</f>
        <v>79</v>
      </c>
      <c r="V547" s="13">
        <f>+L554+L555</f>
        <v>326</v>
      </c>
      <c r="W547" s="13">
        <f>+L558</f>
        <v>10</v>
      </c>
      <c r="X547" s="13">
        <f>+L556</f>
        <v>4</v>
      </c>
    </row>
    <row r="548" spans="1:24" x14ac:dyDescent="0.25">
      <c r="A548" s="14"/>
      <c r="B548" s="15"/>
      <c r="C548" s="41" t="str">
        <f>+$C532</f>
        <v>August 2024</v>
      </c>
      <c r="D548" s="18"/>
      <c r="E548" s="18"/>
      <c r="F548" s="18"/>
      <c r="G548" s="20" t="str">
        <f>+$G$4</f>
        <v>Aug</v>
      </c>
      <c r="H548" s="20" t="str">
        <f>+G548</f>
        <v>Aug</v>
      </c>
      <c r="I548" s="20" t="str">
        <f t="shared" si="138"/>
        <v>Aug</v>
      </c>
      <c r="J548" s="20" t="str">
        <f t="shared" si="138"/>
        <v>Aug</v>
      </c>
      <c r="K548" s="20" t="str">
        <f t="shared" si="138"/>
        <v>Aug</v>
      </c>
      <c r="L548" s="20" t="str">
        <f t="shared" si="138"/>
        <v>Aug</v>
      </c>
      <c r="M548" s="20" t="str">
        <f t="shared" si="138"/>
        <v>Aug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4</v>
      </c>
      <c r="H549" s="25">
        <f>+$H$5</f>
        <v>11</v>
      </c>
      <c r="I549" s="25">
        <f>+$I$5</f>
        <v>18</v>
      </c>
      <c r="J549" s="25">
        <f>+$J$5</f>
        <v>25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103</v>
      </c>
      <c r="H551" s="31">
        <f t="shared" ref="H551:L551" si="139">SUM(H552:H555)</f>
        <v>122</v>
      </c>
      <c r="I551" s="31">
        <f t="shared" si="139"/>
        <v>68</v>
      </c>
      <c r="J551" s="31">
        <f t="shared" si="139"/>
        <v>112</v>
      </c>
      <c r="K551" s="31">
        <f t="shared" si="139"/>
        <v>0</v>
      </c>
      <c r="L551" s="31">
        <f t="shared" si="139"/>
        <v>405</v>
      </c>
      <c r="M551" s="31">
        <f>ROUND((L551/$E$1),0)</f>
        <v>101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5</v>
      </c>
      <c r="H552" s="42">
        <v>5</v>
      </c>
      <c r="I552" s="42">
        <v>4</v>
      </c>
      <c r="J552" s="42">
        <v>2</v>
      </c>
      <c r="K552" s="42"/>
      <c r="L552" s="35">
        <f>SUM(G552:K552)</f>
        <v>16</v>
      </c>
      <c r="M552" s="35">
        <f t="shared" ref="M552:M560" si="140">ROUND((L552/$E$1),0)</f>
        <v>4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16</v>
      </c>
      <c r="H553" s="42">
        <v>24</v>
      </c>
      <c r="I553" s="42">
        <v>7</v>
      </c>
      <c r="J553" s="42">
        <v>16</v>
      </c>
      <c r="K553" s="42"/>
      <c r="L553" s="35">
        <f t="shared" ref="L553:L560" si="141">SUM(G553:K553)</f>
        <v>63</v>
      </c>
      <c r="M553" s="35">
        <f t="shared" si="140"/>
        <v>16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22</v>
      </c>
      <c r="H554" s="42">
        <v>21</v>
      </c>
      <c r="I554" s="42">
        <v>12</v>
      </c>
      <c r="J554" s="42">
        <v>24</v>
      </c>
      <c r="K554" s="42"/>
      <c r="L554" s="35">
        <f t="shared" si="141"/>
        <v>79</v>
      </c>
      <c r="M554" s="35">
        <f t="shared" si="140"/>
        <v>20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60</v>
      </c>
      <c r="H555" s="43">
        <v>72</v>
      </c>
      <c r="I555" s="43">
        <v>45</v>
      </c>
      <c r="J555" s="43">
        <v>70</v>
      </c>
      <c r="K555" s="43"/>
      <c r="L555" s="31">
        <f t="shared" si="141"/>
        <v>247</v>
      </c>
      <c r="M555" s="31">
        <f t="shared" si="140"/>
        <v>62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>
        <v>4</v>
      </c>
      <c r="J556" s="42"/>
      <c r="K556" s="42"/>
      <c r="L556" s="35">
        <f t="shared" si="141"/>
        <v>4</v>
      </c>
      <c r="M556" s="35">
        <f t="shared" si="140"/>
        <v>1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3</v>
      </c>
      <c r="H558" s="42"/>
      <c r="I558" s="42">
        <v>3</v>
      </c>
      <c r="J558" s="42">
        <v>4</v>
      </c>
      <c r="K558" s="42"/>
      <c r="L558" s="35">
        <f t="shared" si="141"/>
        <v>10</v>
      </c>
      <c r="M558" s="35">
        <f t="shared" si="140"/>
        <v>3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2024</v>
      </c>
      <c r="H563" s="10">
        <f>+G563</f>
        <v>2024</v>
      </c>
      <c r="I563" s="10">
        <f t="shared" ref="I563:M564" si="142">+H563</f>
        <v>2024</v>
      </c>
      <c r="J563" s="10">
        <f t="shared" si="142"/>
        <v>2024</v>
      </c>
      <c r="K563" s="10">
        <f t="shared" si="142"/>
        <v>2024</v>
      </c>
      <c r="L563" s="10">
        <f t="shared" si="142"/>
        <v>2024</v>
      </c>
      <c r="M563" s="10">
        <f t="shared" si="142"/>
        <v>2024</v>
      </c>
      <c r="N563" s="11"/>
      <c r="P563" s="44"/>
      <c r="S563" s="12" t="str">
        <f>+C563</f>
        <v>Njakeni</v>
      </c>
      <c r="T563" s="13">
        <f>+L567</f>
        <v>220</v>
      </c>
      <c r="U563" s="13">
        <f>+L568+L569</f>
        <v>57</v>
      </c>
      <c r="V563" s="13">
        <f>+L570+L571</f>
        <v>163</v>
      </c>
      <c r="W563" s="13">
        <f>+L574</f>
        <v>14</v>
      </c>
      <c r="X563" s="13">
        <f>+L572</f>
        <v>10</v>
      </c>
    </row>
    <row r="564" spans="1:24" x14ac:dyDescent="0.25">
      <c r="A564" s="14"/>
      <c r="B564" s="15"/>
      <c r="C564" s="41" t="str">
        <f>+$C548</f>
        <v>August 2024</v>
      </c>
      <c r="D564" s="18"/>
      <c r="E564" s="18"/>
      <c r="F564" s="18"/>
      <c r="G564" s="20" t="str">
        <f>+$G$4</f>
        <v>Aug</v>
      </c>
      <c r="H564" s="20" t="str">
        <f>+G564</f>
        <v>Aug</v>
      </c>
      <c r="I564" s="20" t="str">
        <f t="shared" si="142"/>
        <v>Aug</v>
      </c>
      <c r="J564" s="20" t="str">
        <f t="shared" si="142"/>
        <v>Aug</v>
      </c>
      <c r="K564" s="20" t="str">
        <f t="shared" si="142"/>
        <v>Aug</v>
      </c>
      <c r="L564" s="20" t="str">
        <f t="shared" si="142"/>
        <v>Aug</v>
      </c>
      <c r="M564" s="20" t="str">
        <f t="shared" si="142"/>
        <v>Aug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4</v>
      </c>
      <c r="H565" s="25">
        <f>+$H$5</f>
        <v>11</v>
      </c>
      <c r="I565" s="25">
        <f>+$I$5</f>
        <v>18</v>
      </c>
      <c r="J565" s="25">
        <f>+$J$5</f>
        <v>25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25</v>
      </c>
      <c r="H567" s="31">
        <f t="shared" ref="H567:L567" si="143">SUM(H568:H571)</f>
        <v>30</v>
      </c>
      <c r="I567" s="31">
        <f t="shared" si="143"/>
        <v>66</v>
      </c>
      <c r="J567" s="31">
        <f t="shared" si="143"/>
        <v>99</v>
      </c>
      <c r="K567" s="31">
        <f t="shared" si="143"/>
        <v>0</v>
      </c>
      <c r="L567" s="31">
        <f t="shared" si="143"/>
        <v>220</v>
      </c>
      <c r="M567" s="31">
        <f>ROUND((L567/$E$1),0)</f>
        <v>55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1</v>
      </c>
      <c r="H568" s="42">
        <v>3</v>
      </c>
      <c r="I568" s="42">
        <v>5</v>
      </c>
      <c r="J568" s="42">
        <v>6</v>
      </c>
      <c r="K568" s="42"/>
      <c r="L568" s="35">
        <f>SUM(G568:K568)</f>
        <v>15</v>
      </c>
      <c r="M568" s="35">
        <f t="shared" ref="M568:M576" si="144">ROUND((L568/$E$1),0)</f>
        <v>4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8</v>
      </c>
      <c r="H569" s="42">
        <v>9</v>
      </c>
      <c r="I569" s="42">
        <v>10</v>
      </c>
      <c r="J569" s="42">
        <v>15</v>
      </c>
      <c r="K569" s="42"/>
      <c r="L569" s="35">
        <f t="shared" ref="L569:L576" si="145">SUM(G569:K569)</f>
        <v>42</v>
      </c>
      <c r="M569" s="35">
        <f t="shared" si="144"/>
        <v>11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2</v>
      </c>
      <c r="H570" s="42">
        <v>3</v>
      </c>
      <c r="I570" s="42">
        <v>8</v>
      </c>
      <c r="J570" s="42">
        <v>19</v>
      </c>
      <c r="K570" s="42"/>
      <c r="L570" s="35">
        <f t="shared" si="145"/>
        <v>32</v>
      </c>
      <c r="M570" s="35">
        <f t="shared" si="144"/>
        <v>8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14</v>
      </c>
      <c r="H571" s="43">
        <v>15</v>
      </c>
      <c r="I571" s="43">
        <v>43</v>
      </c>
      <c r="J571" s="43">
        <v>59</v>
      </c>
      <c r="K571" s="43"/>
      <c r="L571" s="31">
        <f t="shared" si="145"/>
        <v>131</v>
      </c>
      <c r="M571" s="31">
        <f t="shared" si="144"/>
        <v>33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>
        <v>1</v>
      </c>
      <c r="H572" s="42">
        <v>5</v>
      </c>
      <c r="I572" s="42">
        <v>2</v>
      </c>
      <c r="J572" s="42">
        <v>2</v>
      </c>
      <c r="K572" s="42"/>
      <c r="L572" s="35">
        <f t="shared" si="145"/>
        <v>10</v>
      </c>
      <c r="M572" s="35">
        <f t="shared" si="144"/>
        <v>3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6</v>
      </c>
      <c r="H574" s="42">
        <v>4</v>
      </c>
      <c r="I574" s="42">
        <v>1</v>
      </c>
      <c r="J574" s="42">
        <v>3</v>
      </c>
      <c r="K574" s="42"/>
      <c r="L574" s="35">
        <f t="shared" si="145"/>
        <v>14</v>
      </c>
      <c r="M574" s="35">
        <f t="shared" si="144"/>
        <v>4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110</v>
      </c>
      <c r="H575" s="42">
        <v>85</v>
      </c>
      <c r="I575" s="42">
        <v>247</v>
      </c>
      <c r="J575" s="42">
        <v>289</v>
      </c>
      <c r="K575" s="42"/>
      <c r="L575" s="35">
        <f t="shared" si="145"/>
        <v>731</v>
      </c>
      <c r="M575" s="35">
        <f t="shared" si="144"/>
        <v>183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2024</v>
      </c>
      <c r="H579" s="10">
        <f>+G579</f>
        <v>2024</v>
      </c>
      <c r="I579" s="10">
        <f t="shared" ref="I579:M580" si="146">+H579</f>
        <v>2024</v>
      </c>
      <c r="J579" s="10">
        <f t="shared" si="146"/>
        <v>2024</v>
      </c>
      <c r="K579" s="10">
        <f t="shared" si="146"/>
        <v>2024</v>
      </c>
      <c r="L579" s="10">
        <f t="shared" si="146"/>
        <v>2024</v>
      </c>
      <c r="M579" s="10">
        <f t="shared" si="146"/>
        <v>2024</v>
      </c>
      <c r="N579" s="11"/>
      <c r="P579" s="44"/>
      <c r="S579" s="12" t="str">
        <f>+C579</f>
        <v>Mantabeni</v>
      </c>
      <c r="T579" s="13">
        <f>+L583</f>
        <v>131</v>
      </c>
      <c r="U579" s="13">
        <f>+L584+L585</f>
        <v>31</v>
      </c>
      <c r="V579" s="13">
        <f>+L586+L587</f>
        <v>100</v>
      </c>
      <c r="W579" s="13">
        <f>+L590</f>
        <v>15</v>
      </c>
      <c r="X579" s="13">
        <f>+L588</f>
        <v>0</v>
      </c>
    </row>
    <row r="580" spans="1:24" x14ac:dyDescent="0.25">
      <c r="A580" s="14"/>
      <c r="B580" s="15"/>
      <c r="C580" s="41" t="str">
        <f>+$C564</f>
        <v>August 2024</v>
      </c>
      <c r="D580" s="18"/>
      <c r="E580" s="18"/>
      <c r="F580" s="18"/>
      <c r="G580" s="20" t="str">
        <f>+$G$4</f>
        <v>Aug</v>
      </c>
      <c r="H580" s="20" t="str">
        <f>+G580</f>
        <v>Aug</v>
      </c>
      <c r="I580" s="20" t="str">
        <f t="shared" si="146"/>
        <v>Aug</v>
      </c>
      <c r="J580" s="20" t="str">
        <f t="shared" si="146"/>
        <v>Aug</v>
      </c>
      <c r="K580" s="20" t="str">
        <f t="shared" si="146"/>
        <v>Aug</v>
      </c>
      <c r="L580" s="20" t="str">
        <f t="shared" si="146"/>
        <v>Aug</v>
      </c>
      <c r="M580" s="20" t="str">
        <f t="shared" si="146"/>
        <v>Aug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4</v>
      </c>
      <c r="H581" s="25">
        <f>+$H$5</f>
        <v>11</v>
      </c>
      <c r="I581" s="25">
        <f>+$I$5</f>
        <v>18</v>
      </c>
      <c r="J581" s="25">
        <f>+$J$5</f>
        <v>25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22</v>
      </c>
      <c r="H583" s="31">
        <f t="shared" ref="H583:L583" si="147">SUM(H584:H587)</f>
        <v>33</v>
      </c>
      <c r="I583" s="31">
        <f t="shared" si="147"/>
        <v>34</v>
      </c>
      <c r="J583" s="31">
        <f t="shared" si="147"/>
        <v>42</v>
      </c>
      <c r="K583" s="31">
        <f t="shared" si="147"/>
        <v>0</v>
      </c>
      <c r="L583" s="31">
        <f t="shared" si="147"/>
        <v>131</v>
      </c>
      <c r="M583" s="31">
        <f>ROUND((L583/$E$1),0)</f>
        <v>33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2</v>
      </c>
      <c r="H584" s="42">
        <v>2</v>
      </c>
      <c r="I584" s="42">
        <v>2</v>
      </c>
      <c r="J584" s="42">
        <v>2</v>
      </c>
      <c r="K584" s="42"/>
      <c r="L584" s="35">
        <f>SUM(G584:K584)</f>
        <v>8</v>
      </c>
      <c r="M584" s="35">
        <f t="shared" ref="M584:M592" si="148">ROUND((L584/$E$1),0)</f>
        <v>2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3</v>
      </c>
      <c r="H585" s="42">
        <v>6</v>
      </c>
      <c r="I585" s="42">
        <v>5</v>
      </c>
      <c r="J585" s="42">
        <v>9</v>
      </c>
      <c r="K585" s="42"/>
      <c r="L585" s="35">
        <f t="shared" ref="L585:L592" si="149">SUM(G585:K585)</f>
        <v>23</v>
      </c>
      <c r="M585" s="35">
        <f t="shared" si="148"/>
        <v>6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2</v>
      </c>
      <c r="H586" s="42">
        <v>2</v>
      </c>
      <c r="I586" s="42">
        <v>4</v>
      </c>
      <c r="J586" s="42">
        <v>4</v>
      </c>
      <c r="K586" s="42"/>
      <c r="L586" s="35">
        <f t="shared" si="149"/>
        <v>12</v>
      </c>
      <c r="M586" s="35">
        <f t="shared" si="148"/>
        <v>3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15</v>
      </c>
      <c r="H587" s="43">
        <v>23</v>
      </c>
      <c r="I587" s="43">
        <v>23</v>
      </c>
      <c r="J587" s="43">
        <v>27</v>
      </c>
      <c r="K587" s="43"/>
      <c r="L587" s="31">
        <f t="shared" si="149"/>
        <v>88</v>
      </c>
      <c r="M587" s="31">
        <f t="shared" si="148"/>
        <v>22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4</v>
      </c>
      <c r="H590" s="42">
        <v>5</v>
      </c>
      <c r="I590" s="42">
        <v>2</v>
      </c>
      <c r="J590" s="42">
        <v>4</v>
      </c>
      <c r="K590" s="42"/>
      <c r="L590" s="35">
        <f t="shared" si="149"/>
        <v>15</v>
      </c>
      <c r="M590" s="35">
        <f t="shared" si="148"/>
        <v>4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40</v>
      </c>
      <c r="H591" s="42">
        <v>50</v>
      </c>
      <c r="I591" s="42">
        <v>50</v>
      </c>
      <c r="J591" s="42">
        <v>144</v>
      </c>
      <c r="K591" s="42"/>
      <c r="L591" s="35">
        <f t="shared" si="149"/>
        <v>284</v>
      </c>
      <c r="M591" s="35">
        <f t="shared" si="148"/>
        <v>71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2024</v>
      </c>
      <c r="H595" s="10">
        <f>+G595</f>
        <v>2024</v>
      </c>
      <c r="I595" s="10">
        <f t="shared" ref="I595:M596" si="150">+H595</f>
        <v>2024</v>
      </c>
      <c r="J595" s="10">
        <f t="shared" si="150"/>
        <v>2024</v>
      </c>
      <c r="K595" s="10">
        <f t="shared" si="150"/>
        <v>2024</v>
      </c>
      <c r="L595" s="10">
        <f t="shared" si="150"/>
        <v>2024</v>
      </c>
      <c r="M595" s="10">
        <f t="shared" si="150"/>
        <v>2024</v>
      </c>
      <c r="N595" s="11"/>
      <c r="S595" s="12" t="str">
        <f>+C595</f>
        <v>Makhungutja</v>
      </c>
      <c r="T595" s="13">
        <f>+L599</f>
        <v>254</v>
      </c>
      <c r="U595" s="13">
        <f>+L600+L601</f>
        <v>44</v>
      </c>
      <c r="V595" s="13">
        <f>+L602+L603</f>
        <v>210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August 2024</v>
      </c>
      <c r="D596" s="18"/>
      <c r="E596" s="18"/>
      <c r="F596" s="18"/>
      <c r="G596" s="20" t="str">
        <f>+$G$4</f>
        <v>Aug</v>
      </c>
      <c r="H596" s="20" t="str">
        <f>+G596</f>
        <v>Aug</v>
      </c>
      <c r="I596" s="20" t="str">
        <f t="shared" si="150"/>
        <v>Aug</v>
      </c>
      <c r="J596" s="20" t="str">
        <f t="shared" si="150"/>
        <v>Aug</v>
      </c>
      <c r="K596" s="20" t="str">
        <f t="shared" si="150"/>
        <v>Aug</v>
      </c>
      <c r="L596" s="20" t="str">
        <f t="shared" si="150"/>
        <v>Aug</v>
      </c>
      <c r="M596" s="20" t="str">
        <f t="shared" si="150"/>
        <v>Aug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4</v>
      </c>
      <c r="H597" s="25">
        <f>+$H$5</f>
        <v>11</v>
      </c>
      <c r="I597" s="25">
        <f>+$I$5</f>
        <v>18</v>
      </c>
      <c r="J597" s="25">
        <f>+$J$5</f>
        <v>25</v>
      </c>
      <c r="K597" s="25">
        <f>+$K$5</f>
        <v>0</v>
      </c>
      <c r="L597" s="25" t="s">
        <v>6</v>
      </c>
      <c r="M597" s="25" t="s">
        <v>7</v>
      </c>
      <c r="N597" s="26"/>
      <c r="P597" s="1" t="s">
        <v>75</v>
      </c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0</v>
      </c>
      <c r="H599" s="31">
        <f t="shared" ref="H599:L599" si="151">SUM(H600:H603)</f>
        <v>84</v>
      </c>
      <c r="I599" s="31">
        <f t="shared" si="151"/>
        <v>84</v>
      </c>
      <c r="J599" s="31">
        <f t="shared" si="151"/>
        <v>86</v>
      </c>
      <c r="K599" s="31">
        <f t="shared" si="151"/>
        <v>0</v>
      </c>
      <c r="L599" s="31">
        <f t="shared" si="151"/>
        <v>254</v>
      </c>
      <c r="M599" s="31">
        <f>ROUND((L599/$E$1),0)</f>
        <v>64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/>
      <c r="H600" s="42">
        <v>6</v>
      </c>
      <c r="I600" s="42">
        <v>6</v>
      </c>
      <c r="J600" s="42">
        <v>7</v>
      </c>
      <c r="K600" s="42"/>
      <c r="L600" s="35">
        <f>SUM(G600:K600)</f>
        <v>19</v>
      </c>
      <c r="M600" s="35">
        <f t="shared" ref="M600:M608" si="152">ROUND((L600/$E$1),0)</f>
        <v>5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/>
      <c r="H601" s="42">
        <v>9</v>
      </c>
      <c r="I601" s="42">
        <v>10</v>
      </c>
      <c r="J601" s="42">
        <v>6</v>
      </c>
      <c r="K601" s="42"/>
      <c r="L601" s="35">
        <f t="shared" ref="L601:L608" si="153">SUM(G601:K601)</f>
        <v>25</v>
      </c>
      <c r="M601" s="35">
        <f t="shared" si="152"/>
        <v>6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/>
      <c r="H602" s="42">
        <v>17</v>
      </c>
      <c r="I602" s="42">
        <v>16</v>
      </c>
      <c r="J602" s="42">
        <v>23</v>
      </c>
      <c r="K602" s="42"/>
      <c r="L602" s="35">
        <f t="shared" si="153"/>
        <v>56</v>
      </c>
      <c r="M602" s="35">
        <f t="shared" si="152"/>
        <v>14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/>
      <c r="H603" s="43">
        <v>52</v>
      </c>
      <c r="I603" s="43">
        <v>52</v>
      </c>
      <c r="J603" s="43">
        <v>50</v>
      </c>
      <c r="K603" s="43"/>
      <c r="L603" s="31">
        <f t="shared" si="153"/>
        <v>154</v>
      </c>
      <c r="M603" s="31">
        <f t="shared" si="152"/>
        <v>39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2024</v>
      </c>
      <c r="H611" s="10">
        <f>+G611</f>
        <v>2024</v>
      </c>
      <c r="I611" s="10">
        <f t="shared" ref="I611:M612" si="154">+H611</f>
        <v>2024</v>
      </c>
      <c r="J611" s="10">
        <f t="shared" si="154"/>
        <v>2024</v>
      </c>
      <c r="K611" s="10">
        <f t="shared" si="154"/>
        <v>2024</v>
      </c>
      <c r="L611" s="10">
        <f t="shared" si="154"/>
        <v>2024</v>
      </c>
      <c r="M611" s="10">
        <f t="shared" si="154"/>
        <v>2024</v>
      </c>
      <c r="N611" s="11"/>
      <c r="S611" s="12" t="str">
        <f>+C611</f>
        <v>Moneni</v>
      </c>
      <c r="T611" s="13">
        <f>+L615</f>
        <v>463</v>
      </c>
      <c r="U611" s="13">
        <f>+L616+L617</f>
        <v>98</v>
      </c>
      <c r="V611" s="13">
        <f>+L618+L619</f>
        <v>365</v>
      </c>
      <c r="W611" s="13">
        <f>+L622</f>
        <v>2</v>
      </c>
      <c r="X611" s="13">
        <f>+L620</f>
        <v>3</v>
      </c>
    </row>
    <row r="612" spans="1:24" x14ac:dyDescent="0.25">
      <c r="A612" s="14"/>
      <c r="B612" s="15"/>
      <c r="C612" s="41" t="str">
        <f>+$C596</f>
        <v>August 2024</v>
      </c>
      <c r="D612" s="18"/>
      <c r="E612" s="18"/>
      <c r="F612" s="18"/>
      <c r="G612" s="20" t="str">
        <f>+$G$4</f>
        <v>Aug</v>
      </c>
      <c r="H612" s="20" t="str">
        <f>+G612</f>
        <v>Aug</v>
      </c>
      <c r="I612" s="20" t="str">
        <f t="shared" si="154"/>
        <v>Aug</v>
      </c>
      <c r="J612" s="20" t="str">
        <f t="shared" si="154"/>
        <v>Aug</v>
      </c>
      <c r="K612" s="20" t="str">
        <f t="shared" si="154"/>
        <v>Aug</v>
      </c>
      <c r="L612" s="20" t="str">
        <f t="shared" si="154"/>
        <v>Aug</v>
      </c>
      <c r="M612" s="20" t="str">
        <f t="shared" si="154"/>
        <v>Aug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4</v>
      </c>
      <c r="H613" s="25">
        <f>+$H$5</f>
        <v>11</v>
      </c>
      <c r="I613" s="25">
        <f>+$I$5</f>
        <v>18</v>
      </c>
      <c r="J613" s="25">
        <f>+$J$5</f>
        <v>25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130</v>
      </c>
      <c r="H615" s="31">
        <f t="shared" ref="H615:L615" si="155">SUM(H616:H619)</f>
        <v>120</v>
      </c>
      <c r="I615" s="31">
        <f t="shared" si="155"/>
        <v>124</v>
      </c>
      <c r="J615" s="31">
        <f t="shared" si="155"/>
        <v>89</v>
      </c>
      <c r="K615" s="31">
        <f t="shared" si="155"/>
        <v>0</v>
      </c>
      <c r="L615" s="31">
        <f t="shared" si="155"/>
        <v>463</v>
      </c>
      <c r="M615" s="31">
        <f>ROUND((L615/$E$1),0)</f>
        <v>116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6</v>
      </c>
      <c r="H616" s="42">
        <v>5</v>
      </c>
      <c r="I616" s="42">
        <v>5</v>
      </c>
      <c r="J616" s="42">
        <v>4</v>
      </c>
      <c r="K616" s="42"/>
      <c r="L616" s="35">
        <f>SUM(G616:K616)</f>
        <v>20</v>
      </c>
      <c r="M616" s="35">
        <f t="shared" ref="M616:M624" si="156">ROUND((L616/$E$1),0)</f>
        <v>5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22</v>
      </c>
      <c r="H617" s="42">
        <v>22</v>
      </c>
      <c r="I617" s="42">
        <v>21</v>
      </c>
      <c r="J617" s="42">
        <v>13</v>
      </c>
      <c r="K617" s="42"/>
      <c r="L617" s="35">
        <f t="shared" ref="L617:L624" si="157">SUM(G617:K617)</f>
        <v>78</v>
      </c>
      <c r="M617" s="35">
        <f t="shared" si="156"/>
        <v>20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47</v>
      </c>
      <c r="H618" s="42">
        <v>47</v>
      </c>
      <c r="I618" s="42">
        <v>39</v>
      </c>
      <c r="J618" s="42">
        <v>4</v>
      </c>
      <c r="K618" s="42"/>
      <c r="L618" s="35">
        <f t="shared" si="157"/>
        <v>137</v>
      </c>
      <c r="M618" s="35">
        <f t="shared" si="156"/>
        <v>34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55</v>
      </c>
      <c r="H619" s="43">
        <v>46</v>
      </c>
      <c r="I619" s="43">
        <v>59</v>
      </c>
      <c r="J619" s="43">
        <v>68</v>
      </c>
      <c r="K619" s="43"/>
      <c r="L619" s="31">
        <f t="shared" si="157"/>
        <v>228</v>
      </c>
      <c r="M619" s="31">
        <f t="shared" si="156"/>
        <v>57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>
        <v>3</v>
      </c>
      <c r="H620" s="42"/>
      <c r="I620" s="42"/>
      <c r="J620" s="42"/>
      <c r="K620" s="42"/>
      <c r="L620" s="35">
        <f t="shared" si="157"/>
        <v>3</v>
      </c>
      <c r="M620" s="35">
        <f t="shared" si="156"/>
        <v>1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1</v>
      </c>
      <c r="H622" s="42">
        <v>1</v>
      </c>
      <c r="I622" s="42"/>
      <c r="J622" s="42"/>
      <c r="K622" s="42"/>
      <c r="L622" s="35">
        <f t="shared" si="157"/>
        <v>2</v>
      </c>
      <c r="M622" s="35">
        <f t="shared" si="156"/>
        <v>1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2024</v>
      </c>
      <c r="H627" s="10">
        <f>+G627</f>
        <v>2024</v>
      </c>
      <c r="I627" s="10">
        <f t="shared" ref="I627:M628" si="158">+H627</f>
        <v>2024</v>
      </c>
      <c r="J627" s="10">
        <f t="shared" si="158"/>
        <v>2024</v>
      </c>
      <c r="K627" s="10">
        <f t="shared" si="158"/>
        <v>2024</v>
      </c>
      <c r="L627" s="10">
        <f t="shared" si="158"/>
        <v>2024</v>
      </c>
      <c r="M627" s="10">
        <f t="shared" si="158"/>
        <v>2024</v>
      </c>
      <c r="N627" s="11"/>
      <c r="S627" s="12" t="str">
        <f>+C627</f>
        <v>Mabhukwini</v>
      </c>
      <c r="T627" s="13">
        <f>+L631</f>
        <v>73</v>
      </c>
      <c r="U627" s="13">
        <f>+L632+L633</f>
        <v>27</v>
      </c>
      <c r="V627" s="13">
        <f>+L634+L635</f>
        <v>46</v>
      </c>
      <c r="W627" s="13">
        <f>+L638</f>
        <v>2</v>
      </c>
      <c r="X627" s="13">
        <f>+L636</f>
        <v>0</v>
      </c>
    </row>
    <row r="628" spans="1:24" x14ac:dyDescent="0.25">
      <c r="A628" s="14"/>
      <c r="B628" s="15"/>
      <c r="C628" s="41" t="str">
        <f>+$C612</f>
        <v>August 2024</v>
      </c>
      <c r="D628" s="18"/>
      <c r="E628" s="18"/>
      <c r="F628" s="18"/>
      <c r="G628" s="20" t="str">
        <f>+$G$4</f>
        <v>Aug</v>
      </c>
      <c r="H628" s="20" t="str">
        <f>+G628</f>
        <v>Aug</v>
      </c>
      <c r="I628" s="20" t="str">
        <f t="shared" si="158"/>
        <v>Aug</v>
      </c>
      <c r="J628" s="20" t="str">
        <f t="shared" si="158"/>
        <v>Aug</v>
      </c>
      <c r="K628" s="20" t="str">
        <f t="shared" si="158"/>
        <v>Aug</v>
      </c>
      <c r="L628" s="20" t="str">
        <f t="shared" si="158"/>
        <v>Aug</v>
      </c>
      <c r="M628" s="20" t="str">
        <f t="shared" si="158"/>
        <v>Aug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4</v>
      </c>
      <c r="H629" s="25">
        <f>+$H$5</f>
        <v>11</v>
      </c>
      <c r="I629" s="25">
        <f>+$I$5</f>
        <v>18</v>
      </c>
      <c r="J629" s="25">
        <f>+$J$5</f>
        <v>25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7</v>
      </c>
      <c r="H631" s="31">
        <f t="shared" ref="H631:L631" si="159">SUM(H632:H635)</f>
        <v>15</v>
      </c>
      <c r="I631" s="31">
        <f t="shared" si="159"/>
        <v>20</v>
      </c>
      <c r="J631" s="31">
        <f t="shared" si="159"/>
        <v>31</v>
      </c>
      <c r="K631" s="31">
        <f t="shared" si="159"/>
        <v>0</v>
      </c>
      <c r="L631" s="31">
        <f t="shared" si="159"/>
        <v>73</v>
      </c>
      <c r="M631" s="31">
        <f>ROUND((L631/$E$1),0)</f>
        <v>18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1</v>
      </c>
      <c r="H632" s="42">
        <v>2</v>
      </c>
      <c r="I632" s="42">
        <v>2</v>
      </c>
      <c r="J632" s="42">
        <v>2</v>
      </c>
      <c r="K632" s="42"/>
      <c r="L632" s="35">
        <f>SUM(G632:K632)</f>
        <v>7</v>
      </c>
      <c r="M632" s="35">
        <f t="shared" ref="M632:M640" si="160">ROUND((L632/$E$1),0)</f>
        <v>2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3</v>
      </c>
      <c r="H633" s="42">
        <v>4</v>
      </c>
      <c r="I633" s="42">
        <v>5</v>
      </c>
      <c r="J633" s="42">
        <v>8</v>
      </c>
      <c r="K633" s="42"/>
      <c r="L633" s="35">
        <f t="shared" ref="L633:L640" si="161">SUM(G633:K633)</f>
        <v>20</v>
      </c>
      <c r="M633" s="35">
        <f t="shared" si="160"/>
        <v>5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3</v>
      </c>
      <c r="H634" s="42">
        <v>3</v>
      </c>
      <c r="I634" s="42">
        <v>5</v>
      </c>
      <c r="J634" s="42">
        <v>5</v>
      </c>
      <c r="K634" s="42"/>
      <c r="L634" s="35">
        <f t="shared" si="161"/>
        <v>16</v>
      </c>
      <c r="M634" s="35">
        <f t="shared" si="160"/>
        <v>4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/>
      <c r="H635" s="43">
        <v>6</v>
      </c>
      <c r="I635" s="43">
        <v>8</v>
      </c>
      <c r="J635" s="43">
        <v>16</v>
      </c>
      <c r="K635" s="43"/>
      <c r="L635" s="31">
        <f t="shared" si="161"/>
        <v>30</v>
      </c>
      <c r="M635" s="31">
        <f t="shared" si="160"/>
        <v>8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>
        <v>2</v>
      </c>
      <c r="H638" s="42"/>
      <c r="I638" s="42"/>
      <c r="J638" s="42"/>
      <c r="K638" s="42"/>
      <c r="L638" s="35">
        <f t="shared" si="161"/>
        <v>2</v>
      </c>
      <c r="M638" s="35">
        <f t="shared" si="160"/>
        <v>1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>
        <f>+$G$3</f>
        <v>2024</v>
      </c>
      <c r="H643" s="10">
        <f>+G643</f>
        <v>2024</v>
      </c>
      <c r="I643" s="10">
        <f t="shared" ref="I643:M644" si="162">+H643</f>
        <v>2024</v>
      </c>
      <c r="J643" s="10">
        <f t="shared" si="162"/>
        <v>2024</v>
      </c>
      <c r="K643" s="10">
        <f t="shared" si="162"/>
        <v>2024</v>
      </c>
      <c r="L643" s="10">
        <f t="shared" si="162"/>
        <v>2024</v>
      </c>
      <c r="M643" s="10">
        <f t="shared" si="162"/>
        <v>2024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August 2024</v>
      </c>
      <c r="D644" s="18"/>
      <c r="E644" s="18"/>
      <c r="F644" s="18"/>
      <c r="G644" s="20" t="str">
        <f>+$G$4</f>
        <v>Aug</v>
      </c>
      <c r="H644" s="20" t="str">
        <f>+G644</f>
        <v>Aug</v>
      </c>
      <c r="I644" s="20" t="str">
        <f t="shared" si="162"/>
        <v>Aug</v>
      </c>
      <c r="J644" s="20" t="str">
        <f t="shared" si="162"/>
        <v>Aug</v>
      </c>
      <c r="K644" s="20" t="str">
        <f t="shared" si="162"/>
        <v>Aug</v>
      </c>
      <c r="L644" s="20" t="str">
        <f t="shared" si="162"/>
        <v>Aug</v>
      </c>
      <c r="M644" s="20" t="str">
        <f t="shared" si="162"/>
        <v>Aug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4</v>
      </c>
      <c r="H645" s="25">
        <f>+$H$5</f>
        <v>11</v>
      </c>
      <c r="I645" s="25">
        <f>+$I$5</f>
        <v>18</v>
      </c>
      <c r="J645" s="25">
        <f>+$J$5</f>
        <v>25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64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>
        <f t="shared" si="164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>
        <f t="shared" si="164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>
        <f t="shared" si="164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>
        <f>+$G$3</f>
        <v>2024</v>
      </c>
      <c r="H659" s="10">
        <f>+G659</f>
        <v>2024</v>
      </c>
      <c r="I659" s="10">
        <f t="shared" ref="I659:M660" si="166">+H659</f>
        <v>2024</v>
      </c>
      <c r="J659" s="10">
        <f t="shared" si="166"/>
        <v>2024</v>
      </c>
      <c r="K659" s="10">
        <f t="shared" si="166"/>
        <v>2024</v>
      </c>
      <c r="L659" s="10">
        <f t="shared" si="166"/>
        <v>2024</v>
      </c>
      <c r="M659" s="10">
        <f t="shared" si="166"/>
        <v>2024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August 2024</v>
      </c>
      <c r="D660" s="18"/>
      <c r="E660" s="18"/>
      <c r="F660" s="18"/>
      <c r="G660" s="20" t="str">
        <f>+$G$4</f>
        <v>Aug</v>
      </c>
      <c r="H660" s="20" t="str">
        <f>+G660</f>
        <v>Aug</v>
      </c>
      <c r="I660" s="20" t="str">
        <f t="shared" si="166"/>
        <v>Aug</v>
      </c>
      <c r="J660" s="20" t="str">
        <f t="shared" si="166"/>
        <v>Aug</v>
      </c>
      <c r="K660" s="20" t="str">
        <f t="shared" si="166"/>
        <v>Aug</v>
      </c>
      <c r="L660" s="20" t="str">
        <f t="shared" si="166"/>
        <v>Aug</v>
      </c>
      <c r="M660" s="20" t="str">
        <f t="shared" si="166"/>
        <v>Aug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4</v>
      </c>
      <c r="H661" s="25">
        <f>+$H$5</f>
        <v>11</v>
      </c>
      <c r="I661" s="25">
        <f>+$I$5</f>
        <v>18</v>
      </c>
      <c r="J661" s="25">
        <f>+$J$5</f>
        <v>25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>
        <f>+$G$3</f>
        <v>2024</v>
      </c>
      <c r="H675" s="10">
        <f>+G675</f>
        <v>2024</v>
      </c>
      <c r="I675" s="10">
        <f t="shared" ref="I675:M676" si="170">+H675</f>
        <v>2024</v>
      </c>
      <c r="J675" s="10">
        <f t="shared" si="170"/>
        <v>2024</v>
      </c>
      <c r="K675" s="10">
        <f t="shared" si="170"/>
        <v>2024</v>
      </c>
      <c r="L675" s="10">
        <f t="shared" si="170"/>
        <v>2024</v>
      </c>
      <c r="M675" s="10">
        <f t="shared" si="170"/>
        <v>2024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August 2024</v>
      </c>
      <c r="D676" s="18"/>
      <c r="E676" s="18"/>
      <c r="F676" s="18"/>
      <c r="G676" s="20" t="str">
        <f>+$G$4</f>
        <v>Aug</v>
      </c>
      <c r="H676" s="20" t="str">
        <f>+G676</f>
        <v>Aug</v>
      </c>
      <c r="I676" s="20" t="str">
        <f t="shared" si="170"/>
        <v>Aug</v>
      </c>
      <c r="J676" s="20" t="str">
        <f t="shared" si="170"/>
        <v>Aug</v>
      </c>
      <c r="K676" s="20" t="str">
        <f t="shared" si="170"/>
        <v>Aug</v>
      </c>
      <c r="L676" s="20" t="str">
        <f t="shared" si="170"/>
        <v>Aug</v>
      </c>
      <c r="M676" s="20" t="str">
        <f t="shared" si="170"/>
        <v>Aug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4</v>
      </c>
      <c r="H677" s="25">
        <f>+$H$5</f>
        <v>11</v>
      </c>
      <c r="I677" s="25">
        <f>+$I$5</f>
        <v>18</v>
      </c>
      <c r="J677" s="25">
        <f>+$J$5</f>
        <v>25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>
        <f>+$G$3</f>
        <v>2024</v>
      </c>
      <c r="H691" s="10">
        <f>+G691</f>
        <v>2024</v>
      </c>
      <c r="I691" s="10">
        <f t="shared" ref="I691:M692" si="174">+H691</f>
        <v>2024</v>
      </c>
      <c r="J691" s="10">
        <f t="shared" si="174"/>
        <v>2024</v>
      </c>
      <c r="K691" s="10">
        <f t="shared" si="174"/>
        <v>2024</v>
      </c>
      <c r="L691" s="10">
        <f t="shared" si="174"/>
        <v>2024</v>
      </c>
      <c r="M691" s="10">
        <f t="shared" si="174"/>
        <v>2024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August 2024</v>
      </c>
      <c r="D692" s="18"/>
      <c r="E692" s="18"/>
      <c r="F692" s="18"/>
      <c r="G692" s="20" t="str">
        <f>+$G$4</f>
        <v>Aug</v>
      </c>
      <c r="H692" s="20" t="str">
        <f>+G692</f>
        <v>Aug</v>
      </c>
      <c r="I692" s="20" t="str">
        <f t="shared" si="174"/>
        <v>Aug</v>
      </c>
      <c r="J692" s="20" t="str">
        <f t="shared" si="174"/>
        <v>Aug</v>
      </c>
      <c r="K692" s="20" t="str">
        <f t="shared" si="174"/>
        <v>Aug</v>
      </c>
      <c r="L692" s="20" t="str">
        <f t="shared" si="174"/>
        <v>Aug</v>
      </c>
      <c r="M692" s="20" t="str">
        <f t="shared" si="174"/>
        <v>Aug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4</v>
      </c>
      <c r="H693" s="25">
        <f>+$H$5</f>
        <v>11</v>
      </c>
      <c r="I693" s="25">
        <f>+$I$5</f>
        <v>18</v>
      </c>
      <c r="J693" s="25">
        <f>+$J$5</f>
        <v>25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>
        <f>+$G$3</f>
        <v>2024</v>
      </c>
      <c r="H707" s="10">
        <f>+G707</f>
        <v>2024</v>
      </c>
      <c r="I707" s="10">
        <f t="shared" ref="I707:M708" si="178">+H707</f>
        <v>2024</v>
      </c>
      <c r="J707" s="10">
        <f t="shared" si="178"/>
        <v>2024</v>
      </c>
      <c r="K707" s="10">
        <f t="shared" si="178"/>
        <v>2024</v>
      </c>
      <c r="L707" s="10">
        <f t="shared" si="178"/>
        <v>2024</v>
      </c>
      <c r="M707" s="10">
        <f t="shared" si="178"/>
        <v>2024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August 2024</v>
      </c>
      <c r="D708" s="18"/>
      <c r="E708" s="18"/>
      <c r="F708" s="18"/>
      <c r="G708" s="20" t="str">
        <f>+$G$4</f>
        <v>Aug</v>
      </c>
      <c r="H708" s="20" t="str">
        <f>+G708</f>
        <v>Aug</v>
      </c>
      <c r="I708" s="20" t="str">
        <f t="shared" si="178"/>
        <v>Aug</v>
      </c>
      <c r="J708" s="20" t="str">
        <f t="shared" si="178"/>
        <v>Aug</v>
      </c>
      <c r="K708" s="20" t="str">
        <f t="shared" si="178"/>
        <v>Aug</v>
      </c>
      <c r="L708" s="20" t="str">
        <f t="shared" si="178"/>
        <v>Aug</v>
      </c>
      <c r="M708" s="20" t="str">
        <f t="shared" si="178"/>
        <v>Aug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4</v>
      </c>
      <c r="H709" s="25">
        <f>+$H$5</f>
        <v>11</v>
      </c>
      <c r="I709" s="25">
        <f>+$I$5</f>
        <v>18</v>
      </c>
      <c r="J709" s="25">
        <f>+$J$5</f>
        <v>25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2024</v>
      </c>
      <c r="H723" s="10">
        <f>+G723</f>
        <v>2024</v>
      </c>
      <c r="I723" s="10">
        <f t="shared" ref="I723:M724" si="182">+H723</f>
        <v>2024</v>
      </c>
      <c r="J723" s="10">
        <f t="shared" si="182"/>
        <v>2024</v>
      </c>
      <c r="K723" s="10">
        <f t="shared" si="182"/>
        <v>2024</v>
      </c>
      <c r="L723" s="10">
        <f t="shared" si="182"/>
        <v>2024</v>
      </c>
      <c r="M723" s="10">
        <f t="shared" si="182"/>
        <v>2024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August 2024</v>
      </c>
      <c r="D724" s="18"/>
      <c r="E724" s="18"/>
      <c r="F724" s="18"/>
      <c r="G724" s="20" t="str">
        <f>+$G$4</f>
        <v>Aug</v>
      </c>
      <c r="H724" s="20" t="str">
        <f>+G724</f>
        <v>Aug</v>
      </c>
      <c r="I724" s="20" t="str">
        <f t="shared" si="182"/>
        <v>Aug</v>
      </c>
      <c r="J724" s="20" t="str">
        <f t="shared" si="182"/>
        <v>Aug</v>
      </c>
      <c r="K724" s="20" t="str">
        <f t="shared" si="182"/>
        <v>Aug</v>
      </c>
      <c r="L724" s="20" t="str">
        <f t="shared" si="182"/>
        <v>Aug</v>
      </c>
      <c r="M724" s="20" t="str">
        <f t="shared" si="182"/>
        <v>Aug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4</v>
      </c>
      <c r="H725" s="25">
        <f>+$H$5</f>
        <v>11</v>
      </c>
      <c r="I725" s="25">
        <f>+$I$5</f>
        <v>18</v>
      </c>
      <c r="J725" s="25">
        <f>+$J$5</f>
        <v>25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2024</v>
      </c>
      <c r="H739" s="10">
        <f>+G739</f>
        <v>2024</v>
      </c>
      <c r="I739" s="10">
        <f t="shared" ref="I739:M740" si="186">+H739</f>
        <v>2024</v>
      </c>
      <c r="J739" s="10">
        <f t="shared" si="186"/>
        <v>2024</v>
      </c>
      <c r="K739" s="10">
        <f t="shared" si="186"/>
        <v>2024</v>
      </c>
      <c r="L739" s="10">
        <f t="shared" si="186"/>
        <v>2024</v>
      </c>
      <c r="M739" s="10">
        <f t="shared" si="186"/>
        <v>2024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August 2024</v>
      </c>
      <c r="D740" s="18"/>
      <c r="E740" s="18"/>
      <c r="F740" s="18"/>
      <c r="G740" s="20" t="str">
        <f>+$G$4</f>
        <v>Aug</v>
      </c>
      <c r="H740" s="20" t="str">
        <f>+G740</f>
        <v>Aug</v>
      </c>
      <c r="I740" s="20" t="str">
        <f t="shared" si="186"/>
        <v>Aug</v>
      </c>
      <c r="J740" s="20" t="str">
        <f t="shared" si="186"/>
        <v>Aug</v>
      </c>
      <c r="K740" s="20" t="str">
        <f t="shared" si="186"/>
        <v>Aug</v>
      </c>
      <c r="L740" s="20" t="str">
        <f t="shared" si="186"/>
        <v>Aug</v>
      </c>
      <c r="M740" s="20" t="str">
        <f t="shared" si="186"/>
        <v>Aug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4</v>
      </c>
      <c r="H741" s="25">
        <f>+$H$5</f>
        <v>11</v>
      </c>
      <c r="I741" s="25">
        <f>+$I$5</f>
        <v>18</v>
      </c>
      <c r="J741" s="25">
        <f>+$J$5</f>
        <v>25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2024</v>
      </c>
      <c r="H755" s="10">
        <f>+G755</f>
        <v>2024</v>
      </c>
      <c r="I755" s="10">
        <f t="shared" ref="I755:M756" si="190">+H755</f>
        <v>2024</v>
      </c>
      <c r="J755" s="10">
        <f t="shared" si="190"/>
        <v>2024</v>
      </c>
      <c r="K755" s="10">
        <f t="shared" si="190"/>
        <v>2024</v>
      </c>
      <c r="L755" s="10">
        <f t="shared" si="190"/>
        <v>2024</v>
      </c>
      <c r="M755" s="10">
        <f t="shared" si="190"/>
        <v>2024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August 2024</v>
      </c>
      <c r="D756" s="18"/>
      <c r="E756" s="18"/>
      <c r="F756" s="18"/>
      <c r="G756" s="20" t="str">
        <f>+$G$4</f>
        <v>Aug</v>
      </c>
      <c r="H756" s="20" t="str">
        <f>+G756</f>
        <v>Aug</v>
      </c>
      <c r="I756" s="20" t="str">
        <f t="shared" si="190"/>
        <v>Aug</v>
      </c>
      <c r="J756" s="20" t="str">
        <f t="shared" si="190"/>
        <v>Aug</v>
      </c>
      <c r="K756" s="20" t="str">
        <f t="shared" si="190"/>
        <v>Aug</v>
      </c>
      <c r="L756" s="20" t="str">
        <f t="shared" si="190"/>
        <v>Aug</v>
      </c>
      <c r="M756" s="20" t="str">
        <f t="shared" si="190"/>
        <v>Aug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4</v>
      </c>
      <c r="H757" s="25">
        <f>+$H$5</f>
        <v>11</v>
      </c>
      <c r="I757" s="25">
        <f>+$I$5</f>
        <v>18</v>
      </c>
      <c r="J757" s="25">
        <f>+$J$5</f>
        <v>25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2024</v>
      </c>
      <c r="H771" s="10">
        <f>+G771</f>
        <v>2024</v>
      </c>
      <c r="I771" s="10">
        <f t="shared" ref="I771:M772" si="194">+H771</f>
        <v>2024</v>
      </c>
      <c r="J771" s="10">
        <f t="shared" si="194"/>
        <v>2024</v>
      </c>
      <c r="K771" s="10">
        <f t="shared" si="194"/>
        <v>2024</v>
      </c>
      <c r="L771" s="10">
        <f t="shared" si="194"/>
        <v>2024</v>
      </c>
      <c r="M771" s="10">
        <f t="shared" si="194"/>
        <v>2024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August 2024</v>
      </c>
      <c r="D772" s="18"/>
      <c r="E772" s="18"/>
      <c r="F772" s="18"/>
      <c r="G772" s="20" t="str">
        <f>+$G$4</f>
        <v>Aug</v>
      </c>
      <c r="H772" s="20" t="str">
        <f>+G772</f>
        <v>Aug</v>
      </c>
      <c r="I772" s="20" t="str">
        <f t="shared" si="194"/>
        <v>Aug</v>
      </c>
      <c r="J772" s="20" t="str">
        <f t="shared" si="194"/>
        <v>Aug</v>
      </c>
      <c r="K772" s="20" t="str">
        <f t="shared" si="194"/>
        <v>Aug</v>
      </c>
      <c r="L772" s="20" t="str">
        <f t="shared" si="194"/>
        <v>Aug</v>
      </c>
      <c r="M772" s="20" t="str">
        <f t="shared" si="194"/>
        <v>Aug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4</v>
      </c>
      <c r="H773" s="25">
        <f>+$H$5</f>
        <v>11</v>
      </c>
      <c r="I773" s="25">
        <f>+$I$5</f>
        <v>18</v>
      </c>
      <c r="J773" s="25">
        <f>+$J$5</f>
        <v>25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2024</v>
      </c>
      <c r="H787" s="10">
        <f>+G787</f>
        <v>2024</v>
      </c>
      <c r="I787" s="10">
        <f t="shared" ref="I787:M788" si="198">+H787</f>
        <v>2024</v>
      </c>
      <c r="J787" s="10">
        <f t="shared" si="198"/>
        <v>2024</v>
      </c>
      <c r="K787" s="10">
        <f t="shared" si="198"/>
        <v>2024</v>
      </c>
      <c r="L787" s="10">
        <f t="shared" si="198"/>
        <v>2024</v>
      </c>
      <c r="M787" s="10">
        <f t="shared" si="198"/>
        <v>2024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August 2024</v>
      </c>
      <c r="D788" s="18"/>
      <c r="E788" s="18"/>
      <c r="F788" s="18"/>
      <c r="G788" s="20" t="str">
        <f>+$G$4</f>
        <v>Aug</v>
      </c>
      <c r="H788" s="20" t="str">
        <f>+G788</f>
        <v>Aug</v>
      </c>
      <c r="I788" s="20" t="str">
        <f t="shared" si="198"/>
        <v>Aug</v>
      </c>
      <c r="J788" s="20" t="str">
        <f t="shared" si="198"/>
        <v>Aug</v>
      </c>
      <c r="K788" s="20" t="str">
        <f t="shared" si="198"/>
        <v>Aug</v>
      </c>
      <c r="L788" s="20" t="str">
        <f t="shared" si="198"/>
        <v>Aug</v>
      </c>
      <c r="M788" s="20" t="str">
        <f t="shared" si="198"/>
        <v>Aug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4</v>
      </c>
      <c r="H789" s="25">
        <f>+$H$5</f>
        <v>11</v>
      </c>
      <c r="I789" s="25">
        <f>+$I$5</f>
        <v>18</v>
      </c>
      <c r="J789" s="25">
        <f>+$J$5</f>
        <v>25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2024</v>
      </c>
      <c r="H803" s="10">
        <f>+G803</f>
        <v>2024</v>
      </c>
      <c r="I803" s="10">
        <f t="shared" ref="I803:M804" si="202">+H803</f>
        <v>2024</v>
      </c>
      <c r="J803" s="10">
        <f t="shared" si="202"/>
        <v>2024</v>
      </c>
      <c r="K803" s="10">
        <f t="shared" si="202"/>
        <v>2024</v>
      </c>
      <c r="L803" s="10">
        <f t="shared" si="202"/>
        <v>2024</v>
      </c>
      <c r="M803" s="10">
        <f t="shared" si="202"/>
        <v>2024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August 2024</v>
      </c>
      <c r="D804" s="18"/>
      <c r="E804" s="18"/>
      <c r="F804" s="18"/>
      <c r="G804" s="20" t="str">
        <f>+$G$4</f>
        <v>Aug</v>
      </c>
      <c r="H804" s="20" t="str">
        <f>+G804</f>
        <v>Aug</v>
      </c>
      <c r="I804" s="20" t="str">
        <f t="shared" si="202"/>
        <v>Aug</v>
      </c>
      <c r="J804" s="20" t="str">
        <f t="shared" si="202"/>
        <v>Aug</v>
      </c>
      <c r="K804" s="20" t="str">
        <f t="shared" si="202"/>
        <v>Aug</v>
      </c>
      <c r="L804" s="20" t="str">
        <f t="shared" si="202"/>
        <v>Aug</v>
      </c>
      <c r="M804" s="20" t="str">
        <f t="shared" si="202"/>
        <v>Aug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4</v>
      </c>
      <c r="H805" s="25">
        <f>+$H$5</f>
        <v>11</v>
      </c>
      <c r="I805" s="25">
        <f>+$I$5</f>
        <v>18</v>
      </c>
      <c r="J805" s="25">
        <f>+$J$5</f>
        <v>25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851"/>
  <sheetViews>
    <sheetView topLeftCell="A265"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5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2024</v>
      </c>
      <c r="H3" s="10">
        <f>+G3</f>
        <v>2024</v>
      </c>
      <c r="I3" s="10">
        <f t="shared" ref="I3:M4" si="0">+H3</f>
        <v>2024</v>
      </c>
      <c r="J3" s="10">
        <f t="shared" si="0"/>
        <v>2024</v>
      </c>
      <c r="K3" s="10">
        <f t="shared" si="0"/>
        <v>2024</v>
      </c>
      <c r="L3" s="10">
        <f t="shared" si="0"/>
        <v>2024</v>
      </c>
      <c r="M3" s="10">
        <f t="shared" si="0"/>
        <v>2024</v>
      </c>
      <c r="N3" s="11"/>
      <c r="S3" s="12" t="str">
        <f>+C3</f>
        <v>Total ICBC</v>
      </c>
      <c r="T3" s="13">
        <f>+L7</f>
        <v>13012</v>
      </c>
      <c r="U3" s="13">
        <f>+L8+L9</f>
        <v>3311</v>
      </c>
      <c r="V3" s="13">
        <f>+L10+L11</f>
        <v>9701</v>
      </c>
      <c r="W3" s="13">
        <f>+L14</f>
        <v>1252</v>
      </c>
      <c r="X3" s="13">
        <f>+L12</f>
        <v>150</v>
      </c>
    </row>
    <row r="4" spans="1:41" x14ac:dyDescent="0.25">
      <c r="A4" s="14"/>
      <c r="B4" s="15"/>
      <c r="C4" s="16" t="s">
        <v>86</v>
      </c>
      <c r="D4" s="17"/>
      <c r="E4" s="18"/>
      <c r="F4" s="18"/>
      <c r="G4" s="19" t="s">
        <v>79</v>
      </c>
      <c r="H4" s="20" t="str">
        <f>+G4</f>
        <v>Sep</v>
      </c>
      <c r="I4" s="20" t="str">
        <f t="shared" si="0"/>
        <v>Sep</v>
      </c>
      <c r="J4" s="20" t="str">
        <f t="shared" si="0"/>
        <v>Sep</v>
      </c>
      <c r="K4" s="20" t="str">
        <f t="shared" si="0"/>
        <v>Sep</v>
      </c>
      <c r="L4" s="20" t="str">
        <f t="shared" si="0"/>
        <v>Sep</v>
      </c>
      <c r="M4" s="20" t="str">
        <f t="shared" si="0"/>
        <v>Sep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1</v>
      </c>
      <c r="H5" s="24">
        <v>8</v>
      </c>
      <c r="I5" s="24">
        <v>15</v>
      </c>
      <c r="J5" s="24">
        <v>22</v>
      </c>
      <c r="K5" s="24">
        <v>29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2569</v>
      </c>
      <c r="H7" s="31">
        <f t="shared" ref="H7:L7" si="1">SUM(H8:H11)</f>
        <v>2918</v>
      </c>
      <c r="I7" s="31">
        <f t="shared" si="1"/>
        <v>2513</v>
      </c>
      <c r="J7" s="31">
        <f t="shared" si="1"/>
        <v>1956</v>
      </c>
      <c r="K7" s="31">
        <f t="shared" si="1"/>
        <v>3056</v>
      </c>
      <c r="L7" s="31">
        <f t="shared" si="1"/>
        <v>13012</v>
      </c>
      <c r="M7" s="31">
        <f>ROUND((L7/$E$1),0)</f>
        <v>2602</v>
      </c>
      <c r="N7" s="32"/>
      <c r="O7" s="33"/>
      <c r="P7" s="34"/>
      <c r="Q7" s="34"/>
      <c r="S7" s="13"/>
      <c r="T7" s="13"/>
      <c r="U7" s="13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168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202</v>
      </c>
      <c r="I8" s="35">
        <f t="shared" si="2"/>
        <v>161</v>
      </c>
      <c r="J8" s="35">
        <f t="shared" si="2"/>
        <v>154</v>
      </c>
      <c r="K8" s="35">
        <f t="shared" si="2"/>
        <v>237</v>
      </c>
      <c r="L8" s="35">
        <f>SUM(G8:K8)</f>
        <v>922</v>
      </c>
      <c r="M8" s="35">
        <f t="shared" ref="M8:M16" si="3">ROUND((L8/$E$1),0)</f>
        <v>184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459</v>
      </c>
      <c r="H9" s="35">
        <f t="shared" si="4"/>
        <v>533</v>
      </c>
      <c r="I9" s="35">
        <f t="shared" si="4"/>
        <v>457</v>
      </c>
      <c r="J9" s="35">
        <f t="shared" si="4"/>
        <v>384</v>
      </c>
      <c r="K9" s="35">
        <f t="shared" si="4"/>
        <v>556</v>
      </c>
      <c r="L9" s="35">
        <f t="shared" ref="L9:L16" si="5">SUM(G9:K9)</f>
        <v>2389</v>
      </c>
      <c r="M9" s="35">
        <f t="shared" si="3"/>
        <v>478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638</v>
      </c>
      <c r="H10" s="35">
        <f t="shared" si="4"/>
        <v>768</v>
      </c>
      <c r="I10" s="35">
        <f t="shared" si="4"/>
        <v>678</v>
      </c>
      <c r="J10" s="35">
        <f t="shared" si="4"/>
        <v>499</v>
      </c>
      <c r="K10" s="35">
        <f t="shared" si="4"/>
        <v>766</v>
      </c>
      <c r="L10" s="35">
        <f t="shared" si="5"/>
        <v>3349</v>
      </c>
      <c r="M10" s="35">
        <f t="shared" si="3"/>
        <v>670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1304</v>
      </c>
      <c r="H11" s="31">
        <f t="shared" si="4"/>
        <v>1415</v>
      </c>
      <c r="I11" s="31">
        <f t="shared" si="4"/>
        <v>1217</v>
      </c>
      <c r="J11" s="31">
        <f t="shared" si="4"/>
        <v>919</v>
      </c>
      <c r="K11" s="31">
        <f t="shared" si="4"/>
        <v>1497</v>
      </c>
      <c r="L11" s="31">
        <f t="shared" si="5"/>
        <v>6352</v>
      </c>
      <c r="M11" s="31">
        <f t="shared" si="3"/>
        <v>1270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31</v>
      </c>
      <c r="H12" s="35">
        <f t="shared" si="4"/>
        <v>29</v>
      </c>
      <c r="I12" s="35">
        <f t="shared" si="4"/>
        <v>19</v>
      </c>
      <c r="J12" s="35">
        <f t="shared" si="4"/>
        <v>26</v>
      </c>
      <c r="K12" s="35">
        <f t="shared" si="4"/>
        <v>45</v>
      </c>
      <c r="L12" s="35">
        <f t="shared" si="5"/>
        <v>150</v>
      </c>
      <c r="M12" s="35">
        <f t="shared" si="3"/>
        <v>30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285</v>
      </c>
      <c r="H14" s="35">
        <f t="shared" si="4"/>
        <v>293</v>
      </c>
      <c r="I14" s="35">
        <f t="shared" si="4"/>
        <v>224</v>
      </c>
      <c r="J14" s="35">
        <f t="shared" si="4"/>
        <v>167</v>
      </c>
      <c r="K14" s="35">
        <f t="shared" si="4"/>
        <v>283</v>
      </c>
      <c r="L14" s="35">
        <f t="shared" si="5"/>
        <v>1252</v>
      </c>
      <c r="M14" s="35">
        <f t="shared" si="3"/>
        <v>250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1246</v>
      </c>
      <c r="H15" s="35">
        <f t="shared" si="4"/>
        <v>1685</v>
      </c>
      <c r="I15" s="35">
        <f t="shared" si="4"/>
        <v>2188</v>
      </c>
      <c r="J15" s="35">
        <f t="shared" si="4"/>
        <v>1434</v>
      </c>
      <c r="K15" s="35">
        <f t="shared" si="4"/>
        <v>1039</v>
      </c>
      <c r="L15" s="35">
        <f t="shared" si="5"/>
        <v>7592</v>
      </c>
      <c r="M15" s="35">
        <f t="shared" si="3"/>
        <v>1518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2024</v>
      </c>
      <c r="H19" s="10">
        <f>+G19</f>
        <v>2024</v>
      </c>
      <c r="I19" s="10">
        <f t="shared" ref="I19:M20" si="6">+H19</f>
        <v>2024</v>
      </c>
      <c r="J19" s="10">
        <f t="shared" si="6"/>
        <v>2024</v>
      </c>
      <c r="K19" s="10">
        <f t="shared" si="6"/>
        <v>2024</v>
      </c>
      <c r="L19" s="10">
        <f t="shared" si="6"/>
        <v>2024</v>
      </c>
      <c r="M19" s="10">
        <f t="shared" si="6"/>
        <v>2024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1046</v>
      </c>
      <c r="U19" s="13">
        <f>+L24+L25</f>
        <v>343</v>
      </c>
      <c r="V19" s="13">
        <f>+L26+L27</f>
        <v>703</v>
      </c>
      <c r="W19" s="13">
        <f>+L30</f>
        <v>27</v>
      </c>
      <c r="X19" s="13">
        <f>+L28</f>
        <v>0</v>
      </c>
    </row>
    <row r="20" spans="1:24" x14ac:dyDescent="0.25">
      <c r="A20" s="14"/>
      <c r="B20" s="15"/>
      <c r="C20" s="41" t="str">
        <f>+$C4</f>
        <v>September 2024</v>
      </c>
      <c r="D20" s="18"/>
      <c r="E20" s="18"/>
      <c r="F20" s="18"/>
      <c r="G20" s="20" t="str">
        <f>+$G$4</f>
        <v>Sep</v>
      </c>
      <c r="H20" s="20" t="str">
        <f>+G20</f>
        <v>Sep</v>
      </c>
      <c r="I20" s="20" t="str">
        <f t="shared" si="6"/>
        <v>Sep</v>
      </c>
      <c r="J20" s="20" t="str">
        <f t="shared" si="6"/>
        <v>Sep</v>
      </c>
      <c r="K20" s="20" t="str">
        <f t="shared" si="6"/>
        <v>Sep</v>
      </c>
      <c r="L20" s="20" t="str">
        <f t="shared" si="6"/>
        <v>Sep</v>
      </c>
      <c r="M20" s="20" t="str">
        <f t="shared" si="6"/>
        <v>Sep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1</v>
      </c>
      <c r="H21" s="25">
        <f>+$H$5</f>
        <v>8</v>
      </c>
      <c r="I21" s="25">
        <f>+$I$5</f>
        <v>15</v>
      </c>
      <c r="J21" s="25">
        <f>+$J$5</f>
        <v>22</v>
      </c>
      <c r="K21" s="25">
        <f>+$K$5</f>
        <v>29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190</v>
      </c>
      <c r="H23" s="31">
        <f t="shared" ref="H23:L23" si="7">SUM(H24:H27)</f>
        <v>235</v>
      </c>
      <c r="I23" s="31">
        <f t="shared" si="7"/>
        <v>247</v>
      </c>
      <c r="J23" s="31">
        <f t="shared" si="7"/>
        <v>161</v>
      </c>
      <c r="K23" s="31">
        <f t="shared" si="7"/>
        <v>213</v>
      </c>
      <c r="L23" s="31">
        <f t="shared" si="7"/>
        <v>1046</v>
      </c>
      <c r="M23" s="31">
        <f>ROUND((L23/$E$1),0)</f>
        <v>209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26</v>
      </c>
      <c r="H24" s="42">
        <v>18</v>
      </c>
      <c r="I24" s="42">
        <v>21</v>
      </c>
      <c r="J24" s="42">
        <v>28</v>
      </c>
      <c r="K24" s="42">
        <v>18</v>
      </c>
      <c r="L24" s="35">
        <f>SUM(G24:K24)</f>
        <v>111</v>
      </c>
      <c r="M24" s="35">
        <f t="shared" ref="M24:M32" si="8">ROUND((L24/$E$1),0)</f>
        <v>22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44</v>
      </c>
      <c r="H25" s="42">
        <v>47</v>
      </c>
      <c r="I25" s="42">
        <v>59</v>
      </c>
      <c r="J25" s="42">
        <v>34</v>
      </c>
      <c r="K25" s="42">
        <v>48</v>
      </c>
      <c r="L25" s="35">
        <f t="shared" ref="L25:L32" si="9">SUM(G25:K25)</f>
        <v>232</v>
      </c>
      <c r="M25" s="35">
        <f t="shared" si="8"/>
        <v>46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66</v>
      </c>
      <c r="H26" s="42">
        <v>98</v>
      </c>
      <c r="I26" s="42">
        <v>86</v>
      </c>
      <c r="J26" s="42">
        <v>63</v>
      </c>
      <c r="K26" s="42">
        <v>88</v>
      </c>
      <c r="L26" s="35">
        <f t="shared" si="9"/>
        <v>401</v>
      </c>
      <c r="M26" s="35">
        <f t="shared" si="8"/>
        <v>80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54</v>
      </c>
      <c r="H27" s="43">
        <v>72</v>
      </c>
      <c r="I27" s="43">
        <v>81</v>
      </c>
      <c r="J27" s="43">
        <v>36</v>
      </c>
      <c r="K27" s="43">
        <v>59</v>
      </c>
      <c r="L27" s="31">
        <f t="shared" si="9"/>
        <v>302</v>
      </c>
      <c r="M27" s="31">
        <f t="shared" si="8"/>
        <v>60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5</v>
      </c>
      <c r="H30" s="42">
        <v>6</v>
      </c>
      <c r="I30" s="42">
        <v>9</v>
      </c>
      <c r="J30" s="42">
        <v>1</v>
      </c>
      <c r="K30" s="42">
        <v>6</v>
      </c>
      <c r="L30" s="35">
        <f t="shared" si="9"/>
        <v>27</v>
      </c>
      <c r="M30" s="35">
        <f t="shared" si="8"/>
        <v>5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2024</v>
      </c>
      <c r="H35" s="10">
        <f>+G35</f>
        <v>2024</v>
      </c>
      <c r="I35" s="10">
        <f t="shared" ref="I35:M36" si="10">+H35</f>
        <v>2024</v>
      </c>
      <c r="J35" s="10">
        <f t="shared" si="10"/>
        <v>2024</v>
      </c>
      <c r="K35" s="10">
        <f t="shared" si="10"/>
        <v>2024</v>
      </c>
      <c r="L35" s="10">
        <f t="shared" si="10"/>
        <v>2024</v>
      </c>
      <c r="M35" s="10">
        <f t="shared" si="10"/>
        <v>2024</v>
      </c>
      <c r="N35" s="11"/>
      <c r="O35" s="44"/>
      <c r="P35" s="44"/>
      <c r="Q35" s="44"/>
      <c r="S35" s="12" t="str">
        <f>+C35</f>
        <v>Ngwenya</v>
      </c>
      <c r="T35" s="13">
        <f>+L39</f>
        <v>405</v>
      </c>
      <c r="U35" s="13">
        <f>+L40+L41</f>
        <v>99</v>
      </c>
      <c r="V35" s="13">
        <f>+L42+L43</f>
        <v>306</v>
      </c>
      <c r="W35" s="13">
        <f>+L46</f>
        <v>62</v>
      </c>
      <c r="X35" s="13">
        <f>+L44</f>
        <v>7</v>
      </c>
    </row>
    <row r="36" spans="1:24" x14ac:dyDescent="0.25">
      <c r="A36" s="14"/>
      <c r="B36" s="15"/>
      <c r="C36" s="41" t="str">
        <f>+$C20</f>
        <v>September 2024</v>
      </c>
      <c r="D36" s="18"/>
      <c r="E36" s="18"/>
      <c r="F36" s="18"/>
      <c r="G36" s="20" t="str">
        <f>+$G$4</f>
        <v>Sep</v>
      </c>
      <c r="H36" s="20" t="str">
        <f>+G36</f>
        <v>Sep</v>
      </c>
      <c r="I36" s="20" t="str">
        <f t="shared" si="10"/>
        <v>Sep</v>
      </c>
      <c r="J36" s="20" t="str">
        <f t="shared" si="10"/>
        <v>Sep</v>
      </c>
      <c r="K36" s="20" t="str">
        <f t="shared" si="10"/>
        <v>Sep</v>
      </c>
      <c r="L36" s="20" t="str">
        <f t="shared" si="10"/>
        <v>Sep</v>
      </c>
      <c r="M36" s="20" t="str">
        <f t="shared" si="10"/>
        <v>Sep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1</v>
      </c>
      <c r="H37" s="25">
        <f>+$H$5</f>
        <v>8</v>
      </c>
      <c r="I37" s="25">
        <f>+$I$5</f>
        <v>15</v>
      </c>
      <c r="J37" s="25">
        <f>+$J$5</f>
        <v>22</v>
      </c>
      <c r="K37" s="25">
        <f>+$K$5</f>
        <v>29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82</v>
      </c>
      <c r="H39" s="31">
        <f t="shared" ref="H39:L39" si="11">SUM(H40:H43)</f>
        <v>81</v>
      </c>
      <c r="I39" s="31">
        <f t="shared" si="11"/>
        <v>86</v>
      </c>
      <c r="J39" s="31">
        <f t="shared" si="11"/>
        <v>56</v>
      </c>
      <c r="K39" s="31">
        <f t="shared" si="11"/>
        <v>100</v>
      </c>
      <c r="L39" s="31">
        <f t="shared" si="11"/>
        <v>405</v>
      </c>
      <c r="M39" s="31">
        <f>ROUND((L39/$E$1),0)</f>
        <v>81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6</v>
      </c>
      <c r="H40" s="42">
        <v>4</v>
      </c>
      <c r="I40" s="42">
        <v>6</v>
      </c>
      <c r="J40" s="42">
        <v>3</v>
      </c>
      <c r="K40" s="42">
        <v>5</v>
      </c>
      <c r="L40" s="35">
        <f>SUM(G40:K40)</f>
        <v>24</v>
      </c>
      <c r="M40" s="35">
        <f t="shared" ref="M40:M48" si="12">ROUND((L40/$E$1),0)</f>
        <v>5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16</v>
      </c>
      <c r="H41" s="42">
        <v>15</v>
      </c>
      <c r="I41" s="42">
        <v>16</v>
      </c>
      <c r="J41" s="42">
        <v>10</v>
      </c>
      <c r="K41" s="42">
        <v>18</v>
      </c>
      <c r="L41" s="35">
        <f t="shared" ref="L41:L48" si="13">SUM(G41:K41)</f>
        <v>75</v>
      </c>
      <c r="M41" s="35">
        <f t="shared" si="12"/>
        <v>15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20</v>
      </c>
      <c r="H42" s="42">
        <v>22</v>
      </c>
      <c r="I42" s="42">
        <v>20</v>
      </c>
      <c r="J42" s="42">
        <v>13</v>
      </c>
      <c r="K42" s="42">
        <v>35</v>
      </c>
      <c r="L42" s="35">
        <f t="shared" si="13"/>
        <v>110</v>
      </c>
      <c r="M42" s="35">
        <f t="shared" si="12"/>
        <v>22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40</v>
      </c>
      <c r="H43" s="43">
        <v>40</v>
      </c>
      <c r="I43" s="43">
        <v>44</v>
      </c>
      <c r="J43" s="43">
        <v>30</v>
      </c>
      <c r="K43" s="43">
        <v>42</v>
      </c>
      <c r="L43" s="31">
        <f t="shared" si="13"/>
        <v>196</v>
      </c>
      <c r="M43" s="31">
        <f t="shared" si="12"/>
        <v>39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/>
      <c r="I44" s="42">
        <v>2</v>
      </c>
      <c r="J44" s="42"/>
      <c r="K44" s="42">
        <v>5</v>
      </c>
      <c r="L44" s="35">
        <f t="shared" si="13"/>
        <v>7</v>
      </c>
      <c r="M44" s="35">
        <f t="shared" si="12"/>
        <v>1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12</v>
      </c>
      <c r="H46" s="42">
        <v>11</v>
      </c>
      <c r="I46" s="42">
        <v>12</v>
      </c>
      <c r="J46" s="42">
        <v>13</v>
      </c>
      <c r="K46" s="42">
        <v>14</v>
      </c>
      <c r="L46" s="35">
        <f t="shared" si="13"/>
        <v>62</v>
      </c>
      <c r="M46" s="35">
        <f t="shared" si="12"/>
        <v>12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108</v>
      </c>
      <c r="H47" s="42">
        <v>72</v>
      </c>
      <c r="I47" s="42">
        <v>144</v>
      </c>
      <c r="J47" s="42">
        <v>96</v>
      </c>
      <c r="K47" s="42">
        <v>128</v>
      </c>
      <c r="L47" s="35">
        <f t="shared" si="13"/>
        <v>548</v>
      </c>
      <c r="M47" s="35">
        <f t="shared" si="12"/>
        <v>110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2024</v>
      </c>
      <c r="H51" s="10">
        <f>+G51</f>
        <v>2024</v>
      </c>
      <c r="I51" s="10">
        <f t="shared" ref="I51:M52" si="14">+H51</f>
        <v>2024</v>
      </c>
      <c r="J51" s="10">
        <f t="shared" si="14"/>
        <v>2024</v>
      </c>
      <c r="K51" s="10">
        <f t="shared" si="14"/>
        <v>2024</v>
      </c>
      <c r="L51" s="10">
        <f t="shared" si="14"/>
        <v>2024</v>
      </c>
      <c r="M51" s="10">
        <f t="shared" si="14"/>
        <v>2024</v>
      </c>
      <c r="N51" s="11"/>
      <c r="O51" s="44"/>
      <c r="P51" s="44"/>
      <c r="Q51" s="44"/>
      <c r="S51" s="12" t="str">
        <f>+C51</f>
        <v>Lavumisa</v>
      </c>
      <c r="T51" s="13">
        <f>+L55</f>
        <v>348</v>
      </c>
      <c r="U51" s="13">
        <f>+L56+L57</f>
        <v>90</v>
      </c>
      <c r="V51" s="13">
        <f>+L58+L59</f>
        <v>258</v>
      </c>
      <c r="W51" s="13">
        <f>+L62</f>
        <v>32</v>
      </c>
      <c r="X51" s="13">
        <f>+L60</f>
        <v>0</v>
      </c>
    </row>
    <row r="52" spans="1:24" x14ac:dyDescent="0.25">
      <c r="A52" s="14"/>
      <c r="B52" s="15"/>
      <c r="C52" s="41" t="str">
        <f>+$C36</f>
        <v>September 2024</v>
      </c>
      <c r="D52" s="18"/>
      <c r="E52" s="18"/>
      <c r="F52" s="18"/>
      <c r="G52" s="20" t="str">
        <f>+$G$4</f>
        <v>Sep</v>
      </c>
      <c r="H52" s="20" t="str">
        <f>+G52</f>
        <v>Sep</v>
      </c>
      <c r="I52" s="20" t="str">
        <f t="shared" si="14"/>
        <v>Sep</v>
      </c>
      <c r="J52" s="20" t="str">
        <f t="shared" si="14"/>
        <v>Sep</v>
      </c>
      <c r="K52" s="20" t="str">
        <f t="shared" si="14"/>
        <v>Sep</v>
      </c>
      <c r="L52" s="20" t="str">
        <f t="shared" si="14"/>
        <v>Sep</v>
      </c>
      <c r="M52" s="20" t="str">
        <f t="shared" si="14"/>
        <v>Sep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1</v>
      </c>
      <c r="H53" s="25">
        <f>+$H$5</f>
        <v>8</v>
      </c>
      <c r="I53" s="25">
        <f>+$I$5</f>
        <v>15</v>
      </c>
      <c r="J53" s="25">
        <f>+$J$5</f>
        <v>22</v>
      </c>
      <c r="K53" s="25">
        <f>+$K$5</f>
        <v>29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80</v>
      </c>
      <c r="H55" s="31">
        <f t="shared" ref="H55:L55" si="15">SUM(H56:H59)</f>
        <v>88</v>
      </c>
      <c r="I55" s="31">
        <f t="shared" si="15"/>
        <v>76</v>
      </c>
      <c r="J55" s="31">
        <f t="shared" si="15"/>
        <v>30</v>
      </c>
      <c r="K55" s="31">
        <f t="shared" si="15"/>
        <v>74</v>
      </c>
      <c r="L55" s="31">
        <f t="shared" si="15"/>
        <v>348</v>
      </c>
      <c r="M55" s="31">
        <f>ROUND((L55/$E$1),0)</f>
        <v>70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4</v>
      </c>
      <c r="H56" s="42">
        <v>4</v>
      </c>
      <c r="I56" s="42">
        <v>2</v>
      </c>
      <c r="J56" s="42">
        <v>3</v>
      </c>
      <c r="K56" s="42">
        <v>3</v>
      </c>
      <c r="L56" s="35">
        <f>SUM(G56:K56)</f>
        <v>16</v>
      </c>
      <c r="M56" s="35">
        <f t="shared" ref="M56:M64" si="16">ROUND((L56/$E$1),0)</f>
        <v>3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16</v>
      </c>
      <c r="H57" s="42">
        <v>17</v>
      </c>
      <c r="I57" s="42">
        <v>15</v>
      </c>
      <c r="J57" s="42">
        <v>9</v>
      </c>
      <c r="K57" s="42">
        <v>17</v>
      </c>
      <c r="L57" s="35">
        <f t="shared" ref="L57:L64" si="17">SUM(G57:K57)</f>
        <v>74</v>
      </c>
      <c r="M57" s="35">
        <f t="shared" si="16"/>
        <v>15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18</v>
      </c>
      <c r="H58" s="42">
        <v>48</v>
      </c>
      <c r="I58" s="42">
        <v>26</v>
      </c>
      <c r="J58" s="42">
        <v>12</v>
      </c>
      <c r="K58" s="42">
        <v>21</v>
      </c>
      <c r="L58" s="35">
        <f t="shared" si="17"/>
        <v>125</v>
      </c>
      <c r="M58" s="35">
        <f t="shared" si="16"/>
        <v>25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42</v>
      </c>
      <c r="H59" s="43">
        <v>19</v>
      </c>
      <c r="I59" s="43">
        <v>33</v>
      </c>
      <c r="J59" s="43">
        <v>6</v>
      </c>
      <c r="K59" s="43">
        <v>33</v>
      </c>
      <c r="L59" s="31">
        <f t="shared" si="17"/>
        <v>133</v>
      </c>
      <c r="M59" s="31">
        <f t="shared" si="16"/>
        <v>27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4</v>
      </c>
      <c r="H62" s="42">
        <v>8</v>
      </c>
      <c r="I62" s="42">
        <v>6</v>
      </c>
      <c r="J62" s="42">
        <v>6</v>
      </c>
      <c r="K62" s="42">
        <v>8</v>
      </c>
      <c r="L62" s="35">
        <f t="shared" si="17"/>
        <v>32</v>
      </c>
      <c r="M62" s="35">
        <f t="shared" si="16"/>
        <v>6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2024</v>
      </c>
      <c r="H67" s="10">
        <f>+G67</f>
        <v>2024</v>
      </c>
      <c r="I67" s="10">
        <f t="shared" ref="I67:M68" si="18">+H67</f>
        <v>2024</v>
      </c>
      <c r="J67" s="10">
        <f t="shared" si="18"/>
        <v>2024</v>
      </c>
      <c r="K67" s="10">
        <f t="shared" si="18"/>
        <v>2024</v>
      </c>
      <c r="L67" s="10">
        <f t="shared" si="18"/>
        <v>2024</v>
      </c>
      <c r="M67" s="10">
        <f t="shared" si="18"/>
        <v>2024</v>
      </c>
      <c r="N67" s="11"/>
      <c r="O67" s="44"/>
      <c r="P67" s="44"/>
      <c r="Q67" s="44"/>
      <c r="S67" s="12" t="str">
        <f>+C67</f>
        <v>Engcamini</v>
      </c>
      <c r="T67" s="13">
        <f>+L71</f>
        <v>471</v>
      </c>
      <c r="U67" s="13">
        <f>+L72+L73</f>
        <v>75</v>
      </c>
      <c r="V67" s="13">
        <f>+L74+L75</f>
        <v>396</v>
      </c>
      <c r="W67" s="13">
        <f>+L78</f>
        <v>6</v>
      </c>
      <c r="X67" s="13">
        <f>+L76</f>
        <v>29</v>
      </c>
    </row>
    <row r="68" spans="1:24" x14ac:dyDescent="0.25">
      <c r="A68" s="14"/>
      <c r="B68" s="15"/>
      <c r="C68" s="41" t="str">
        <f>+$C52</f>
        <v>September 2024</v>
      </c>
      <c r="D68" s="18"/>
      <c r="E68" s="18"/>
      <c r="F68" s="18"/>
      <c r="G68" s="20" t="str">
        <f>+$G$4</f>
        <v>Sep</v>
      </c>
      <c r="H68" s="20" t="str">
        <f>+G68</f>
        <v>Sep</v>
      </c>
      <c r="I68" s="20" t="str">
        <f t="shared" si="18"/>
        <v>Sep</v>
      </c>
      <c r="J68" s="20" t="str">
        <f t="shared" si="18"/>
        <v>Sep</v>
      </c>
      <c r="K68" s="20" t="str">
        <f t="shared" si="18"/>
        <v>Sep</v>
      </c>
      <c r="L68" s="20" t="str">
        <f t="shared" si="18"/>
        <v>Sep</v>
      </c>
      <c r="M68" s="20" t="str">
        <f t="shared" si="18"/>
        <v>Sep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1</v>
      </c>
      <c r="H69" s="25">
        <f>+$H$5</f>
        <v>8</v>
      </c>
      <c r="I69" s="25">
        <f>+$I$5</f>
        <v>15</v>
      </c>
      <c r="J69" s="25">
        <f>+$J$5</f>
        <v>22</v>
      </c>
      <c r="K69" s="25">
        <f>+$K$5</f>
        <v>29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95</v>
      </c>
      <c r="H71" s="31">
        <f t="shared" ref="H71:L71" si="19">SUM(H72:H75)</f>
        <v>103</v>
      </c>
      <c r="I71" s="31">
        <f t="shared" si="19"/>
        <v>89</v>
      </c>
      <c r="J71" s="31">
        <f t="shared" si="19"/>
        <v>79</v>
      </c>
      <c r="K71" s="31">
        <f t="shared" si="19"/>
        <v>105</v>
      </c>
      <c r="L71" s="31">
        <f t="shared" si="19"/>
        <v>471</v>
      </c>
      <c r="M71" s="31">
        <f>ROUND((L71/$E$1),0)</f>
        <v>94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3</v>
      </c>
      <c r="I72" s="42">
        <v>4</v>
      </c>
      <c r="J72" s="42">
        <v>3</v>
      </c>
      <c r="K72" s="42">
        <v>3</v>
      </c>
      <c r="L72" s="35">
        <f>SUM(G72:K72)</f>
        <v>16</v>
      </c>
      <c r="M72" s="35">
        <f t="shared" ref="M72:M80" si="20">ROUND((L72/$E$1),0)</f>
        <v>3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15</v>
      </c>
      <c r="H73" s="42">
        <v>13</v>
      </c>
      <c r="I73" s="42">
        <v>9</v>
      </c>
      <c r="J73" s="42">
        <v>10</v>
      </c>
      <c r="K73" s="42">
        <v>12</v>
      </c>
      <c r="L73" s="35">
        <f t="shared" ref="L73:L80" si="21">SUM(G73:K73)</f>
        <v>59</v>
      </c>
      <c r="M73" s="35">
        <f t="shared" si="20"/>
        <v>12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9</v>
      </c>
      <c r="H74" s="42">
        <v>10</v>
      </c>
      <c r="I74" s="42">
        <v>14</v>
      </c>
      <c r="J74" s="42">
        <v>4</v>
      </c>
      <c r="K74" s="42">
        <v>11</v>
      </c>
      <c r="L74" s="35">
        <f t="shared" si="21"/>
        <v>48</v>
      </c>
      <c r="M74" s="35">
        <f t="shared" si="20"/>
        <v>10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68</v>
      </c>
      <c r="H75" s="43">
        <v>77</v>
      </c>
      <c r="I75" s="43">
        <v>62</v>
      </c>
      <c r="J75" s="43">
        <v>62</v>
      </c>
      <c r="K75" s="43">
        <v>79</v>
      </c>
      <c r="L75" s="31">
        <f t="shared" si="21"/>
        <v>348</v>
      </c>
      <c r="M75" s="31">
        <f t="shared" si="20"/>
        <v>70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/>
      <c r="H76" s="42">
        <v>6</v>
      </c>
      <c r="I76" s="42"/>
      <c r="J76" s="42">
        <v>15</v>
      </c>
      <c r="K76" s="42">
        <v>8</v>
      </c>
      <c r="L76" s="35">
        <f t="shared" si="21"/>
        <v>29</v>
      </c>
      <c r="M76" s="35">
        <f t="shared" si="20"/>
        <v>6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/>
      <c r="H78" s="42">
        <v>2</v>
      </c>
      <c r="I78" s="42">
        <v>2</v>
      </c>
      <c r="J78" s="42"/>
      <c r="K78" s="42">
        <v>2</v>
      </c>
      <c r="L78" s="35">
        <f t="shared" si="21"/>
        <v>6</v>
      </c>
      <c r="M78" s="35">
        <f t="shared" si="20"/>
        <v>1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/>
      <c r="H79" s="42">
        <v>120</v>
      </c>
      <c r="I79" s="42">
        <v>320</v>
      </c>
      <c r="J79" s="42"/>
      <c r="K79" s="42"/>
      <c r="L79" s="35">
        <f t="shared" si="21"/>
        <v>440</v>
      </c>
      <c r="M79" s="35">
        <f t="shared" si="20"/>
        <v>88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2024</v>
      </c>
      <c r="H83" s="10">
        <f>+G83</f>
        <v>2024</v>
      </c>
      <c r="I83" s="10">
        <f t="shared" ref="I83:M84" si="22">+H83</f>
        <v>2024</v>
      </c>
      <c r="J83" s="10">
        <f t="shared" si="22"/>
        <v>2024</v>
      </c>
      <c r="K83" s="10">
        <f t="shared" si="22"/>
        <v>2024</v>
      </c>
      <c r="L83" s="10">
        <f t="shared" si="22"/>
        <v>2024</v>
      </c>
      <c r="M83" s="10">
        <f t="shared" si="22"/>
        <v>2024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September 2024</v>
      </c>
      <c r="D84" s="18"/>
      <c r="E84" s="18"/>
      <c r="F84" s="18"/>
      <c r="G84" s="20" t="str">
        <f>+$G$4</f>
        <v>Sep</v>
      </c>
      <c r="H84" s="20" t="str">
        <f>+G84</f>
        <v>Sep</v>
      </c>
      <c r="I84" s="20" t="str">
        <f t="shared" si="22"/>
        <v>Sep</v>
      </c>
      <c r="J84" s="20" t="str">
        <f t="shared" si="22"/>
        <v>Sep</v>
      </c>
      <c r="K84" s="20" t="str">
        <f t="shared" si="22"/>
        <v>Sep</v>
      </c>
      <c r="L84" s="20" t="str">
        <f t="shared" si="22"/>
        <v>Sep</v>
      </c>
      <c r="M84" s="20" t="str">
        <f t="shared" si="22"/>
        <v>Sep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1</v>
      </c>
      <c r="H85" s="25">
        <f>+$H$5</f>
        <v>8</v>
      </c>
      <c r="I85" s="25">
        <f>+$I$5</f>
        <v>15</v>
      </c>
      <c r="J85" s="25">
        <f>+$J$5</f>
        <v>22</v>
      </c>
      <c r="K85" s="25">
        <f>+$K$5</f>
        <v>29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2024</v>
      </c>
      <c r="H99" s="10">
        <f>+G99</f>
        <v>2024</v>
      </c>
      <c r="I99" s="10">
        <f t="shared" ref="I99:M100" si="26">+H99</f>
        <v>2024</v>
      </c>
      <c r="J99" s="10">
        <f t="shared" si="26"/>
        <v>2024</v>
      </c>
      <c r="K99" s="10">
        <f t="shared" si="26"/>
        <v>2024</v>
      </c>
      <c r="L99" s="10">
        <f t="shared" si="26"/>
        <v>2024</v>
      </c>
      <c r="M99" s="10">
        <f t="shared" si="26"/>
        <v>2024</v>
      </c>
      <c r="N99" s="11"/>
      <c r="O99" s="44"/>
      <c r="P99" s="44"/>
      <c r="Q99" s="44"/>
      <c r="S99" s="12" t="str">
        <f>+C99</f>
        <v>Ngwempisi</v>
      </c>
      <c r="T99" s="13">
        <f>+L103</f>
        <v>369</v>
      </c>
      <c r="U99" s="13">
        <f>+L104+L105</f>
        <v>127</v>
      </c>
      <c r="V99" s="13">
        <f>+L106+L107</f>
        <v>242</v>
      </c>
      <c r="W99" s="13">
        <f>+L110</f>
        <v>25</v>
      </c>
      <c r="X99" s="13">
        <f>+L108</f>
        <v>0</v>
      </c>
    </row>
    <row r="100" spans="1:24" x14ac:dyDescent="0.25">
      <c r="A100" s="14"/>
      <c r="B100" s="15"/>
      <c r="C100" s="41" t="str">
        <f>+$C84</f>
        <v>September 2024</v>
      </c>
      <c r="D100" s="18"/>
      <c r="E100" s="18"/>
      <c r="F100" s="18"/>
      <c r="G100" s="20" t="str">
        <f>+$G$4</f>
        <v>Sep</v>
      </c>
      <c r="H100" s="20" t="str">
        <f>+G100</f>
        <v>Sep</v>
      </c>
      <c r="I100" s="20" t="str">
        <f t="shared" si="26"/>
        <v>Sep</v>
      </c>
      <c r="J100" s="20" t="str">
        <f t="shared" si="26"/>
        <v>Sep</v>
      </c>
      <c r="K100" s="20" t="str">
        <f t="shared" si="26"/>
        <v>Sep</v>
      </c>
      <c r="L100" s="20" t="str">
        <f t="shared" si="26"/>
        <v>Sep</v>
      </c>
      <c r="M100" s="20" t="str">
        <f t="shared" si="26"/>
        <v>Sep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1</v>
      </c>
      <c r="H101" s="25">
        <f>+$H$5</f>
        <v>8</v>
      </c>
      <c r="I101" s="25">
        <f>+$I$5</f>
        <v>15</v>
      </c>
      <c r="J101" s="25">
        <f>+$J$5</f>
        <v>22</v>
      </c>
      <c r="K101" s="25">
        <f>+$K$5</f>
        <v>29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79</v>
      </c>
      <c r="H103" s="31">
        <f t="shared" ref="H103:L103" si="27">SUM(H104:H107)</f>
        <v>70</v>
      </c>
      <c r="I103" s="31">
        <f t="shared" si="27"/>
        <v>67</v>
      </c>
      <c r="J103" s="31">
        <f t="shared" si="27"/>
        <v>74</v>
      </c>
      <c r="K103" s="31">
        <f t="shared" si="27"/>
        <v>79</v>
      </c>
      <c r="L103" s="31">
        <f t="shared" si="27"/>
        <v>369</v>
      </c>
      <c r="M103" s="31">
        <f>ROUND((L103/$E$1),0)</f>
        <v>74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4</v>
      </c>
      <c r="H104" s="42">
        <v>2</v>
      </c>
      <c r="I104" s="42">
        <v>4</v>
      </c>
      <c r="J104" s="42">
        <v>3</v>
      </c>
      <c r="K104" s="42">
        <v>4</v>
      </c>
      <c r="L104" s="35">
        <f>SUM(G104:K104)</f>
        <v>17</v>
      </c>
      <c r="M104" s="35">
        <f t="shared" ref="M104:M112" si="28">ROUND((L104/$E$1),0)</f>
        <v>3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23</v>
      </c>
      <c r="H105" s="42">
        <v>23</v>
      </c>
      <c r="I105" s="42">
        <v>18</v>
      </c>
      <c r="J105" s="42">
        <v>23</v>
      </c>
      <c r="K105" s="42">
        <v>23</v>
      </c>
      <c r="L105" s="35">
        <f t="shared" ref="L105:L112" si="29">SUM(G105:K105)</f>
        <v>110</v>
      </c>
      <c r="M105" s="35">
        <f t="shared" si="28"/>
        <v>22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16</v>
      </c>
      <c r="H106" s="42">
        <v>12</v>
      </c>
      <c r="I106" s="42">
        <v>16</v>
      </c>
      <c r="J106" s="42">
        <v>16</v>
      </c>
      <c r="K106" s="42">
        <v>16</v>
      </c>
      <c r="L106" s="35">
        <f t="shared" si="29"/>
        <v>76</v>
      </c>
      <c r="M106" s="35">
        <f t="shared" si="28"/>
        <v>15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36</v>
      </c>
      <c r="H107" s="43">
        <v>33</v>
      </c>
      <c r="I107" s="43">
        <v>29</v>
      </c>
      <c r="J107" s="43">
        <v>32</v>
      </c>
      <c r="K107" s="43">
        <v>36</v>
      </c>
      <c r="L107" s="31">
        <f t="shared" si="29"/>
        <v>166</v>
      </c>
      <c r="M107" s="31">
        <f t="shared" si="28"/>
        <v>33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/>
      <c r="H110" s="42">
        <v>6</v>
      </c>
      <c r="I110" s="42"/>
      <c r="J110" s="42">
        <v>7</v>
      </c>
      <c r="K110" s="42">
        <v>12</v>
      </c>
      <c r="L110" s="35">
        <f t="shared" si="29"/>
        <v>25</v>
      </c>
      <c r="M110" s="35">
        <f t="shared" si="28"/>
        <v>5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2024</v>
      </c>
      <c r="H115" s="10">
        <f>+G115</f>
        <v>2024</v>
      </c>
      <c r="I115" s="10">
        <f t="shared" ref="I115:M116" si="30">+H115</f>
        <v>2024</v>
      </c>
      <c r="J115" s="10">
        <f t="shared" si="30"/>
        <v>2024</v>
      </c>
      <c r="K115" s="10">
        <f t="shared" si="30"/>
        <v>2024</v>
      </c>
      <c r="L115" s="10">
        <f t="shared" si="30"/>
        <v>2024</v>
      </c>
      <c r="M115" s="10">
        <f t="shared" si="30"/>
        <v>2024</v>
      </c>
      <c r="N115" s="11"/>
      <c r="O115" s="44"/>
      <c r="P115" s="44"/>
      <c r="Q115" s="44"/>
      <c r="S115" s="12" t="str">
        <f>+C115</f>
        <v>Gebeni</v>
      </c>
      <c r="T115" s="13">
        <f>+L119</f>
        <v>319</v>
      </c>
      <c r="U115" s="13">
        <f>+L120+L121</f>
        <v>86</v>
      </c>
      <c r="V115" s="13">
        <f>+L122+L123</f>
        <v>233</v>
      </c>
      <c r="W115" s="13">
        <f>+L126</f>
        <v>23</v>
      </c>
      <c r="X115" s="13">
        <f>+L124</f>
        <v>12</v>
      </c>
    </row>
    <row r="116" spans="1:24" x14ac:dyDescent="0.25">
      <c r="A116" s="14"/>
      <c r="B116" s="15"/>
      <c r="C116" s="41" t="str">
        <f>+$C100</f>
        <v>September 2024</v>
      </c>
      <c r="D116" s="18"/>
      <c r="E116" s="18"/>
      <c r="F116" s="18"/>
      <c r="G116" s="20" t="str">
        <f>+$G$4</f>
        <v>Sep</v>
      </c>
      <c r="H116" s="20" t="str">
        <f>+G116</f>
        <v>Sep</v>
      </c>
      <c r="I116" s="20" t="str">
        <f t="shared" si="30"/>
        <v>Sep</v>
      </c>
      <c r="J116" s="20" t="str">
        <f t="shared" si="30"/>
        <v>Sep</v>
      </c>
      <c r="K116" s="20" t="str">
        <f t="shared" si="30"/>
        <v>Sep</v>
      </c>
      <c r="L116" s="20" t="str">
        <f t="shared" si="30"/>
        <v>Sep</v>
      </c>
      <c r="M116" s="20" t="str">
        <f t="shared" si="30"/>
        <v>Sep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1</v>
      </c>
      <c r="H117" s="25">
        <f>+$H$5</f>
        <v>8</v>
      </c>
      <c r="I117" s="25">
        <f>+$I$5</f>
        <v>15</v>
      </c>
      <c r="J117" s="25">
        <f>+$J$5</f>
        <v>22</v>
      </c>
      <c r="K117" s="25">
        <f>+$K$5</f>
        <v>29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67</v>
      </c>
      <c r="H119" s="31">
        <f t="shared" ref="H119:L119" si="31">SUM(H120:H123)</f>
        <v>59</v>
      </c>
      <c r="I119" s="31">
        <f t="shared" si="31"/>
        <v>66</v>
      </c>
      <c r="J119" s="31">
        <f t="shared" si="31"/>
        <v>57</v>
      </c>
      <c r="K119" s="31">
        <f t="shared" si="31"/>
        <v>70</v>
      </c>
      <c r="L119" s="31">
        <f t="shared" si="31"/>
        <v>319</v>
      </c>
      <c r="M119" s="31">
        <f>ROUND((L119/$E$1),0)</f>
        <v>64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4</v>
      </c>
      <c r="H120" s="42">
        <v>5</v>
      </c>
      <c r="I120" s="42">
        <v>5</v>
      </c>
      <c r="J120" s="42">
        <v>4</v>
      </c>
      <c r="K120" s="42">
        <v>6</v>
      </c>
      <c r="L120" s="35">
        <f>SUM(G120:K120)</f>
        <v>24</v>
      </c>
      <c r="M120" s="35">
        <f t="shared" ref="M120:M128" si="32">ROUND((L120/$E$1),0)</f>
        <v>5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10</v>
      </c>
      <c r="H121" s="42">
        <v>14</v>
      </c>
      <c r="I121" s="42">
        <v>15</v>
      </c>
      <c r="J121" s="42">
        <v>8</v>
      </c>
      <c r="K121" s="42">
        <v>15</v>
      </c>
      <c r="L121" s="35">
        <f t="shared" ref="L121:L128" si="33">SUM(G121:K121)</f>
        <v>62</v>
      </c>
      <c r="M121" s="35">
        <f t="shared" si="32"/>
        <v>12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23</v>
      </c>
      <c r="H122" s="42">
        <v>27</v>
      </c>
      <c r="I122" s="42">
        <v>18</v>
      </c>
      <c r="J122" s="42">
        <v>17</v>
      </c>
      <c r="K122" s="42">
        <v>20</v>
      </c>
      <c r="L122" s="35">
        <f t="shared" si="33"/>
        <v>105</v>
      </c>
      <c r="M122" s="35">
        <f t="shared" si="32"/>
        <v>21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30</v>
      </c>
      <c r="H123" s="43">
        <v>13</v>
      </c>
      <c r="I123" s="43">
        <v>28</v>
      </c>
      <c r="J123" s="43">
        <v>28</v>
      </c>
      <c r="K123" s="43">
        <v>29</v>
      </c>
      <c r="L123" s="31">
        <f t="shared" si="33"/>
        <v>128</v>
      </c>
      <c r="M123" s="31">
        <f t="shared" si="32"/>
        <v>26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3</v>
      </c>
      <c r="H124" s="42">
        <v>5</v>
      </c>
      <c r="I124" s="42">
        <v>3</v>
      </c>
      <c r="J124" s="42"/>
      <c r="K124" s="42">
        <v>1</v>
      </c>
      <c r="L124" s="35">
        <f t="shared" si="33"/>
        <v>12</v>
      </c>
      <c r="M124" s="35">
        <f t="shared" si="32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8</v>
      </c>
      <c r="H126" s="42"/>
      <c r="I126" s="42">
        <v>8</v>
      </c>
      <c r="J126" s="42"/>
      <c r="K126" s="42">
        <v>7</v>
      </c>
      <c r="L126" s="35">
        <f t="shared" si="33"/>
        <v>23</v>
      </c>
      <c r="M126" s="35">
        <f t="shared" si="32"/>
        <v>5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>
        <v>15</v>
      </c>
      <c r="H127" s="42">
        <v>180</v>
      </c>
      <c r="I127" s="42">
        <v>20</v>
      </c>
      <c r="J127" s="42"/>
      <c r="K127" s="42"/>
      <c r="L127" s="35">
        <f t="shared" si="33"/>
        <v>215</v>
      </c>
      <c r="M127" s="35">
        <f t="shared" si="32"/>
        <v>43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2024</v>
      </c>
      <c r="H131" s="10">
        <f>+G131</f>
        <v>2024</v>
      </c>
      <c r="I131" s="10">
        <f t="shared" ref="I131:M132" si="34">+H131</f>
        <v>2024</v>
      </c>
      <c r="J131" s="10">
        <f t="shared" si="34"/>
        <v>2024</v>
      </c>
      <c r="K131" s="10">
        <f t="shared" si="34"/>
        <v>2024</v>
      </c>
      <c r="L131" s="10">
        <f t="shared" si="34"/>
        <v>2024</v>
      </c>
      <c r="M131" s="10">
        <f t="shared" si="34"/>
        <v>2024</v>
      </c>
      <c r="N131" s="11"/>
      <c r="O131" s="44"/>
      <c r="P131" s="44"/>
      <c r="Q131" s="44"/>
      <c r="S131" s="12" t="str">
        <f>+C131</f>
        <v>Mpolonjeni CLC</v>
      </c>
      <c r="T131" s="13">
        <f>+L135</f>
        <v>273</v>
      </c>
      <c r="U131" s="13">
        <f>+L136+L137</f>
        <v>94</v>
      </c>
      <c r="V131" s="13">
        <f>+L138+L139</f>
        <v>179</v>
      </c>
      <c r="W131" s="13">
        <f>+L142</f>
        <v>5</v>
      </c>
      <c r="X131" s="13">
        <f>+L140</f>
        <v>0</v>
      </c>
    </row>
    <row r="132" spans="1:24" x14ac:dyDescent="0.25">
      <c r="A132" s="14"/>
      <c r="B132" s="15"/>
      <c r="C132" s="41" t="str">
        <f>+$C116</f>
        <v>September 2024</v>
      </c>
      <c r="D132" s="18"/>
      <c r="E132" s="18"/>
      <c r="F132" s="18"/>
      <c r="G132" s="20" t="str">
        <f>+$G$4</f>
        <v>Sep</v>
      </c>
      <c r="H132" s="20" t="str">
        <f>+G132</f>
        <v>Sep</v>
      </c>
      <c r="I132" s="20" t="str">
        <f t="shared" si="34"/>
        <v>Sep</v>
      </c>
      <c r="J132" s="20" t="str">
        <f t="shared" si="34"/>
        <v>Sep</v>
      </c>
      <c r="K132" s="20" t="str">
        <f t="shared" si="34"/>
        <v>Sep</v>
      </c>
      <c r="L132" s="20" t="str">
        <f t="shared" si="34"/>
        <v>Sep</v>
      </c>
      <c r="M132" s="20" t="str">
        <f t="shared" si="34"/>
        <v>Sep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1</v>
      </c>
      <c r="H133" s="25">
        <f>+$H$5</f>
        <v>8</v>
      </c>
      <c r="I133" s="25">
        <f>+$I$5</f>
        <v>15</v>
      </c>
      <c r="J133" s="25">
        <f>+$J$5</f>
        <v>22</v>
      </c>
      <c r="K133" s="25">
        <f>+$K$5</f>
        <v>29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64</v>
      </c>
      <c r="H135" s="31">
        <f t="shared" ref="H135:L135" si="35">SUM(H136:H139)</f>
        <v>63</v>
      </c>
      <c r="I135" s="31">
        <f t="shared" si="35"/>
        <v>61</v>
      </c>
      <c r="J135" s="31">
        <f t="shared" si="35"/>
        <v>33</v>
      </c>
      <c r="K135" s="31">
        <f t="shared" si="35"/>
        <v>52</v>
      </c>
      <c r="L135" s="31">
        <f t="shared" si="35"/>
        <v>273</v>
      </c>
      <c r="M135" s="31">
        <f>ROUND((L135/$E$1),0)</f>
        <v>55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5</v>
      </c>
      <c r="H136" s="42">
        <v>5</v>
      </c>
      <c r="I136" s="42">
        <v>4</v>
      </c>
      <c r="J136" s="42">
        <v>3</v>
      </c>
      <c r="K136" s="42">
        <v>4</v>
      </c>
      <c r="L136" s="35">
        <f>SUM(G136:K136)</f>
        <v>21</v>
      </c>
      <c r="M136" s="35">
        <f t="shared" ref="M136:M144" si="36">ROUND((L136/$E$1),0)</f>
        <v>4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16</v>
      </c>
      <c r="H137" s="42">
        <v>15</v>
      </c>
      <c r="I137" s="42">
        <v>16</v>
      </c>
      <c r="J137" s="42">
        <v>12</v>
      </c>
      <c r="K137" s="42">
        <v>14</v>
      </c>
      <c r="L137" s="35">
        <f t="shared" ref="L137:L144" si="37">SUM(G137:K137)</f>
        <v>73</v>
      </c>
      <c r="M137" s="35">
        <f t="shared" si="36"/>
        <v>15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14</v>
      </c>
      <c r="H138" s="42">
        <v>15</v>
      </c>
      <c r="I138" s="42">
        <v>12</v>
      </c>
      <c r="J138" s="42">
        <v>8</v>
      </c>
      <c r="K138" s="42">
        <v>13</v>
      </c>
      <c r="L138" s="35">
        <f t="shared" si="37"/>
        <v>62</v>
      </c>
      <c r="M138" s="35">
        <f t="shared" si="36"/>
        <v>12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29</v>
      </c>
      <c r="H139" s="43">
        <v>28</v>
      </c>
      <c r="I139" s="43">
        <v>29</v>
      </c>
      <c r="J139" s="43">
        <v>10</v>
      </c>
      <c r="K139" s="43">
        <v>21</v>
      </c>
      <c r="L139" s="31">
        <f t="shared" si="37"/>
        <v>117</v>
      </c>
      <c r="M139" s="31">
        <f t="shared" si="36"/>
        <v>23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>
        <v>1</v>
      </c>
      <c r="H142" s="42">
        <v>2</v>
      </c>
      <c r="I142" s="42">
        <v>1</v>
      </c>
      <c r="J142" s="42"/>
      <c r="K142" s="42">
        <v>1</v>
      </c>
      <c r="L142" s="35">
        <f t="shared" si="37"/>
        <v>5</v>
      </c>
      <c r="M142" s="35">
        <f t="shared" si="36"/>
        <v>1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/>
      <c r="H143" s="42">
        <v>180</v>
      </c>
      <c r="I143" s="42">
        <v>128</v>
      </c>
      <c r="J143" s="42">
        <v>128</v>
      </c>
      <c r="K143" s="42">
        <v>128</v>
      </c>
      <c r="L143" s="35">
        <f t="shared" si="37"/>
        <v>564</v>
      </c>
      <c r="M143" s="35">
        <f t="shared" si="36"/>
        <v>113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2024</v>
      </c>
      <c r="H147" s="10">
        <f>+G147</f>
        <v>2024</v>
      </c>
      <c r="I147" s="10">
        <f t="shared" ref="I147:M148" si="38">+H147</f>
        <v>2024</v>
      </c>
      <c r="J147" s="10">
        <f t="shared" si="38"/>
        <v>2024</v>
      </c>
      <c r="K147" s="10">
        <f t="shared" si="38"/>
        <v>2024</v>
      </c>
      <c r="L147" s="10">
        <f t="shared" si="38"/>
        <v>2024</v>
      </c>
      <c r="M147" s="10">
        <f t="shared" si="38"/>
        <v>2024</v>
      </c>
      <c r="N147" s="11"/>
      <c r="O147" s="44"/>
      <c r="P147" s="44"/>
      <c r="Q147" s="44"/>
      <c r="S147" s="12" t="str">
        <f>+C147</f>
        <v>Msahweni CLC</v>
      </c>
      <c r="T147" s="13">
        <f>+L151</f>
        <v>529</v>
      </c>
      <c r="U147" s="13">
        <f>+L152+L153</f>
        <v>196</v>
      </c>
      <c r="V147" s="13">
        <f>+L154+L155</f>
        <v>333</v>
      </c>
      <c r="W147" s="13">
        <f>+L158</f>
        <v>8</v>
      </c>
      <c r="X147" s="13">
        <f>+L156</f>
        <v>0</v>
      </c>
    </row>
    <row r="148" spans="1:24" x14ac:dyDescent="0.25">
      <c r="A148" s="14"/>
      <c r="B148" s="15"/>
      <c r="C148" s="41" t="str">
        <f>+$C132</f>
        <v>September 2024</v>
      </c>
      <c r="D148" s="18"/>
      <c r="E148" s="18"/>
      <c r="F148" s="18"/>
      <c r="G148" s="20" t="str">
        <f>+$G$4</f>
        <v>Sep</v>
      </c>
      <c r="H148" s="20" t="str">
        <f>+G148</f>
        <v>Sep</v>
      </c>
      <c r="I148" s="20" t="str">
        <f t="shared" si="38"/>
        <v>Sep</v>
      </c>
      <c r="J148" s="20" t="str">
        <f t="shared" si="38"/>
        <v>Sep</v>
      </c>
      <c r="K148" s="20" t="str">
        <f t="shared" si="38"/>
        <v>Sep</v>
      </c>
      <c r="L148" s="20" t="str">
        <f t="shared" si="38"/>
        <v>Sep</v>
      </c>
      <c r="M148" s="20" t="str">
        <f t="shared" si="38"/>
        <v>Sep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1</v>
      </c>
      <c r="H149" s="25">
        <f>+$H$5</f>
        <v>8</v>
      </c>
      <c r="I149" s="25">
        <f>+$I$5</f>
        <v>15</v>
      </c>
      <c r="J149" s="25">
        <f>+$J$5</f>
        <v>22</v>
      </c>
      <c r="K149" s="25">
        <f>+$K$5</f>
        <v>29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105</v>
      </c>
      <c r="H151" s="31">
        <f t="shared" ref="H151:L151" si="39">SUM(H152:H155)</f>
        <v>92</v>
      </c>
      <c r="I151" s="31">
        <f t="shared" si="39"/>
        <v>124</v>
      </c>
      <c r="J151" s="31">
        <f t="shared" si="39"/>
        <v>99</v>
      </c>
      <c r="K151" s="31">
        <f t="shared" si="39"/>
        <v>109</v>
      </c>
      <c r="L151" s="31">
        <f t="shared" si="39"/>
        <v>529</v>
      </c>
      <c r="M151" s="31">
        <f>ROUND((L151/$E$1),0)</f>
        <v>106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5</v>
      </c>
      <c r="H152" s="42">
        <v>8</v>
      </c>
      <c r="I152" s="42">
        <v>8</v>
      </c>
      <c r="J152" s="42">
        <v>8</v>
      </c>
      <c r="K152" s="42">
        <v>9</v>
      </c>
      <c r="L152" s="35">
        <f>SUM(G152:K152)</f>
        <v>38</v>
      </c>
      <c r="M152" s="35">
        <f t="shared" ref="M152:M160" si="40">ROUND((L152/$E$1),0)</f>
        <v>8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29</v>
      </c>
      <c r="H153" s="42">
        <v>30</v>
      </c>
      <c r="I153" s="42">
        <v>31</v>
      </c>
      <c r="J153" s="42">
        <v>32</v>
      </c>
      <c r="K153" s="42">
        <v>36</v>
      </c>
      <c r="L153" s="35">
        <f t="shared" ref="L153:L160" si="41">SUM(G153:K153)</f>
        <v>158</v>
      </c>
      <c r="M153" s="35">
        <f t="shared" si="40"/>
        <v>32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38</v>
      </c>
      <c r="H154" s="42">
        <v>15</v>
      </c>
      <c r="I154" s="42">
        <v>45</v>
      </c>
      <c r="J154" s="42">
        <v>19</v>
      </c>
      <c r="K154" s="42">
        <v>25</v>
      </c>
      <c r="L154" s="35">
        <f t="shared" si="41"/>
        <v>142</v>
      </c>
      <c r="M154" s="35">
        <f t="shared" si="40"/>
        <v>28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33</v>
      </c>
      <c r="H155" s="43">
        <v>39</v>
      </c>
      <c r="I155" s="43">
        <v>40</v>
      </c>
      <c r="J155" s="43">
        <v>40</v>
      </c>
      <c r="K155" s="43">
        <v>39</v>
      </c>
      <c r="L155" s="31">
        <f t="shared" si="41"/>
        <v>191</v>
      </c>
      <c r="M155" s="31">
        <f t="shared" si="40"/>
        <v>38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/>
      <c r="K156" s="42"/>
      <c r="L156" s="35">
        <f t="shared" si="41"/>
        <v>0</v>
      </c>
      <c r="M156" s="35">
        <f t="shared" si="40"/>
        <v>0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2</v>
      </c>
      <c r="H158" s="42">
        <v>2</v>
      </c>
      <c r="I158" s="42">
        <v>1</v>
      </c>
      <c r="J158" s="42">
        <v>2</v>
      </c>
      <c r="K158" s="42">
        <v>1</v>
      </c>
      <c r="L158" s="35">
        <f t="shared" si="41"/>
        <v>8</v>
      </c>
      <c r="M158" s="35">
        <f t="shared" si="40"/>
        <v>2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23</v>
      </c>
      <c r="H159" s="42">
        <v>13</v>
      </c>
      <c r="I159" s="42">
        <v>12</v>
      </c>
      <c r="J159" s="42">
        <v>12</v>
      </c>
      <c r="K159" s="42">
        <v>8</v>
      </c>
      <c r="L159" s="35">
        <f t="shared" si="41"/>
        <v>68</v>
      </c>
      <c r="M159" s="35">
        <f t="shared" si="40"/>
        <v>14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2024</v>
      </c>
      <c r="H163" s="10">
        <f>+G163</f>
        <v>2024</v>
      </c>
      <c r="I163" s="10">
        <f t="shared" ref="I163:M164" si="42">+H163</f>
        <v>2024</v>
      </c>
      <c r="J163" s="10">
        <f t="shared" si="42"/>
        <v>2024</v>
      </c>
      <c r="K163" s="10">
        <f t="shared" si="42"/>
        <v>2024</v>
      </c>
      <c r="L163" s="10">
        <f t="shared" si="42"/>
        <v>2024</v>
      </c>
      <c r="M163" s="10">
        <f t="shared" si="42"/>
        <v>2024</v>
      </c>
      <c r="N163" s="11"/>
      <c r="O163" s="44"/>
      <c r="P163" s="44"/>
      <c r="Q163" s="44"/>
      <c r="S163" s="12" t="str">
        <f>+C163</f>
        <v>Mhlangatane</v>
      </c>
      <c r="T163" s="13">
        <f>+L167</f>
        <v>175</v>
      </c>
      <c r="U163" s="13">
        <f>+L168+L169</f>
        <v>49</v>
      </c>
      <c r="V163" s="13">
        <f>+L170+L171</f>
        <v>126</v>
      </c>
      <c r="W163" s="13">
        <f>+L174</f>
        <v>11</v>
      </c>
      <c r="X163" s="13">
        <f>+L172</f>
        <v>0</v>
      </c>
    </row>
    <row r="164" spans="1:24" x14ac:dyDescent="0.25">
      <c r="A164" s="14"/>
      <c r="B164" s="15"/>
      <c r="C164" s="41" t="str">
        <f>+$C148</f>
        <v>September 2024</v>
      </c>
      <c r="D164" s="18"/>
      <c r="E164" s="18"/>
      <c r="F164" s="18"/>
      <c r="G164" s="20" t="str">
        <f>+$G$4</f>
        <v>Sep</v>
      </c>
      <c r="H164" s="20" t="str">
        <f>+G164</f>
        <v>Sep</v>
      </c>
      <c r="I164" s="20" t="str">
        <f t="shared" si="42"/>
        <v>Sep</v>
      </c>
      <c r="J164" s="20" t="str">
        <f t="shared" si="42"/>
        <v>Sep</v>
      </c>
      <c r="K164" s="20" t="str">
        <f t="shared" si="42"/>
        <v>Sep</v>
      </c>
      <c r="L164" s="20" t="str">
        <f t="shared" si="42"/>
        <v>Sep</v>
      </c>
      <c r="M164" s="20" t="str">
        <f t="shared" si="42"/>
        <v>Sep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1</v>
      </c>
      <c r="H165" s="25">
        <f>+$H$5</f>
        <v>8</v>
      </c>
      <c r="I165" s="25">
        <f>+$I$5</f>
        <v>15</v>
      </c>
      <c r="J165" s="25">
        <f>+$J$5</f>
        <v>22</v>
      </c>
      <c r="K165" s="25">
        <f>+$K$5</f>
        <v>29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36</v>
      </c>
      <c r="H167" s="31">
        <f t="shared" ref="H167:L167" si="43">SUM(H168:H171)</f>
        <v>42</v>
      </c>
      <c r="I167" s="31">
        <f t="shared" si="43"/>
        <v>42</v>
      </c>
      <c r="J167" s="31">
        <f t="shared" si="43"/>
        <v>23</v>
      </c>
      <c r="K167" s="31">
        <f t="shared" si="43"/>
        <v>32</v>
      </c>
      <c r="L167" s="31">
        <f t="shared" si="43"/>
        <v>175</v>
      </c>
      <c r="M167" s="31">
        <f>ROUND((L167/$E$1),0)</f>
        <v>35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1</v>
      </c>
      <c r="H168" s="42">
        <v>2</v>
      </c>
      <c r="I168" s="42">
        <v>3</v>
      </c>
      <c r="J168" s="42">
        <v>2</v>
      </c>
      <c r="K168" s="42">
        <v>2</v>
      </c>
      <c r="L168" s="35">
        <f>SUM(G168:K168)</f>
        <v>10</v>
      </c>
      <c r="M168" s="35">
        <f t="shared" ref="M168:M176" si="44">ROUND((L168/$E$1),0)</f>
        <v>2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10</v>
      </c>
      <c r="H169" s="42">
        <v>8</v>
      </c>
      <c r="I169" s="42">
        <v>10</v>
      </c>
      <c r="J169" s="42">
        <v>4</v>
      </c>
      <c r="K169" s="42">
        <v>7</v>
      </c>
      <c r="L169" s="35">
        <f t="shared" ref="L169:L176" si="45">SUM(G169:K169)</f>
        <v>39</v>
      </c>
      <c r="M169" s="35">
        <f t="shared" si="44"/>
        <v>8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5</v>
      </c>
      <c r="H170" s="42">
        <v>4</v>
      </c>
      <c r="I170" s="42">
        <v>8</v>
      </c>
      <c r="J170" s="42">
        <v>3</v>
      </c>
      <c r="K170" s="42">
        <v>6</v>
      </c>
      <c r="L170" s="35">
        <f t="shared" si="45"/>
        <v>26</v>
      </c>
      <c r="M170" s="35">
        <f t="shared" si="44"/>
        <v>5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20</v>
      </c>
      <c r="H171" s="43">
        <v>28</v>
      </c>
      <c r="I171" s="43">
        <v>21</v>
      </c>
      <c r="J171" s="43">
        <v>14</v>
      </c>
      <c r="K171" s="43">
        <v>17</v>
      </c>
      <c r="L171" s="31">
        <f t="shared" si="45"/>
        <v>100</v>
      </c>
      <c r="M171" s="31">
        <f t="shared" si="44"/>
        <v>20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2</v>
      </c>
      <c r="H174" s="42">
        <v>2</v>
      </c>
      <c r="I174" s="42">
        <v>1</v>
      </c>
      <c r="J174" s="42">
        <v>4</v>
      </c>
      <c r="K174" s="42">
        <v>2</v>
      </c>
      <c r="L174" s="35">
        <f t="shared" si="45"/>
        <v>11</v>
      </c>
      <c r="M174" s="35">
        <f t="shared" si="44"/>
        <v>2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79</v>
      </c>
      <c r="H175" s="42">
        <v>180</v>
      </c>
      <c r="I175" s="42">
        <v>144</v>
      </c>
      <c r="J175" s="42">
        <v>100</v>
      </c>
      <c r="K175" s="42">
        <v>145</v>
      </c>
      <c r="L175" s="35">
        <f t="shared" si="45"/>
        <v>648</v>
      </c>
      <c r="M175" s="35">
        <f t="shared" si="44"/>
        <v>130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2024</v>
      </c>
      <c r="H179" s="10">
        <f>+G179</f>
        <v>2024</v>
      </c>
      <c r="I179" s="10">
        <f t="shared" ref="I179:M180" si="46">+H179</f>
        <v>2024</v>
      </c>
      <c r="J179" s="10">
        <f t="shared" si="46"/>
        <v>2024</v>
      </c>
      <c r="K179" s="10">
        <f t="shared" si="46"/>
        <v>2024</v>
      </c>
      <c r="L179" s="10">
        <f t="shared" si="46"/>
        <v>2024</v>
      </c>
      <c r="M179" s="10">
        <f t="shared" si="46"/>
        <v>2024</v>
      </c>
      <c r="N179" s="11"/>
      <c r="O179" s="44"/>
      <c r="P179" s="44"/>
      <c r="Q179" s="44"/>
      <c r="S179" s="12" t="str">
        <f>+C179</f>
        <v>Tibane</v>
      </c>
      <c r="T179" s="13">
        <f>+L183</f>
        <v>369</v>
      </c>
      <c r="U179" s="13">
        <f>+L184+L185</f>
        <v>76</v>
      </c>
      <c r="V179" s="13">
        <f>+L186+L187</f>
        <v>293</v>
      </c>
      <c r="W179" s="13">
        <f>+L190</f>
        <v>54</v>
      </c>
      <c r="X179" s="13">
        <f>+L188</f>
        <v>7</v>
      </c>
    </row>
    <row r="180" spans="1:24" x14ac:dyDescent="0.25">
      <c r="A180" s="14"/>
      <c r="B180" s="15"/>
      <c r="C180" s="41" t="str">
        <f>+$C164</f>
        <v>September 2024</v>
      </c>
      <c r="D180" s="18"/>
      <c r="E180" s="18"/>
      <c r="F180" s="18"/>
      <c r="G180" s="20" t="str">
        <f>+$G$4</f>
        <v>Sep</v>
      </c>
      <c r="H180" s="20" t="str">
        <f>+G180</f>
        <v>Sep</v>
      </c>
      <c r="I180" s="20" t="str">
        <f t="shared" si="46"/>
        <v>Sep</v>
      </c>
      <c r="J180" s="20" t="str">
        <f t="shared" si="46"/>
        <v>Sep</v>
      </c>
      <c r="K180" s="20" t="str">
        <f t="shared" si="46"/>
        <v>Sep</v>
      </c>
      <c r="L180" s="20" t="str">
        <f t="shared" si="46"/>
        <v>Sep</v>
      </c>
      <c r="M180" s="20" t="str">
        <f t="shared" si="46"/>
        <v>Sep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1</v>
      </c>
      <c r="H181" s="25">
        <f>+$H$5</f>
        <v>8</v>
      </c>
      <c r="I181" s="25">
        <f>+$I$5</f>
        <v>15</v>
      </c>
      <c r="J181" s="25">
        <f>+$J$5</f>
        <v>22</v>
      </c>
      <c r="K181" s="25">
        <f>+$K$5</f>
        <v>29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83</v>
      </c>
      <c r="H183" s="31">
        <f t="shared" ref="H183:L183" si="47">SUM(H184:H187)</f>
        <v>67</v>
      </c>
      <c r="I183" s="31">
        <f t="shared" si="47"/>
        <v>73</v>
      </c>
      <c r="J183" s="31">
        <f t="shared" si="47"/>
        <v>72</v>
      </c>
      <c r="K183" s="31">
        <f t="shared" si="47"/>
        <v>74</v>
      </c>
      <c r="L183" s="31">
        <f t="shared" si="47"/>
        <v>369</v>
      </c>
      <c r="M183" s="31">
        <f>ROUND((L183/$E$1),0)</f>
        <v>74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3</v>
      </c>
      <c r="H184" s="42">
        <v>2</v>
      </c>
      <c r="I184" s="42">
        <v>2</v>
      </c>
      <c r="J184" s="42">
        <v>2</v>
      </c>
      <c r="K184" s="42">
        <v>2</v>
      </c>
      <c r="L184" s="35">
        <f>SUM(G184:K184)</f>
        <v>11</v>
      </c>
      <c r="M184" s="35">
        <f t="shared" ref="M184:M192" si="48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14</v>
      </c>
      <c r="H185" s="42">
        <v>12</v>
      </c>
      <c r="I185" s="42">
        <v>14</v>
      </c>
      <c r="J185" s="42">
        <v>13</v>
      </c>
      <c r="K185" s="42">
        <v>12</v>
      </c>
      <c r="L185" s="35">
        <f t="shared" ref="L185:L192" si="49">SUM(G185:K185)</f>
        <v>65</v>
      </c>
      <c r="M185" s="35">
        <f t="shared" si="48"/>
        <v>13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18</v>
      </c>
      <c r="H186" s="42">
        <v>18</v>
      </c>
      <c r="I186" s="42">
        <v>19</v>
      </c>
      <c r="J186" s="42">
        <v>18</v>
      </c>
      <c r="K186" s="42">
        <v>20</v>
      </c>
      <c r="L186" s="35">
        <f t="shared" si="49"/>
        <v>93</v>
      </c>
      <c r="M186" s="35">
        <f t="shared" si="48"/>
        <v>19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48</v>
      </c>
      <c r="H187" s="43">
        <v>35</v>
      </c>
      <c r="I187" s="43">
        <v>38</v>
      </c>
      <c r="J187" s="43">
        <v>39</v>
      </c>
      <c r="K187" s="43">
        <v>40</v>
      </c>
      <c r="L187" s="31">
        <f t="shared" si="49"/>
        <v>200</v>
      </c>
      <c r="M187" s="31">
        <f t="shared" si="48"/>
        <v>40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>
        <v>2</v>
      </c>
      <c r="H188" s="42">
        <v>1</v>
      </c>
      <c r="I188" s="42">
        <v>1</v>
      </c>
      <c r="J188" s="42">
        <v>1</v>
      </c>
      <c r="K188" s="42">
        <v>2</v>
      </c>
      <c r="L188" s="35">
        <f t="shared" si="49"/>
        <v>7</v>
      </c>
      <c r="M188" s="35">
        <f t="shared" si="48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16</v>
      </c>
      <c r="H190" s="42">
        <v>14</v>
      </c>
      <c r="I190" s="42">
        <v>8</v>
      </c>
      <c r="J190" s="42">
        <v>11</v>
      </c>
      <c r="K190" s="42">
        <v>5</v>
      </c>
      <c r="L190" s="35">
        <f t="shared" si="49"/>
        <v>54</v>
      </c>
      <c r="M190" s="35">
        <f t="shared" si="48"/>
        <v>11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108</v>
      </c>
      <c r="H191" s="42">
        <v>108</v>
      </c>
      <c r="I191" s="42">
        <v>96</v>
      </c>
      <c r="J191" s="42">
        <v>96</v>
      </c>
      <c r="K191" s="42">
        <v>64</v>
      </c>
      <c r="L191" s="35">
        <f t="shared" si="49"/>
        <v>472</v>
      </c>
      <c r="M191" s="35">
        <f t="shared" si="48"/>
        <v>94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2024</v>
      </c>
      <c r="H195" s="10">
        <f>+G195</f>
        <v>2024</v>
      </c>
      <c r="I195" s="10">
        <f t="shared" ref="I195:M196" si="50">+H195</f>
        <v>2024</v>
      </c>
      <c r="J195" s="10">
        <f t="shared" si="50"/>
        <v>2024</v>
      </c>
      <c r="K195" s="10">
        <f t="shared" si="50"/>
        <v>2024</v>
      </c>
      <c r="L195" s="10">
        <f t="shared" si="50"/>
        <v>2024</v>
      </c>
      <c r="M195" s="10">
        <f t="shared" si="50"/>
        <v>2024</v>
      </c>
      <c r="N195" s="11"/>
      <c r="O195" s="44"/>
      <c r="P195" s="44"/>
      <c r="Q195" s="44"/>
      <c r="S195" s="12" t="str">
        <f>+C195</f>
        <v>Nyathela</v>
      </c>
      <c r="T195" s="13">
        <f>+L199</f>
        <v>282</v>
      </c>
      <c r="U195" s="13">
        <f>+L200+L201</f>
        <v>60</v>
      </c>
      <c r="V195" s="13">
        <f>+L202+L203</f>
        <v>222</v>
      </c>
      <c r="W195" s="13">
        <f>+L206</f>
        <v>14</v>
      </c>
      <c r="X195" s="13">
        <f>+L204</f>
        <v>1</v>
      </c>
    </row>
    <row r="196" spans="1:24" x14ac:dyDescent="0.25">
      <c r="A196" s="14"/>
      <c r="B196" s="15"/>
      <c r="C196" s="41" t="str">
        <f>+$C180</f>
        <v>September 2024</v>
      </c>
      <c r="D196" s="18"/>
      <c r="E196" s="18"/>
      <c r="F196" s="18"/>
      <c r="G196" s="20" t="str">
        <f>+$G$4</f>
        <v>Sep</v>
      </c>
      <c r="H196" s="20" t="str">
        <f>+G196</f>
        <v>Sep</v>
      </c>
      <c r="I196" s="20" t="str">
        <f t="shared" si="50"/>
        <v>Sep</v>
      </c>
      <c r="J196" s="20" t="str">
        <f t="shared" si="50"/>
        <v>Sep</v>
      </c>
      <c r="K196" s="20" t="str">
        <f t="shared" si="50"/>
        <v>Sep</v>
      </c>
      <c r="L196" s="20" t="str">
        <f t="shared" si="50"/>
        <v>Sep</v>
      </c>
      <c r="M196" s="20" t="str">
        <f t="shared" si="50"/>
        <v>Sep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1</v>
      </c>
      <c r="H197" s="25">
        <f>+$H$5</f>
        <v>8</v>
      </c>
      <c r="I197" s="25">
        <f>+$I$5</f>
        <v>15</v>
      </c>
      <c r="J197" s="25">
        <f>+$J$5</f>
        <v>22</v>
      </c>
      <c r="K197" s="25">
        <f>+$K$5</f>
        <v>29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67</v>
      </c>
      <c r="H199" s="31">
        <f t="shared" ref="H199:L199" si="51">SUM(H200:H203)</f>
        <v>54</v>
      </c>
      <c r="I199" s="31">
        <f t="shared" si="51"/>
        <v>64</v>
      </c>
      <c r="J199" s="31">
        <f t="shared" si="51"/>
        <v>40</v>
      </c>
      <c r="K199" s="31">
        <f t="shared" si="51"/>
        <v>57</v>
      </c>
      <c r="L199" s="31">
        <f t="shared" si="51"/>
        <v>282</v>
      </c>
      <c r="M199" s="31">
        <f>ROUND((L199/$E$1),0)</f>
        <v>56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3</v>
      </c>
      <c r="H200" s="42">
        <v>3</v>
      </c>
      <c r="I200" s="42">
        <v>4</v>
      </c>
      <c r="J200" s="42">
        <v>3</v>
      </c>
      <c r="K200" s="42">
        <v>3</v>
      </c>
      <c r="L200" s="35">
        <f>SUM(G200:K200)</f>
        <v>16</v>
      </c>
      <c r="M200" s="35">
        <f t="shared" ref="M200:M208" si="52">ROUND((L200/$E$1),0)</f>
        <v>3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12</v>
      </c>
      <c r="H201" s="42">
        <v>8</v>
      </c>
      <c r="I201" s="42">
        <v>9</v>
      </c>
      <c r="J201" s="42">
        <v>7</v>
      </c>
      <c r="K201" s="42">
        <v>8</v>
      </c>
      <c r="L201" s="35">
        <f t="shared" ref="L201:L208" si="53">SUM(G201:K201)</f>
        <v>44</v>
      </c>
      <c r="M201" s="35">
        <f t="shared" si="52"/>
        <v>9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23</v>
      </c>
      <c r="H202" s="42">
        <v>19</v>
      </c>
      <c r="I202" s="42">
        <v>22</v>
      </c>
      <c r="J202" s="42">
        <v>17</v>
      </c>
      <c r="K202" s="42">
        <v>19</v>
      </c>
      <c r="L202" s="35">
        <f t="shared" si="53"/>
        <v>100</v>
      </c>
      <c r="M202" s="35">
        <f t="shared" si="52"/>
        <v>20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29</v>
      </c>
      <c r="H203" s="43">
        <v>24</v>
      </c>
      <c r="I203" s="43">
        <v>29</v>
      </c>
      <c r="J203" s="43">
        <v>13</v>
      </c>
      <c r="K203" s="43">
        <v>27</v>
      </c>
      <c r="L203" s="31">
        <f t="shared" si="53"/>
        <v>122</v>
      </c>
      <c r="M203" s="31">
        <f t="shared" si="52"/>
        <v>24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>
        <v>1</v>
      </c>
      <c r="H204" s="42"/>
      <c r="I204" s="42"/>
      <c r="J204" s="42"/>
      <c r="K204" s="42"/>
      <c r="L204" s="35">
        <f t="shared" si="53"/>
        <v>1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4</v>
      </c>
      <c r="H206" s="42">
        <v>3</v>
      </c>
      <c r="I206" s="42">
        <v>3</v>
      </c>
      <c r="J206" s="42">
        <v>1</v>
      </c>
      <c r="K206" s="42">
        <v>3</v>
      </c>
      <c r="L206" s="35">
        <f t="shared" si="53"/>
        <v>14</v>
      </c>
      <c r="M206" s="35">
        <f t="shared" si="52"/>
        <v>3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108</v>
      </c>
      <c r="H207" s="42">
        <v>108</v>
      </c>
      <c r="I207" s="42">
        <v>108</v>
      </c>
      <c r="J207" s="42">
        <v>96</v>
      </c>
      <c r="K207" s="42">
        <v>64</v>
      </c>
      <c r="L207" s="35">
        <f t="shared" si="53"/>
        <v>484</v>
      </c>
      <c r="M207" s="35">
        <f t="shared" si="52"/>
        <v>97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2024</v>
      </c>
      <c r="H211" s="10">
        <f>+G211</f>
        <v>2024</v>
      </c>
      <c r="I211" s="10">
        <f t="shared" ref="I211:M212" si="54">+H211</f>
        <v>2024</v>
      </c>
      <c r="J211" s="10">
        <f t="shared" si="54"/>
        <v>2024</v>
      </c>
      <c r="K211" s="10">
        <f t="shared" si="54"/>
        <v>2024</v>
      </c>
      <c r="L211" s="10">
        <f t="shared" si="54"/>
        <v>2024</v>
      </c>
      <c r="M211" s="10">
        <f t="shared" si="54"/>
        <v>2024</v>
      </c>
      <c r="N211" s="11"/>
      <c r="O211" s="44"/>
      <c r="P211" s="44"/>
      <c r="Q211" s="44"/>
      <c r="S211" s="12" t="str">
        <f>+C211</f>
        <v>Mlindazwe</v>
      </c>
      <c r="T211" s="13">
        <f>+L215</f>
        <v>296</v>
      </c>
      <c r="U211" s="13">
        <f>+L216+L217</f>
        <v>42</v>
      </c>
      <c r="V211" s="13">
        <f>+L218+L219</f>
        <v>254</v>
      </c>
      <c r="W211" s="13">
        <f>+L222</f>
        <v>12</v>
      </c>
      <c r="X211" s="13">
        <f>+L220</f>
        <v>0</v>
      </c>
    </row>
    <row r="212" spans="1:24" x14ac:dyDescent="0.25">
      <c r="A212" s="14"/>
      <c r="B212" s="15"/>
      <c r="C212" s="41" t="str">
        <f>+$C196</f>
        <v>September 2024</v>
      </c>
      <c r="D212" s="18"/>
      <c r="E212" s="18"/>
      <c r="F212" s="18"/>
      <c r="G212" s="20" t="str">
        <f>+$G$4</f>
        <v>Sep</v>
      </c>
      <c r="H212" s="20" t="str">
        <f>+G212</f>
        <v>Sep</v>
      </c>
      <c r="I212" s="20" t="str">
        <f t="shared" si="54"/>
        <v>Sep</v>
      </c>
      <c r="J212" s="20" t="str">
        <f t="shared" si="54"/>
        <v>Sep</v>
      </c>
      <c r="K212" s="20" t="str">
        <f t="shared" si="54"/>
        <v>Sep</v>
      </c>
      <c r="L212" s="20" t="str">
        <f t="shared" si="54"/>
        <v>Sep</v>
      </c>
      <c r="M212" s="20" t="str">
        <f t="shared" si="54"/>
        <v>Sep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1</v>
      </c>
      <c r="H213" s="25">
        <f>+$H$5</f>
        <v>8</v>
      </c>
      <c r="I213" s="25">
        <f>+$I$5</f>
        <v>15</v>
      </c>
      <c r="J213" s="25">
        <f>+$J$5</f>
        <v>22</v>
      </c>
      <c r="K213" s="25">
        <f>+$K$5</f>
        <v>29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56</v>
      </c>
      <c r="H215" s="31">
        <f t="shared" ref="H215:L215" si="55">SUM(H216:H219)</f>
        <v>60</v>
      </c>
      <c r="I215" s="31">
        <f t="shared" si="55"/>
        <v>71</v>
      </c>
      <c r="J215" s="31">
        <f t="shared" si="55"/>
        <v>42</v>
      </c>
      <c r="K215" s="31">
        <f t="shared" si="55"/>
        <v>67</v>
      </c>
      <c r="L215" s="31">
        <f t="shared" si="55"/>
        <v>296</v>
      </c>
      <c r="M215" s="31">
        <f>ROUND((L215/$E$1),0)</f>
        <v>59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0</v>
      </c>
      <c r="H216" s="42">
        <v>0</v>
      </c>
      <c r="I216" s="42">
        <v>4</v>
      </c>
      <c r="J216" s="42">
        <v>2</v>
      </c>
      <c r="K216" s="42">
        <v>2</v>
      </c>
      <c r="L216" s="35">
        <f>SUM(G216:K216)</f>
        <v>8</v>
      </c>
      <c r="M216" s="35">
        <f t="shared" ref="M216:M224" si="56">ROUND((L216/$E$1),0)</f>
        <v>2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6</v>
      </c>
      <c r="H217" s="42">
        <v>10</v>
      </c>
      <c r="I217" s="42">
        <v>8</v>
      </c>
      <c r="J217" s="42">
        <v>6</v>
      </c>
      <c r="K217" s="42">
        <v>4</v>
      </c>
      <c r="L217" s="35">
        <f t="shared" ref="L217:L224" si="57">SUM(G217:K217)</f>
        <v>34</v>
      </c>
      <c r="M217" s="35">
        <f t="shared" si="56"/>
        <v>7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15</v>
      </c>
      <c r="H218" s="42">
        <v>14</v>
      </c>
      <c r="I218" s="42">
        <v>18</v>
      </c>
      <c r="J218" s="42">
        <v>13</v>
      </c>
      <c r="K218" s="42">
        <v>15</v>
      </c>
      <c r="L218" s="35">
        <f t="shared" si="57"/>
        <v>75</v>
      </c>
      <c r="M218" s="35">
        <f t="shared" si="56"/>
        <v>15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35</v>
      </c>
      <c r="H219" s="43">
        <v>36</v>
      </c>
      <c r="I219" s="43">
        <v>41</v>
      </c>
      <c r="J219" s="43">
        <v>21</v>
      </c>
      <c r="K219" s="43">
        <v>46</v>
      </c>
      <c r="L219" s="31">
        <f t="shared" si="57"/>
        <v>179</v>
      </c>
      <c r="M219" s="31">
        <f t="shared" si="56"/>
        <v>36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>
        <f t="shared" si="56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2</v>
      </c>
      <c r="H222" s="42">
        <v>3</v>
      </c>
      <c r="I222" s="42"/>
      <c r="J222" s="42">
        <v>3</v>
      </c>
      <c r="K222" s="42">
        <v>4</v>
      </c>
      <c r="L222" s="35">
        <f t="shared" si="57"/>
        <v>12</v>
      </c>
      <c r="M222" s="35">
        <f t="shared" si="56"/>
        <v>2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36</v>
      </c>
      <c r="H223" s="42">
        <v>205</v>
      </c>
      <c r="I223" s="42"/>
      <c r="J223" s="42">
        <v>36</v>
      </c>
      <c r="K223" s="42"/>
      <c r="L223" s="35">
        <f t="shared" si="57"/>
        <v>277</v>
      </c>
      <c r="M223" s="35">
        <f t="shared" si="56"/>
        <v>55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2024</v>
      </c>
      <c r="H227" s="10">
        <f>+G227</f>
        <v>2024</v>
      </c>
      <c r="I227" s="10">
        <f t="shared" ref="I227:M228" si="58">+H227</f>
        <v>2024</v>
      </c>
      <c r="J227" s="10">
        <f t="shared" si="58"/>
        <v>2024</v>
      </c>
      <c r="K227" s="10">
        <f t="shared" si="58"/>
        <v>2024</v>
      </c>
      <c r="L227" s="10">
        <f t="shared" si="58"/>
        <v>2024</v>
      </c>
      <c r="M227" s="10">
        <f t="shared" si="58"/>
        <v>2024</v>
      </c>
      <c r="N227" s="11"/>
      <c r="O227" s="44"/>
      <c r="P227" s="44"/>
      <c r="Q227" s="44"/>
      <c r="S227" s="12" t="str">
        <f>+C227</f>
        <v>Lundzi</v>
      </c>
      <c r="T227" s="13">
        <f>+L231</f>
        <v>353</v>
      </c>
      <c r="U227" s="13">
        <f>+L232+L233</f>
        <v>131</v>
      </c>
      <c r="V227" s="13">
        <f>+L234+L235</f>
        <v>222</v>
      </c>
      <c r="W227" s="13">
        <f>+L238</f>
        <v>6</v>
      </c>
      <c r="X227" s="13">
        <f>+L236</f>
        <v>15</v>
      </c>
    </row>
    <row r="228" spans="1:24" x14ac:dyDescent="0.25">
      <c r="A228" s="14"/>
      <c r="B228" s="15"/>
      <c r="C228" s="41" t="str">
        <f>+$C212</f>
        <v>September 2024</v>
      </c>
      <c r="D228" s="18"/>
      <c r="E228" s="18"/>
      <c r="F228" s="18"/>
      <c r="G228" s="20" t="str">
        <f>+$G$4</f>
        <v>Sep</v>
      </c>
      <c r="H228" s="20" t="str">
        <f>+G228</f>
        <v>Sep</v>
      </c>
      <c r="I228" s="20" t="str">
        <f t="shared" si="58"/>
        <v>Sep</v>
      </c>
      <c r="J228" s="20" t="str">
        <f t="shared" si="58"/>
        <v>Sep</v>
      </c>
      <c r="K228" s="20" t="str">
        <f t="shared" si="58"/>
        <v>Sep</v>
      </c>
      <c r="L228" s="20" t="str">
        <f t="shared" si="58"/>
        <v>Sep</v>
      </c>
      <c r="M228" s="20" t="str">
        <f t="shared" si="58"/>
        <v>Sep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1</v>
      </c>
      <c r="H229" s="25">
        <f>+$H$5</f>
        <v>8</v>
      </c>
      <c r="I229" s="25">
        <f>+$I$5</f>
        <v>15</v>
      </c>
      <c r="J229" s="25">
        <f>+$J$5</f>
        <v>22</v>
      </c>
      <c r="K229" s="25">
        <f>+$K$5</f>
        <v>29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56</v>
      </c>
      <c r="H231" s="31">
        <f t="shared" ref="H231:L231" si="59">SUM(H232:H235)</f>
        <v>63</v>
      </c>
      <c r="I231" s="31">
        <f t="shared" si="59"/>
        <v>56</v>
      </c>
      <c r="J231" s="31">
        <f t="shared" si="59"/>
        <v>60</v>
      </c>
      <c r="K231" s="31">
        <f t="shared" si="59"/>
        <v>118</v>
      </c>
      <c r="L231" s="31">
        <f t="shared" si="59"/>
        <v>353</v>
      </c>
      <c r="M231" s="31">
        <f>ROUND((L231/$E$1),0)</f>
        <v>71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8</v>
      </c>
      <c r="H232" s="42">
        <v>9</v>
      </c>
      <c r="I232" s="42">
        <v>8</v>
      </c>
      <c r="J232" s="42">
        <v>10</v>
      </c>
      <c r="K232" s="42">
        <v>16</v>
      </c>
      <c r="L232" s="35">
        <f>SUM(G232:K232)</f>
        <v>51</v>
      </c>
      <c r="M232" s="35">
        <f t="shared" ref="M232:M240" si="60">ROUND((L232/$E$1),0)</f>
        <v>10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15</v>
      </c>
      <c r="H233" s="42">
        <v>11</v>
      </c>
      <c r="I233" s="42">
        <v>15</v>
      </c>
      <c r="J233" s="42">
        <v>13</v>
      </c>
      <c r="K233" s="42">
        <v>26</v>
      </c>
      <c r="L233" s="35">
        <f t="shared" ref="L233:L240" si="61">SUM(G233:K233)</f>
        <v>80</v>
      </c>
      <c r="M233" s="35">
        <f t="shared" si="60"/>
        <v>16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10</v>
      </c>
      <c r="H234" s="42">
        <v>16</v>
      </c>
      <c r="I234" s="42">
        <v>10</v>
      </c>
      <c r="J234" s="42">
        <v>12</v>
      </c>
      <c r="K234" s="42">
        <v>30</v>
      </c>
      <c r="L234" s="35">
        <f t="shared" si="61"/>
        <v>78</v>
      </c>
      <c r="M234" s="35">
        <f t="shared" si="60"/>
        <v>16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23</v>
      </c>
      <c r="H235" s="43">
        <v>27</v>
      </c>
      <c r="I235" s="43">
        <v>23</v>
      </c>
      <c r="J235" s="43">
        <v>25</v>
      </c>
      <c r="K235" s="43">
        <v>46</v>
      </c>
      <c r="L235" s="31">
        <f t="shared" si="61"/>
        <v>144</v>
      </c>
      <c r="M235" s="31">
        <f t="shared" si="60"/>
        <v>29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/>
      <c r="I236" s="42"/>
      <c r="J236" s="42"/>
      <c r="K236" s="42">
        <v>15</v>
      </c>
      <c r="L236" s="35">
        <f t="shared" si="61"/>
        <v>15</v>
      </c>
      <c r="M236" s="35">
        <f t="shared" si="60"/>
        <v>3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>
        <v>3</v>
      </c>
      <c r="H238" s="42"/>
      <c r="I238" s="42">
        <v>3</v>
      </c>
      <c r="J238" s="42"/>
      <c r="K238" s="42"/>
      <c r="L238" s="35">
        <f t="shared" si="61"/>
        <v>6</v>
      </c>
      <c r="M238" s="35">
        <f t="shared" si="60"/>
        <v>1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>
        <f t="shared" si="60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2024</v>
      </c>
      <c r="H243" s="10">
        <f>+G243</f>
        <v>2024</v>
      </c>
      <c r="I243" s="10">
        <f t="shared" ref="I243:M244" si="62">+H243</f>
        <v>2024</v>
      </c>
      <c r="J243" s="10">
        <f t="shared" si="62"/>
        <v>2024</v>
      </c>
      <c r="K243" s="10">
        <f t="shared" si="62"/>
        <v>2024</v>
      </c>
      <c r="L243" s="10">
        <f t="shared" si="62"/>
        <v>2024</v>
      </c>
      <c r="M243" s="10">
        <f t="shared" si="62"/>
        <v>2024</v>
      </c>
      <c r="N243" s="11"/>
      <c r="O243" s="44"/>
      <c r="P243" s="44"/>
      <c r="Q243" s="44"/>
      <c r="S243" s="12" t="str">
        <f>+C243</f>
        <v>Esigcaweni</v>
      </c>
      <c r="T243" s="13">
        <f>+L247</f>
        <v>507</v>
      </c>
      <c r="U243" s="13">
        <f>+L248+L249</f>
        <v>58</v>
      </c>
      <c r="V243" s="13">
        <f>+L250+L251</f>
        <v>449</v>
      </c>
      <c r="W243" s="13">
        <f>+L254</f>
        <v>37</v>
      </c>
      <c r="X243" s="13">
        <f>+L252</f>
        <v>0</v>
      </c>
    </row>
    <row r="244" spans="1:24" x14ac:dyDescent="0.25">
      <c r="A244" s="14"/>
      <c r="B244" s="15"/>
      <c r="C244" s="41" t="str">
        <f>+$C228</f>
        <v>September 2024</v>
      </c>
      <c r="D244" s="18"/>
      <c r="E244" s="18"/>
      <c r="F244" s="18"/>
      <c r="G244" s="20" t="str">
        <f>+$G$4</f>
        <v>Sep</v>
      </c>
      <c r="H244" s="20" t="str">
        <f>+G244</f>
        <v>Sep</v>
      </c>
      <c r="I244" s="20" t="str">
        <f t="shared" si="62"/>
        <v>Sep</v>
      </c>
      <c r="J244" s="20" t="str">
        <f t="shared" si="62"/>
        <v>Sep</v>
      </c>
      <c r="K244" s="20" t="str">
        <f t="shared" si="62"/>
        <v>Sep</v>
      </c>
      <c r="L244" s="20" t="str">
        <f t="shared" si="62"/>
        <v>Sep</v>
      </c>
      <c r="M244" s="20" t="str">
        <f t="shared" si="62"/>
        <v>Sep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1</v>
      </c>
      <c r="H245" s="25">
        <f>+$H$5</f>
        <v>8</v>
      </c>
      <c r="I245" s="25">
        <f>+$I$5</f>
        <v>15</v>
      </c>
      <c r="J245" s="25">
        <f>+$J$5</f>
        <v>22</v>
      </c>
      <c r="K245" s="25">
        <f>+$K$5</f>
        <v>29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101</v>
      </c>
      <c r="H247" s="31">
        <f t="shared" ref="H247:L247" si="63">SUM(H248:H251)</f>
        <v>104</v>
      </c>
      <c r="I247" s="31">
        <f t="shared" si="63"/>
        <v>104</v>
      </c>
      <c r="J247" s="31">
        <f t="shared" si="63"/>
        <v>115</v>
      </c>
      <c r="K247" s="31">
        <f t="shared" si="63"/>
        <v>83</v>
      </c>
      <c r="L247" s="31">
        <f t="shared" si="63"/>
        <v>507</v>
      </c>
      <c r="M247" s="31">
        <f>ROUND((L247/$E$1),0)</f>
        <v>101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4</v>
      </c>
      <c r="H248" s="42">
        <v>4</v>
      </c>
      <c r="I248" s="42">
        <v>5</v>
      </c>
      <c r="J248" s="42">
        <v>6</v>
      </c>
      <c r="K248" s="42">
        <v>4</v>
      </c>
      <c r="L248" s="35">
        <f>SUM(G248:K248)</f>
        <v>23</v>
      </c>
      <c r="M248" s="35">
        <f t="shared" ref="M248:M256" si="64">ROUND((L248/$E$1),0)</f>
        <v>5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7</v>
      </c>
      <c r="H249" s="42">
        <v>5</v>
      </c>
      <c r="I249" s="42">
        <v>7</v>
      </c>
      <c r="J249" s="42">
        <v>10</v>
      </c>
      <c r="K249" s="42">
        <v>6</v>
      </c>
      <c r="L249" s="35">
        <f t="shared" ref="L249:L256" si="65">SUM(G249:K249)</f>
        <v>35</v>
      </c>
      <c r="M249" s="35">
        <f t="shared" si="64"/>
        <v>7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26</v>
      </c>
      <c r="H250" s="42">
        <v>28</v>
      </c>
      <c r="I250" s="42">
        <v>30</v>
      </c>
      <c r="J250" s="42">
        <v>31</v>
      </c>
      <c r="K250" s="42">
        <v>19</v>
      </c>
      <c r="L250" s="35">
        <f t="shared" si="65"/>
        <v>134</v>
      </c>
      <c r="M250" s="35">
        <f t="shared" si="64"/>
        <v>27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64</v>
      </c>
      <c r="H251" s="43">
        <v>67</v>
      </c>
      <c r="I251" s="43">
        <v>62</v>
      </c>
      <c r="J251" s="43">
        <v>68</v>
      </c>
      <c r="K251" s="43">
        <v>54</v>
      </c>
      <c r="L251" s="31">
        <f t="shared" si="65"/>
        <v>315</v>
      </c>
      <c r="M251" s="31">
        <f t="shared" si="64"/>
        <v>63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9</v>
      </c>
      <c r="H254" s="42">
        <v>7</v>
      </c>
      <c r="I254" s="42">
        <v>6</v>
      </c>
      <c r="J254" s="42">
        <v>6</v>
      </c>
      <c r="K254" s="42">
        <v>9</v>
      </c>
      <c r="L254" s="35">
        <f t="shared" si="65"/>
        <v>37</v>
      </c>
      <c r="M254" s="35">
        <f t="shared" si="64"/>
        <v>7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2024</v>
      </c>
      <c r="H259" s="10">
        <f>+G259</f>
        <v>2024</v>
      </c>
      <c r="I259" s="10">
        <f t="shared" ref="I259:M260" si="66">+H259</f>
        <v>2024</v>
      </c>
      <c r="J259" s="10">
        <f t="shared" si="66"/>
        <v>2024</v>
      </c>
      <c r="K259" s="10">
        <f t="shared" si="66"/>
        <v>2024</v>
      </c>
      <c r="L259" s="10">
        <f t="shared" si="66"/>
        <v>2024</v>
      </c>
      <c r="M259" s="10">
        <f t="shared" si="66"/>
        <v>2024</v>
      </c>
      <c r="N259" s="11"/>
      <c r="S259" s="12" t="str">
        <f>+C259</f>
        <v>Lonhlalane</v>
      </c>
      <c r="T259" s="13">
        <f>+L263</f>
        <v>199</v>
      </c>
      <c r="U259" s="13">
        <f>+L264+L265</f>
        <v>22</v>
      </c>
      <c r="V259" s="13">
        <f>+L266+L267</f>
        <v>177</v>
      </c>
      <c r="W259" s="13">
        <f>+L270</f>
        <v>0</v>
      </c>
      <c r="X259" s="13">
        <f>+L268</f>
        <v>0</v>
      </c>
    </row>
    <row r="260" spans="1:24" x14ac:dyDescent="0.25">
      <c r="A260" s="14"/>
      <c r="B260" s="15"/>
      <c r="C260" s="41" t="str">
        <f>+$C244</f>
        <v>September 2024</v>
      </c>
      <c r="D260" s="18"/>
      <c r="E260" s="18"/>
      <c r="F260" s="18"/>
      <c r="G260" s="20" t="str">
        <f>+$G$4</f>
        <v>Sep</v>
      </c>
      <c r="H260" s="20" t="str">
        <f>+G260</f>
        <v>Sep</v>
      </c>
      <c r="I260" s="20" t="str">
        <f t="shared" si="66"/>
        <v>Sep</v>
      </c>
      <c r="J260" s="20" t="str">
        <f t="shared" si="66"/>
        <v>Sep</v>
      </c>
      <c r="K260" s="20" t="str">
        <f t="shared" si="66"/>
        <v>Sep</v>
      </c>
      <c r="L260" s="20" t="str">
        <f t="shared" si="66"/>
        <v>Sep</v>
      </c>
      <c r="M260" s="20" t="str">
        <f t="shared" si="66"/>
        <v>Sep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1</v>
      </c>
      <c r="H261" s="25">
        <f>+$H$5</f>
        <v>8</v>
      </c>
      <c r="I261" s="25">
        <f>+$I$5</f>
        <v>15</v>
      </c>
      <c r="J261" s="25">
        <f>+$J$5</f>
        <v>22</v>
      </c>
      <c r="K261" s="25">
        <f>+$K$5</f>
        <v>29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36</v>
      </c>
      <c r="H263" s="31">
        <f t="shared" ref="H263:L263" si="67">SUM(H264:H267)</f>
        <v>54</v>
      </c>
      <c r="I263" s="31">
        <f t="shared" si="67"/>
        <v>47</v>
      </c>
      <c r="J263" s="31">
        <f t="shared" si="67"/>
        <v>27</v>
      </c>
      <c r="K263" s="31">
        <f t="shared" si="67"/>
        <v>35</v>
      </c>
      <c r="L263" s="31">
        <f t="shared" si="67"/>
        <v>199</v>
      </c>
      <c r="M263" s="31">
        <f>ROUND((L263/$E$1),0)</f>
        <v>40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2</v>
      </c>
      <c r="J264" s="42">
        <v>1</v>
      </c>
      <c r="K264" s="42">
        <v>1</v>
      </c>
      <c r="L264" s="35">
        <f>SUM(G264:K264)</f>
        <v>6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3</v>
      </c>
      <c r="H265" s="42">
        <v>5</v>
      </c>
      <c r="I265" s="42">
        <v>4</v>
      </c>
      <c r="J265" s="42">
        <v>3</v>
      </c>
      <c r="K265" s="42">
        <v>1</v>
      </c>
      <c r="L265" s="35">
        <f t="shared" ref="L265:L272" si="69">SUM(G265:K265)</f>
        <v>16</v>
      </c>
      <c r="M265" s="35">
        <f t="shared" si="68"/>
        <v>3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4</v>
      </c>
      <c r="H266" s="42">
        <v>8</v>
      </c>
      <c r="I266" s="42">
        <v>9</v>
      </c>
      <c r="J266" s="42">
        <v>4</v>
      </c>
      <c r="K266" s="42">
        <v>9</v>
      </c>
      <c r="L266" s="35">
        <f t="shared" si="69"/>
        <v>34</v>
      </c>
      <c r="M266" s="35">
        <f t="shared" si="68"/>
        <v>7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28</v>
      </c>
      <c r="H267" s="43">
        <v>40</v>
      </c>
      <c r="I267" s="43">
        <v>32</v>
      </c>
      <c r="J267" s="43">
        <v>19</v>
      </c>
      <c r="K267" s="43">
        <v>24</v>
      </c>
      <c r="L267" s="31">
        <f t="shared" si="69"/>
        <v>143</v>
      </c>
      <c r="M267" s="31">
        <f t="shared" si="68"/>
        <v>29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/>
      <c r="J270" s="42"/>
      <c r="K270" s="42"/>
      <c r="L270" s="35">
        <f t="shared" si="69"/>
        <v>0</v>
      </c>
      <c r="M270" s="35">
        <f t="shared" si="68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/>
      <c r="H271" s="42"/>
      <c r="I271" s="42">
        <v>64</v>
      </c>
      <c r="J271" s="42">
        <v>64</v>
      </c>
      <c r="K271" s="42">
        <v>96</v>
      </c>
      <c r="L271" s="35">
        <f t="shared" si="69"/>
        <v>224</v>
      </c>
      <c r="M271" s="35">
        <f t="shared" si="68"/>
        <v>45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2024</v>
      </c>
      <c r="H275" s="10">
        <f>+G275</f>
        <v>2024</v>
      </c>
      <c r="I275" s="10">
        <f t="shared" ref="I275:M276" si="70">+H275</f>
        <v>2024</v>
      </c>
      <c r="J275" s="10">
        <f t="shared" si="70"/>
        <v>2024</v>
      </c>
      <c r="K275" s="10">
        <f t="shared" si="70"/>
        <v>2024</v>
      </c>
      <c r="L275" s="10">
        <f t="shared" si="70"/>
        <v>2024</v>
      </c>
      <c r="M275" s="10">
        <f t="shared" si="70"/>
        <v>2024</v>
      </c>
      <c r="N275" s="11"/>
      <c r="S275" s="12" t="str">
        <f>+C275</f>
        <v>Zondwako</v>
      </c>
      <c r="T275" s="13">
        <f>+L279</f>
        <v>278</v>
      </c>
      <c r="U275" s="13">
        <f>+L280+L281</f>
        <v>28</v>
      </c>
      <c r="V275" s="13">
        <f>+L282+L283</f>
        <v>250</v>
      </c>
      <c r="W275" s="13">
        <f>+L286</f>
        <v>2</v>
      </c>
      <c r="X275" s="13">
        <f>+L284</f>
        <v>0</v>
      </c>
    </row>
    <row r="276" spans="1:24" x14ac:dyDescent="0.25">
      <c r="A276" s="14"/>
      <c r="B276" s="15"/>
      <c r="C276" s="41" t="str">
        <f>+$C260</f>
        <v>September 2024</v>
      </c>
      <c r="D276" s="18"/>
      <c r="E276" s="18"/>
      <c r="F276" s="18"/>
      <c r="G276" s="20" t="str">
        <f>+$G$4</f>
        <v>Sep</v>
      </c>
      <c r="H276" s="20" t="str">
        <f>+G276</f>
        <v>Sep</v>
      </c>
      <c r="I276" s="20" t="str">
        <f t="shared" si="70"/>
        <v>Sep</v>
      </c>
      <c r="J276" s="20" t="str">
        <f t="shared" si="70"/>
        <v>Sep</v>
      </c>
      <c r="K276" s="20" t="str">
        <f t="shared" si="70"/>
        <v>Sep</v>
      </c>
      <c r="L276" s="20" t="str">
        <f t="shared" si="70"/>
        <v>Sep</v>
      </c>
      <c r="M276" s="20" t="str">
        <f t="shared" si="70"/>
        <v>Sep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1</v>
      </c>
      <c r="H277" s="25">
        <f>+$H$5</f>
        <v>8</v>
      </c>
      <c r="I277" s="25">
        <f>+$I$5</f>
        <v>15</v>
      </c>
      <c r="J277" s="25">
        <f>+$J$5</f>
        <v>22</v>
      </c>
      <c r="K277" s="25">
        <f>+$K$5</f>
        <v>29</v>
      </c>
      <c r="L277" s="25" t="s">
        <v>6</v>
      </c>
      <c r="M277" s="25" t="s">
        <v>7</v>
      </c>
      <c r="N277" s="26"/>
      <c r="P277" s="1" t="s">
        <v>78</v>
      </c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45</v>
      </c>
      <c r="H279" s="31">
        <f t="shared" ref="H279:L279" si="71">SUM(H280:H283)</f>
        <v>94</v>
      </c>
      <c r="I279" s="31">
        <f t="shared" si="71"/>
        <v>64</v>
      </c>
      <c r="J279" s="31">
        <f t="shared" si="71"/>
        <v>0</v>
      </c>
      <c r="K279" s="31">
        <f t="shared" si="71"/>
        <v>75</v>
      </c>
      <c r="L279" s="31">
        <f t="shared" si="71"/>
        <v>278</v>
      </c>
      <c r="M279" s="31">
        <f>ROUND((L279/$E$1),0)</f>
        <v>56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1</v>
      </c>
      <c r="H280" s="42">
        <v>5</v>
      </c>
      <c r="I280" s="42">
        <v>2</v>
      </c>
      <c r="J280" s="42"/>
      <c r="K280" s="42">
        <v>2</v>
      </c>
      <c r="L280" s="35">
        <f>SUM(G280:K280)</f>
        <v>10</v>
      </c>
      <c r="M280" s="35">
        <f t="shared" ref="M280:M288" si="72">ROUND((L280/$E$1),0)</f>
        <v>2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3</v>
      </c>
      <c r="H281" s="42">
        <v>5</v>
      </c>
      <c r="I281" s="42">
        <v>4</v>
      </c>
      <c r="J281" s="42"/>
      <c r="K281" s="42">
        <v>6</v>
      </c>
      <c r="L281" s="35">
        <f t="shared" ref="L281:L288" si="73">SUM(G281:K281)</f>
        <v>18</v>
      </c>
      <c r="M281" s="35">
        <f t="shared" si="72"/>
        <v>4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9</v>
      </c>
      <c r="H282" s="42">
        <v>27</v>
      </c>
      <c r="I282" s="42">
        <v>11</v>
      </c>
      <c r="J282" s="42"/>
      <c r="K282" s="42">
        <v>15</v>
      </c>
      <c r="L282" s="35">
        <f t="shared" si="73"/>
        <v>62</v>
      </c>
      <c r="M282" s="35">
        <f t="shared" si="72"/>
        <v>12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32</v>
      </c>
      <c r="H283" s="43">
        <v>57</v>
      </c>
      <c r="I283" s="43">
        <v>47</v>
      </c>
      <c r="J283" s="43"/>
      <c r="K283" s="43">
        <v>52</v>
      </c>
      <c r="L283" s="31">
        <f t="shared" si="73"/>
        <v>188</v>
      </c>
      <c r="M283" s="31">
        <f t="shared" si="72"/>
        <v>38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>
        <v>1</v>
      </c>
      <c r="H286" s="42">
        <v>1</v>
      </c>
      <c r="I286" s="42"/>
      <c r="J286" s="42"/>
      <c r="K286" s="42"/>
      <c r="L286" s="35">
        <f t="shared" si="73"/>
        <v>2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2024</v>
      </c>
      <c r="H291" s="10">
        <f>+G291</f>
        <v>2024</v>
      </c>
      <c r="I291" s="10">
        <f t="shared" ref="I291:M292" si="74">+H291</f>
        <v>2024</v>
      </c>
      <c r="J291" s="10">
        <f t="shared" si="74"/>
        <v>2024</v>
      </c>
      <c r="K291" s="10">
        <f t="shared" si="74"/>
        <v>2024</v>
      </c>
      <c r="L291" s="10">
        <f t="shared" si="74"/>
        <v>2024</v>
      </c>
      <c r="M291" s="10">
        <f t="shared" si="74"/>
        <v>2024</v>
      </c>
      <c r="N291" s="11"/>
      <c r="S291" s="12" t="str">
        <f>+C291</f>
        <v>Mangcongco</v>
      </c>
      <c r="T291" s="13">
        <f>+L295</f>
        <v>228</v>
      </c>
      <c r="U291" s="13">
        <f>+L296+L297</f>
        <v>31</v>
      </c>
      <c r="V291" s="13">
        <f>+L298+L299</f>
        <v>197</v>
      </c>
      <c r="W291" s="13">
        <f>+L302</f>
        <v>12</v>
      </c>
      <c r="X291" s="13">
        <f>+L300</f>
        <v>0</v>
      </c>
    </row>
    <row r="292" spans="1:24" x14ac:dyDescent="0.25">
      <c r="A292" s="14"/>
      <c r="B292" s="15"/>
      <c r="C292" s="41" t="str">
        <f>+$C276</f>
        <v>September 2024</v>
      </c>
      <c r="D292" s="18"/>
      <c r="E292" s="18"/>
      <c r="F292" s="18"/>
      <c r="G292" s="20" t="str">
        <f>+$G$4</f>
        <v>Sep</v>
      </c>
      <c r="H292" s="20" t="str">
        <f>+G292</f>
        <v>Sep</v>
      </c>
      <c r="I292" s="20" t="str">
        <f t="shared" si="74"/>
        <v>Sep</v>
      </c>
      <c r="J292" s="20" t="str">
        <f t="shared" si="74"/>
        <v>Sep</v>
      </c>
      <c r="K292" s="20" t="str">
        <f t="shared" si="74"/>
        <v>Sep</v>
      </c>
      <c r="L292" s="20" t="str">
        <f t="shared" si="74"/>
        <v>Sep</v>
      </c>
      <c r="M292" s="20" t="str">
        <f t="shared" si="74"/>
        <v>Sep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1</v>
      </c>
      <c r="H293" s="25">
        <f>+$H$5</f>
        <v>8</v>
      </c>
      <c r="I293" s="25">
        <f>+$I$5</f>
        <v>15</v>
      </c>
      <c r="J293" s="25">
        <f>+$J$5</f>
        <v>22</v>
      </c>
      <c r="K293" s="25">
        <f>+$K$5</f>
        <v>29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50</v>
      </c>
      <c r="H295" s="31">
        <f t="shared" ref="H295:L295" si="75">SUM(H296:H299)</f>
        <v>60</v>
      </c>
      <c r="I295" s="31">
        <f t="shared" si="75"/>
        <v>50</v>
      </c>
      <c r="J295" s="31">
        <f t="shared" si="75"/>
        <v>17</v>
      </c>
      <c r="K295" s="31">
        <f t="shared" si="75"/>
        <v>51</v>
      </c>
      <c r="L295" s="31">
        <f t="shared" si="75"/>
        <v>228</v>
      </c>
      <c r="M295" s="31">
        <f>ROUND((L295/$E$1),0)</f>
        <v>46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1</v>
      </c>
      <c r="H296" s="42">
        <v>2</v>
      </c>
      <c r="I296" s="42">
        <v>2</v>
      </c>
      <c r="J296" s="42">
        <v>1</v>
      </c>
      <c r="K296" s="42">
        <v>1</v>
      </c>
      <c r="L296" s="35">
        <f>SUM(G296:K296)</f>
        <v>7</v>
      </c>
      <c r="M296" s="35">
        <f t="shared" ref="M296:M304" si="76">ROUND((L296/$E$1),0)</f>
        <v>1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6</v>
      </c>
      <c r="H297" s="42">
        <v>6</v>
      </c>
      <c r="I297" s="42">
        <v>5</v>
      </c>
      <c r="J297" s="42">
        <v>3</v>
      </c>
      <c r="K297" s="42">
        <v>4</v>
      </c>
      <c r="L297" s="35">
        <f t="shared" ref="L297:L304" si="77">SUM(G297:K297)</f>
        <v>24</v>
      </c>
      <c r="M297" s="35">
        <f t="shared" si="76"/>
        <v>5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24</v>
      </c>
      <c r="H298" s="42">
        <v>21</v>
      </c>
      <c r="I298" s="42">
        <v>20</v>
      </c>
      <c r="J298" s="42">
        <v>8</v>
      </c>
      <c r="K298" s="42">
        <v>17</v>
      </c>
      <c r="L298" s="35">
        <f t="shared" si="77"/>
        <v>90</v>
      </c>
      <c r="M298" s="35">
        <f t="shared" si="76"/>
        <v>18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19</v>
      </c>
      <c r="H299" s="43">
        <v>31</v>
      </c>
      <c r="I299" s="43">
        <v>23</v>
      </c>
      <c r="J299" s="43">
        <v>5</v>
      </c>
      <c r="K299" s="43">
        <v>29</v>
      </c>
      <c r="L299" s="31">
        <f t="shared" si="77"/>
        <v>107</v>
      </c>
      <c r="M299" s="31">
        <f t="shared" si="76"/>
        <v>21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1</v>
      </c>
      <c r="H302" s="42">
        <v>2</v>
      </c>
      <c r="I302" s="42">
        <v>2</v>
      </c>
      <c r="J302" s="42">
        <v>3</v>
      </c>
      <c r="K302" s="42">
        <v>4</v>
      </c>
      <c r="L302" s="35">
        <f t="shared" si="77"/>
        <v>12</v>
      </c>
      <c r="M302" s="35">
        <f t="shared" si="76"/>
        <v>2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>
        <v>320</v>
      </c>
      <c r="J303" s="42"/>
      <c r="K303" s="42"/>
      <c r="L303" s="35">
        <f t="shared" si="77"/>
        <v>320</v>
      </c>
      <c r="M303" s="35">
        <f t="shared" si="76"/>
        <v>64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2024</v>
      </c>
      <c r="H307" s="10">
        <f>+G307</f>
        <v>2024</v>
      </c>
      <c r="I307" s="10">
        <f t="shared" ref="I307:M308" si="78">+H307</f>
        <v>2024</v>
      </c>
      <c r="J307" s="10">
        <f t="shared" si="78"/>
        <v>2024</v>
      </c>
      <c r="K307" s="10">
        <f t="shared" si="78"/>
        <v>2024</v>
      </c>
      <c r="L307" s="10">
        <f t="shared" si="78"/>
        <v>2024</v>
      </c>
      <c r="M307" s="10">
        <f t="shared" si="78"/>
        <v>2024</v>
      </c>
      <c r="N307" s="11"/>
      <c r="S307" s="12" t="str">
        <f>+C307</f>
        <v>Kaliba</v>
      </c>
      <c r="T307" s="13">
        <f>+L311</f>
        <v>359</v>
      </c>
      <c r="U307" s="13">
        <f>+L312+L313</f>
        <v>76</v>
      </c>
      <c r="V307" s="13">
        <f>+L314+L315</f>
        <v>283</v>
      </c>
      <c r="W307" s="13">
        <f>+L318</f>
        <v>620</v>
      </c>
      <c r="X307" s="13">
        <f>+L316</f>
        <v>0</v>
      </c>
    </row>
    <row r="308" spans="1:24" x14ac:dyDescent="0.25">
      <c r="A308" s="14"/>
      <c r="B308" s="15"/>
      <c r="C308" s="41" t="str">
        <f>+$C292</f>
        <v>September 2024</v>
      </c>
      <c r="D308" s="18"/>
      <c r="E308" s="18"/>
      <c r="F308" s="18"/>
      <c r="G308" s="20" t="str">
        <f>+$G$4</f>
        <v>Sep</v>
      </c>
      <c r="H308" s="20" t="str">
        <f>+G308</f>
        <v>Sep</v>
      </c>
      <c r="I308" s="20" t="str">
        <f t="shared" si="78"/>
        <v>Sep</v>
      </c>
      <c r="J308" s="20" t="str">
        <f t="shared" si="78"/>
        <v>Sep</v>
      </c>
      <c r="K308" s="20" t="str">
        <f t="shared" si="78"/>
        <v>Sep</v>
      </c>
      <c r="L308" s="20" t="str">
        <f t="shared" si="78"/>
        <v>Sep</v>
      </c>
      <c r="M308" s="20" t="str">
        <f t="shared" si="78"/>
        <v>Sep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1</v>
      </c>
      <c r="H309" s="25">
        <f>+$H$5</f>
        <v>8</v>
      </c>
      <c r="I309" s="25">
        <f>+$I$5</f>
        <v>15</v>
      </c>
      <c r="J309" s="25">
        <f>+$J$5</f>
        <v>22</v>
      </c>
      <c r="K309" s="25">
        <f>+$K$5</f>
        <v>29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73</v>
      </c>
      <c r="H311" s="31">
        <f t="shared" ref="H311:L311" si="79">SUM(H312:H315)</f>
        <v>87</v>
      </c>
      <c r="I311" s="31">
        <f t="shared" si="79"/>
        <v>79</v>
      </c>
      <c r="J311" s="31">
        <f t="shared" si="79"/>
        <v>26</v>
      </c>
      <c r="K311" s="31">
        <f t="shared" si="79"/>
        <v>94</v>
      </c>
      <c r="L311" s="31">
        <f t="shared" si="79"/>
        <v>359</v>
      </c>
      <c r="M311" s="31">
        <f>ROUND((L311/$E$1),0)</f>
        <v>72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3</v>
      </c>
      <c r="H312" s="42">
        <v>5</v>
      </c>
      <c r="I312" s="42">
        <v>5</v>
      </c>
      <c r="J312" s="42">
        <v>2</v>
      </c>
      <c r="K312" s="42">
        <v>6</v>
      </c>
      <c r="L312" s="35">
        <f>SUM(G312:K312)</f>
        <v>21</v>
      </c>
      <c r="M312" s="35">
        <f t="shared" ref="M312:M320" si="80">ROUND((L312/$E$1),0)</f>
        <v>4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9</v>
      </c>
      <c r="H313" s="42">
        <v>13</v>
      </c>
      <c r="I313" s="42">
        <v>12</v>
      </c>
      <c r="J313" s="42">
        <v>8</v>
      </c>
      <c r="K313" s="42">
        <v>13</v>
      </c>
      <c r="L313" s="35">
        <f t="shared" ref="L313:L320" si="81">SUM(G313:K313)</f>
        <v>55</v>
      </c>
      <c r="M313" s="35">
        <f t="shared" si="80"/>
        <v>11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18</v>
      </c>
      <c r="H314" s="42">
        <v>32</v>
      </c>
      <c r="I314" s="42">
        <v>25</v>
      </c>
      <c r="J314" s="42">
        <v>12</v>
      </c>
      <c r="K314" s="42">
        <v>28</v>
      </c>
      <c r="L314" s="35">
        <f t="shared" si="81"/>
        <v>115</v>
      </c>
      <c r="M314" s="35">
        <f t="shared" si="80"/>
        <v>23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43</v>
      </c>
      <c r="H315" s="43">
        <v>37</v>
      </c>
      <c r="I315" s="43">
        <v>37</v>
      </c>
      <c r="J315" s="43">
        <v>4</v>
      </c>
      <c r="K315" s="43">
        <v>47</v>
      </c>
      <c r="L315" s="31">
        <f t="shared" si="81"/>
        <v>168</v>
      </c>
      <c r="M315" s="31">
        <f t="shared" si="80"/>
        <v>34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/>
      <c r="I316" s="42"/>
      <c r="J316" s="42"/>
      <c r="K316" s="42"/>
      <c r="L316" s="35">
        <f t="shared" si="81"/>
        <v>0</v>
      </c>
      <c r="M316" s="35">
        <f t="shared" si="80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>
        <v>160</v>
      </c>
      <c r="H318" s="42">
        <v>160</v>
      </c>
      <c r="I318" s="42">
        <v>108</v>
      </c>
      <c r="J318" s="42">
        <v>64</v>
      </c>
      <c r="K318" s="42">
        <v>128</v>
      </c>
      <c r="L318" s="35">
        <f t="shared" si="81"/>
        <v>620</v>
      </c>
      <c r="M318" s="35">
        <f t="shared" si="80"/>
        <v>124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/>
      <c r="H319" s="42"/>
      <c r="I319" s="42"/>
      <c r="J319" s="42"/>
      <c r="K319" s="42"/>
      <c r="L319" s="35">
        <f t="shared" si="81"/>
        <v>0</v>
      </c>
      <c r="M319" s="35">
        <f t="shared" si="80"/>
        <v>0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2024</v>
      </c>
      <c r="H323" s="10">
        <f>+G323</f>
        <v>2024</v>
      </c>
      <c r="I323" s="10">
        <f t="shared" ref="I323:M324" si="82">+H323</f>
        <v>2024</v>
      </c>
      <c r="J323" s="10">
        <f t="shared" si="82"/>
        <v>2024</v>
      </c>
      <c r="K323" s="10">
        <f t="shared" si="82"/>
        <v>2024</v>
      </c>
      <c r="L323" s="10">
        <f t="shared" si="82"/>
        <v>2024</v>
      </c>
      <c r="M323" s="10">
        <f t="shared" si="82"/>
        <v>2024</v>
      </c>
      <c r="N323" s="11"/>
      <c r="S323" s="12" t="str">
        <f>+C323</f>
        <v>Kancesi</v>
      </c>
      <c r="T323" s="13">
        <f>+L327</f>
        <v>251</v>
      </c>
      <c r="U323" s="13">
        <f>+L328+L329</f>
        <v>91</v>
      </c>
      <c r="V323" s="13">
        <f>+L330+L331</f>
        <v>160</v>
      </c>
      <c r="W323" s="13">
        <f>+L334</f>
        <v>41</v>
      </c>
      <c r="X323" s="13">
        <f>+L332</f>
        <v>10</v>
      </c>
    </row>
    <row r="324" spans="1:24" x14ac:dyDescent="0.25">
      <c r="A324" s="14"/>
      <c r="B324" s="15"/>
      <c r="C324" s="41" t="str">
        <f>+$C308</f>
        <v>September 2024</v>
      </c>
      <c r="D324" s="18"/>
      <c r="E324" s="18"/>
      <c r="F324" s="18"/>
      <c r="G324" s="20" t="str">
        <f>+$G$4</f>
        <v>Sep</v>
      </c>
      <c r="H324" s="20" t="str">
        <f>+G324</f>
        <v>Sep</v>
      </c>
      <c r="I324" s="20" t="str">
        <f t="shared" si="82"/>
        <v>Sep</v>
      </c>
      <c r="J324" s="20" t="str">
        <f t="shared" si="82"/>
        <v>Sep</v>
      </c>
      <c r="K324" s="20" t="str">
        <f t="shared" si="82"/>
        <v>Sep</v>
      </c>
      <c r="L324" s="20" t="str">
        <f t="shared" si="82"/>
        <v>Sep</v>
      </c>
      <c r="M324" s="20" t="str">
        <f t="shared" si="82"/>
        <v>Sep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1</v>
      </c>
      <c r="H325" s="25">
        <f>+$H$5</f>
        <v>8</v>
      </c>
      <c r="I325" s="25">
        <f>+$I$5</f>
        <v>15</v>
      </c>
      <c r="J325" s="25">
        <f>+$J$5</f>
        <v>22</v>
      </c>
      <c r="K325" s="25">
        <f>+$K$5</f>
        <v>29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55</v>
      </c>
      <c r="H327" s="31">
        <f t="shared" ref="H327:L327" si="83">SUM(H328:H331)</f>
        <v>51</v>
      </c>
      <c r="I327" s="31">
        <f t="shared" si="83"/>
        <v>56</v>
      </c>
      <c r="J327" s="31">
        <f t="shared" si="83"/>
        <v>38</v>
      </c>
      <c r="K327" s="31">
        <f t="shared" si="83"/>
        <v>51</v>
      </c>
      <c r="L327" s="31">
        <f t="shared" si="83"/>
        <v>251</v>
      </c>
      <c r="M327" s="31">
        <f>ROUND((L327/$E$1),0)</f>
        <v>50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7</v>
      </c>
      <c r="H328" s="42">
        <v>4</v>
      </c>
      <c r="I328" s="42">
        <v>6</v>
      </c>
      <c r="J328" s="42">
        <v>5</v>
      </c>
      <c r="K328" s="42">
        <v>6</v>
      </c>
      <c r="L328" s="35">
        <f>SUM(G328:K328)</f>
        <v>28</v>
      </c>
      <c r="M328" s="35">
        <f t="shared" ref="M328:M336" si="84">ROUND((L328/$E$1),0)</f>
        <v>6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17</v>
      </c>
      <c r="H329" s="42">
        <v>14</v>
      </c>
      <c r="I329" s="42">
        <v>12</v>
      </c>
      <c r="J329" s="42">
        <v>9</v>
      </c>
      <c r="K329" s="42">
        <v>11</v>
      </c>
      <c r="L329" s="35">
        <f t="shared" ref="L329:L336" si="85">SUM(G329:K329)</f>
        <v>63</v>
      </c>
      <c r="M329" s="35">
        <f t="shared" si="84"/>
        <v>13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10</v>
      </c>
      <c r="H330" s="42">
        <v>12</v>
      </c>
      <c r="I330" s="42">
        <v>16</v>
      </c>
      <c r="J330" s="42">
        <v>10</v>
      </c>
      <c r="K330" s="42">
        <v>13</v>
      </c>
      <c r="L330" s="35">
        <f t="shared" si="85"/>
        <v>61</v>
      </c>
      <c r="M330" s="35">
        <f t="shared" si="84"/>
        <v>12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21</v>
      </c>
      <c r="H331" s="43">
        <v>21</v>
      </c>
      <c r="I331" s="43">
        <v>22</v>
      </c>
      <c r="J331" s="43">
        <v>14</v>
      </c>
      <c r="K331" s="43">
        <v>21</v>
      </c>
      <c r="L331" s="31">
        <f t="shared" si="85"/>
        <v>99</v>
      </c>
      <c r="M331" s="31">
        <f t="shared" si="84"/>
        <v>20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>
        <v>1</v>
      </c>
      <c r="H332" s="42">
        <v>3</v>
      </c>
      <c r="I332" s="42">
        <v>5</v>
      </c>
      <c r="J332" s="42">
        <v>1</v>
      </c>
      <c r="K332" s="42"/>
      <c r="L332" s="35">
        <f t="shared" si="85"/>
        <v>10</v>
      </c>
      <c r="M332" s="35">
        <f t="shared" si="84"/>
        <v>2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9</v>
      </c>
      <c r="H334" s="42">
        <v>9</v>
      </c>
      <c r="I334" s="42">
        <v>7</v>
      </c>
      <c r="J334" s="42">
        <v>7</v>
      </c>
      <c r="K334" s="42">
        <v>9</v>
      </c>
      <c r="L334" s="35">
        <f t="shared" si="85"/>
        <v>41</v>
      </c>
      <c r="M334" s="35">
        <f t="shared" si="84"/>
        <v>8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180</v>
      </c>
      <c r="H335" s="42"/>
      <c r="I335" s="42">
        <v>128</v>
      </c>
      <c r="J335" s="42">
        <v>64</v>
      </c>
      <c r="K335" s="42">
        <v>96</v>
      </c>
      <c r="L335" s="35">
        <f t="shared" si="85"/>
        <v>468</v>
      </c>
      <c r="M335" s="35">
        <f t="shared" si="84"/>
        <v>94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2024</v>
      </c>
      <c r="H339" s="10">
        <f>+G339</f>
        <v>2024</v>
      </c>
      <c r="I339" s="10">
        <f t="shared" ref="I339:M340" si="86">+H339</f>
        <v>2024</v>
      </c>
      <c r="J339" s="10">
        <f t="shared" si="86"/>
        <v>2024</v>
      </c>
      <c r="K339" s="10">
        <f t="shared" si="86"/>
        <v>2024</v>
      </c>
      <c r="L339" s="10">
        <f t="shared" si="86"/>
        <v>2024</v>
      </c>
      <c r="M339" s="10">
        <f t="shared" si="86"/>
        <v>2024</v>
      </c>
      <c r="N339" s="11"/>
      <c r="S339" s="12" t="str">
        <f>+C339</f>
        <v>Mpuluzi</v>
      </c>
      <c r="T339" s="13">
        <f>+L343</f>
        <v>518</v>
      </c>
      <c r="U339" s="13">
        <f>+L344+L345</f>
        <v>200</v>
      </c>
      <c r="V339" s="13">
        <f>+L346+L347</f>
        <v>318</v>
      </c>
      <c r="W339" s="13">
        <f>+L350</f>
        <v>24</v>
      </c>
      <c r="X339" s="13">
        <f>+L348</f>
        <v>19</v>
      </c>
    </row>
    <row r="340" spans="1:24" x14ac:dyDescent="0.25">
      <c r="A340" s="14"/>
      <c r="B340" s="15"/>
      <c r="C340" s="41" t="str">
        <f>+$C324</f>
        <v>September 2024</v>
      </c>
      <c r="D340" s="18"/>
      <c r="E340" s="18"/>
      <c r="F340" s="18"/>
      <c r="G340" s="20" t="str">
        <f>+$G$4</f>
        <v>Sep</v>
      </c>
      <c r="H340" s="20" t="str">
        <f>+G340</f>
        <v>Sep</v>
      </c>
      <c r="I340" s="20" t="str">
        <f t="shared" si="86"/>
        <v>Sep</v>
      </c>
      <c r="J340" s="20" t="str">
        <f t="shared" si="86"/>
        <v>Sep</v>
      </c>
      <c r="K340" s="20" t="str">
        <f t="shared" si="86"/>
        <v>Sep</v>
      </c>
      <c r="L340" s="20" t="str">
        <f t="shared" si="86"/>
        <v>Sep</v>
      </c>
      <c r="M340" s="20" t="str">
        <f t="shared" si="86"/>
        <v>Sep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1</v>
      </c>
      <c r="H341" s="25">
        <f>+$H$5</f>
        <v>8</v>
      </c>
      <c r="I341" s="25">
        <f>+$I$5</f>
        <v>15</v>
      </c>
      <c r="J341" s="25">
        <f>+$J$5</f>
        <v>22</v>
      </c>
      <c r="K341" s="25">
        <f>+$K$5</f>
        <v>29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131</v>
      </c>
      <c r="H343" s="31">
        <f t="shared" ref="H343:L343" si="87">SUM(H344:H347)</f>
        <v>115</v>
      </c>
      <c r="I343" s="31">
        <f t="shared" si="87"/>
        <v>61</v>
      </c>
      <c r="J343" s="31">
        <f t="shared" si="87"/>
        <v>106</v>
      </c>
      <c r="K343" s="31">
        <f t="shared" si="87"/>
        <v>105</v>
      </c>
      <c r="L343" s="31">
        <f t="shared" si="87"/>
        <v>518</v>
      </c>
      <c r="M343" s="31">
        <f>ROUND((L343/$E$1),0)</f>
        <v>104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12</v>
      </c>
      <c r="H344" s="42">
        <v>13</v>
      </c>
      <c r="I344" s="42">
        <v>6</v>
      </c>
      <c r="J344" s="42">
        <v>11</v>
      </c>
      <c r="K344" s="42">
        <v>13</v>
      </c>
      <c r="L344" s="35">
        <f>SUM(G344:K344)</f>
        <v>55</v>
      </c>
      <c r="M344" s="35">
        <f t="shared" ref="M344:M352" si="88">ROUND((L344/$E$1),0)</f>
        <v>11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31</v>
      </c>
      <c r="H345" s="42">
        <v>28</v>
      </c>
      <c r="I345" s="42">
        <v>18</v>
      </c>
      <c r="J345" s="42">
        <v>37</v>
      </c>
      <c r="K345" s="42">
        <v>31</v>
      </c>
      <c r="L345" s="35">
        <f t="shared" ref="L345:L352" si="89">SUM(G345:K345)</f>
        <v>145</v>
      </c>
      <c r="M345" s="35">
        <f t="shared" si="88"/>
        <v>29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22</v>
      </c>
      <c r="H346" s="42">
        <v>17</v>
      </c>
      <c r="I346" s="42">
        <v>13</v>
      </c>
      <c r="J346" s="42">
        <v>18</v>
      </c>
      <c r="K346" s="42">
        <v>21</v>
      </c>
      <c r="L346" s="35">
        <f t="shared" si="89"/>
        <v>91</v>
      </c>
      <c r="M346" s="35">
        <f t="shared" si="88"/>
        <v>18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66</v>
      </c>
      <c r="H347" s="43">
        <v>57</v>
      </c>
      <c r="I347" s="43">
        <v>24</v>
      </c>
      <c r="J347" s="43">
        <v>40</v>
      </c>
      <c r="K347" s="43">
        <v>40</v>
      </c>
      <c r="L347" s="31">
        <f t="shared" si="89"/>
        <v>227</v>
      </c>
      <c r="M347" s="31">
        <f t="shared" si="88"/>
        <v>45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6</v>
      </c>
      <c r="H348" s="42">
        <v>4</v>
      </c>
      <c r="I348" s="42">
        <v>2</v>
      </c>
      <c r="J348" s="42">
        <v>3</v>
      </c>
      <c r="K348" s="42">
        <v>4</v>
      </c>
      <c r="L348" s="35">
        <f t="shared" si="89"/>
        <v>19</v>
      </c>
      <c r="M348" s="35">
        <f t="shared" si="88"/>
        <v>4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5</v>
      </c>
      <c r="H350" s="42">
        <v>4</v>
      </c>
      <c r="I350" s="42">
        <v>4</v>
      </c>
      <c r="J350" s="42">
        <v>6</v>
      </c>
      <c r="K350" s="42">
        <v>5</v>
      </c>
      <c r="L350" s="35">
        <f t="shared" si="89"/>
        <v>24</v>
      </c>
      <c r="M350" s="35">
        <f t="shared" si="88"/>
        <v>5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/>
      <c r="H351" s="42"/>
      <c r="I351" s="42"/>
      <c r="J351" s="42">
        <v>192</v>
      </c>
      <c r="K351" s="42"/>
      <c r="L351" s="35">
        <f t="shared" si="89"/>
        <v>192</v>
      </c>
      <c r="M351" s="35">
        <f t="shared" si="88"/>
        <v>38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2024</v>
      </c>
      <c r="H355" s="10">
        <f>+G355</f>
        <v>2024</v>
      </c>
      <c r="I355" s="10">
        <f t="shared" ref="I355:M356" si="90">+H355</f>
        <v>2024</v>
      </c>
      <c r="J355" s="10">
        <f t="shared" si="90"/>
        <v>2024</v>
      </c>
      <c r="K355" s="10">
        <f t="shared" si="90"/>
        <v>2024</v>
      </c>
      <c r="L355" s="10">
        <f t="shared" si="90"/>
        <v>2024</v>
      </c>
      <c r="M355" s="10">
        <f t="shared" si="90"/>
        <v>2024</v>
      </c>
      <c r="N355" s="11"/>
      <c r="S355" s="12" t="str">
        <f>+C355</f>
        <v>Bulunga</v>
      </c>
      <c r="T355" s="13">
        <f>+L359</f>
        <v>205</v>
      </c>
      <c r="U355" s="13">
        <f>+L360+L361</f>
        <v>31</v>
      </c>
      <c r="V355" s="13">
        <f>+L362+L363</f>
        <v>174</v>
      </c>
      <c r="W355" s="13">
        <f>+L366</f>
        <v>33</v>
      </c>
      <c r="X355" s="13">
        <f>+L364</f>
        <v>15</v>
      </c>
    </row>
    <row r="356" spans="1:24" x14ac:dyDescent="0.25">
      <c r="A356" s="14"/>
      <c r="B356" s="15"/>
      <c r="C356" s="41" t="str">
        <f>+$C340</f>
        <v>September 2024</v>
      </c>
      <c r="D356" s="18"/>
      <c r="E356" s="18"/>
      <c r="F356" s="18"/>
      <c r="G356" s="20" t="str">
        <f>+$G$4</f>
        <v>Sep</v>
      </c>
      <c r="H356" s="20" t="str">
        <f>+G356</f>
        <v>Sep</v>
      </c>
      <c r="I356" s="20" t="str">
        <f t="shared" si="90"/>
        <v>Sep</v>
      </c>
      <c r="J356" s="20" t="str">
        <f t="shared" si="90"/>
        <v>Sep</v>
      </c>
      <c r="K356" s="20" t="str">
        <f t="shared" si="90"/>
        <v>Sep</v>
      </c>
      <c r="L356" s="20" t="str">
        <f t="shared" si="90"/>
        <v>Sep</v>
      </c>
      <c r="M356" s="20" t="str">
        <f t="shared" si="90"/>
        <v>Sep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1</v>
      </c>
      <c r="H357" s="25">
        <f>+$H$5</f>
        <v>8</v>
      </c>
      <c r="I357" s="25">
        <f>+$I$5</f>
        <v>15</v>
      </c>
      <c r="J357" s="25">
        <f>+$J$5</f>
        <v>22</v>
      </c>
      <c r="K357" s="25">
        <f>+$K$5</f>
        <v>29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50</v>
      </c>
      <c r="H359" s="31">
        <f t="shared" ref="H359:L359" si="91">SUM(H360:H363)</f>
        <v>45</v>
      </c>
      <c r="I359" s="31">
        <f t="shared" si="91"/>
        <v>47</v>
      </c>
      <c r="J359" s="31">
        <f t="shared" si="91"/>
        <v>27</v>
      </c>
      <c r="K359" s="31">
        <f t="shared" si="91"/>
        <v>36</v>
      </c>
      <c r="L359" s="31">
        <f t="shared" si="91"/>
        <v>205</v>
      </c>
      <c r="M359" s="31">
        <f>ROUND((L359/$E$1),0)</f>
        <v>41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4</v>
      </c>
      <c r="H360" s="42">
        <v>2</v>
      </c>
      <c r="I360" s="42">
        <v>2</v>
      </c>
      <c r="J360" s="42">
        <v>2</v>
      </c>
      <c r="K360" s="42">
        <v>1</v>
      </c>
      <c r="L360" s="35">
        <f>SUM(G360:K360)</f>
        <v>11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8</v>
      </c>
      <c r="H361" s="42">
        <v>5</v>
      </c>
      <c r="I361" s="42">
        <v>2</v>
      </c>
      <c r="J361" s="42">
        <v>2</v>
      </c>
      <c r="K361" s="42">
        <v>3</v>
      </c>
      <c r="L361" s="35">
        <f t="shared" ref="L361:L368" si="93">SUM(G361:K361)</f>
        <v>20</v>
      </c>
      <c r="M361" s="35">
        <f t="shared" si="92"/>
        <v>4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15</v>
      </c>
      <c r="H362" s="42">
        <v>19</v>
      </c>
      <c r="I362" s="42">
        <v>20</v>
      </c>
      <c r="J362" s="42">
        <v>9</v>
      </c>
      <c r="K362" s="42">
        <v>16</v>
      </c>
      <c r="L362" s="35">
        <f t="shared" si="93"/>
        <v>79</v>
      </c>
      <c r="M362" s="35">
        <f t="shared" si="92"/>
        <v>16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23</v>
      </c>
      <c r="H363" s="43">
        <v>19</v>
      </c>
      <c r="I363" s="43">
        <v>23</v>
      </c>
      <c r="J363" s="43">
        <v>14</v>
      </c>
      <c r="K363" s="43">
        <v>16</v>
      </c>
      <c r="L363" s="31">
        <f t="shared" si="93"/>
        <v>95</v>
      </c>
      <c r="M363" s="31">
        <f t="shared" si="92"/>
        <v>19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>
        <v>15</v>
      </c>
      <c r="H364" s="42"/>
      <c r="I364" s="42"/>
      <c r="J364" s="42"/>
      <c r="K364" s="42"/>
      <c r="L364" s="35">
        <f t="shared" si="93"/>
        <v>15</v>
      </c>
      <c r="M364" s="35">
        <f t="shared" si="92"/>
        <v>3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8</v>
      </c>
      <c r="H366" s="42">
        <v>9</v>
      </c>
      <c r="I366" s="42">
        <v>6</v>
      </c>
      <c r="J366" s="42">
        <v>4</v>
      </c>
      <c r="K366" s="42">
        <v>6</v>
      </c>
      <c r="L366" s="35">
        <f t="shared" si="93"/>
        <v>33</v>
      </c>
      <c r="M366" s="35">
        <f t="shared" si="92"/>
        <v>7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/>
      <c r="I367" s="42"/>
      <c r="J367" s="42"/>
      <c r="K367" s="42"/>
      <c r="L367" s="35">
        <f t="shared" si="93"/>
        <v>0</v>
      </c>
      <c r="M367" s="35">
        <f t="shared" si="92"/>
        <v>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2024</v>
      </c>
      <c r="H371" s="10">
        <f>+G371</f>
        <v>2024</v>
      </c>
      <c r="I371" s="10">
        <f t="shared" ref="I371:M372" si="94">+H371</f>
        <v>2024</v>
      </c>
      <c r="J371" s="10">
        <f t="shared" si="94"/>
        <v>2024</v>
      </c>
      <c r="K371" s="10">
        <f t="shared" si="94"/>
        <v>2024</v>
      </c>
      <c r="L371" s="10">
        <f t="shared" si="94"/>
        <v>2024</v>
      </c>
      <c r="M371" s="10">
        <f t="shared" si="94"/>
        <v>2024</v>
      </c>
      <c r="N371" s="11"/>
      <c r="P371" s="44"/>
      <c r="S371" s="12" t="str">
        <f>+C371</f>
        <v>Mbowane</v>
      </c>
      <c r="T371" s="13">
        <f>+L375</f>
        <v>106</v>
      </c>
      <c r="U371" s="13">
        <f>+L376+L377</f>
        <v>23</v>
      </c>
      <c r="V371" s="13">
        <f>+L378+L379</f>
        <v>83</v>
      </c>
      <c r="W371" s="13">
        <f>+L382</f>
        <v>18</v>
      </c>
      <c r="X371" s="13">
        <f>+L380</f>
        <v>0</v>
      </c>
    </row>
    <row r="372" spans="1:24" x14ac:dyDescent="0.25">
      <c r="A372" s="14"/>
      <c r="B372" s="15"/>
      <c r="C372" s="41" t="str">
        <f>+$C356</f>
        <v>September 2024</v>
      </c>
      <c r="D372" s="18"/>
      <c r="E372" s="18"/>
      <c r="F372" s="18"/>
      <c r="G372" s="20" t="str">
        <f>+$G$4</f>
        <v>Sep</v>
      </c>
      <c r="H372" s="20" t="str">
        <f>+G372</f>
        <v>Sep</v>
      </c>
      <c r="I372" s="20" t="str">
        <f t="shared" si="94"/>
        <v>Sep</v>
      </c>
      <c r="J372" s="20" t="str">
        <f t="shared" si="94"/>
        <v>Sep</v>
      </c>
      <c r="K372" s="20" t="str">
        <f t="shared" si="94"/>
        <v>Sep</v>
      </c>
      <c r="L372" s="20" t="str">
        <f t="shared" si="94"/>
        <v>Sep</v>
      </c>
      <c r="M372" s="20" t="str">
        <f t="shared" si="94"/>
        <v>Sep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1</v>
      </c>
      <c r="H373" s="25">
        <f>+$H$5</f>
        <v>8</v>
      </c>
      <c r="I373" s="25">
        <f>+$I$5</f>
        <v>15</v>
      </c>
      <c r="J373" s="25">
        <f>+$J$5</f>
        <v>22</v>
      </c>
      <c r="K373" s="25">
        <f>+$K$5</f>
        <v>29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26</v>
      </c>
      <c r="H375" s="31">
        <f t="shared" ref="H375:L375" si="95">SUM(H376:H379)</f>
        <v>19</v>
      </c>
      <c r="I375" s="31">
        <f t="shared" si="95"/>
        <v>21</v>
      </c>
      <c r="J375" s="31">
        <f t="shared" si="95"/>
        <v>21</v>
      </c>
      <c r="K375" s="31">
        <f t="shared" si="95"/>
        <v>19</v>
      </c>
      <c r="L375" s="31">
        <f t="shared" si="95"/>
        <v>106</v>
      </c>
      <c r="M375" s="31">
        <f>ROUND((L375/$E$1),0)</f>
        <v>21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1</v>
      </c>
      <c r="H376" s="42">
        <v>1</v>
      </c>
      <c r="I376" s="42">
        <v>1</v>
      </c>
      <c r="J376" s="42">
        <v>1</v>
      </c>
      <c r="K376" s="42">
        <v>2</v>
      </c>
      <c r="L376" s="35">
        <f>SUM(G376:K376)</f>
        <v>6</v>
      </c>
      <c r="M376" s="35">
        <f t="shared" ref="M376:M384" si="96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4</v>
      </c>
      <c r="H377" s="42">
        <v>3</v>
      </c>
      <c r="I377" s="42">
        <v>3</v>
      </c>
      <c r="J377" s="42">
        <v>3</v>
      </c>
      <c r="K377" s="42">
        <v>4</v>
      </c>
      <c r="L377" s="35">
        <f t="shared" ref="L377:L384" si="97">SUM(G377:K377)</f>
        <v>17</v>
      </c>
      <c r="M377" s="35">
        <f t="shared" si="96"/>
        <v>3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15</v>
      </c>
      <c r="H378" s="42">
        <v>9</v>
      </c>
      <c r="I378" s="42">
        <v>6</v>
      </c>
      <c r="J378" s="42">
        <v>5</v>
      </c>
      <c r="K378" s="42">
        <v>6</v>
      </c>
      <c r="L378" s="35">
        <f t="shared" si="97"/>
        <v>41</v>
      </c>
      <c r="M378" s="35">
        <f t="shared" si="96"/>
        <v>8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6</v>
      </c>
      <c r="H379" s="43">
        <v>6</v>
      </c>
      <c r="I379" s="43">
        <v>11</v>
      </c>
      <c r="J379" s="43">
        <v>12</v>
      </c>
      <c r="K379" s="43">
        <v>7</v>
      </c>
      <c r="L379" s="31">
        <f t="shared" si="97"/>
        <v>42</v>
      </c>
      <c r="M379" s="31">
        <f t="shared" si="96"/>
        <v>8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97"/>
        <v>0</v>
      </c>
      <c r="M380" s="35">
        <f t="shared" si="96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2</v>
      </c>
      <c r="H382" s="42">
        <v>2</v>
      </c>
      <c r="I382" s="42">
        <v>2</v>
      </c>
      <c r="J382" s="42">
        <v>8</v>
      </c>
      <c r="K382" s="42">
        <v>4</v>
      </c>
      <c r="L382" s="35">
        <f t="shared" si="97"/>
        <v>18</v>
      </c>
      <c r="M382" s="35">
        <f t="shared" si="96"/>
        <v>4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>
        <v>108</v>
      </c>
      <c r="H383" s="42"/>
      <c r="I383" s="42">
        <v>32</v>
      </c>
      <c r="J383" s="42">
        <v>64</v>
      </c>
      <c r="K383" s="42"/>
      <c r="L383" s="35">
        <f t="shared" si="97"/>
        <v>204</v>
      </c>
      <c r="M383" s="35">
        <f t="shared" si="96"/>
        <v>41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2024</v>
      </c>
      <c r="H387" s="10">
        <f>+G387</f>
        <v>2024</v>
      </c>
      <c r="I387" s="10">
        <f t="shared" ref="I387:M388" si="98">+H387</f>
        <v>2024</v>
      </c>
      <c r="J387" s="10">
        <f t="shared" si="98"/>
        <v>2024</v>
      </c>
      <c r="K387" s="10">
        <f t="shared" si="98"/>
        <v>2024</v>
      </c>
      <c r="L387" s="10">
        <f t="shared" si="98"/>
        <v>2024</v>
      </c>
      <c r="M387" s="10">
        <f t="shared" si="98"/>
        <v>2024</v>
      </c>
      <c r="N387" s="11"/>
      <c r="P387" s="44"/>
      <c r="S387" s="12" t="str">
        <f>+C387</f>
        <v>Sibovini</v>
      </c>
      <c r="T387" s="13">
        <f>+L391</f>
        <v>272</v>
      </c>
      <c r="U387" s="13">
        <f>+L392+L393</f>
        <v>80</v>
      </c>
      <c r="V387" s="13">
        <f>+L394+L395</f>
        <v>192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September 2024</v>
      </c>
      <c r="D388" s="18"/>
      <c r="E388" s="18"/>
      <c r="F388" s="18"/>
      <c r="G388" s="20" t="str">
        <f>+$G$4</f>
        <v>Sep</v>
      </c>
      <c r="H388" s="20" t="str">
        <f>+G388</f>
        <v>Sep</v>
      </c>
      <c r="I388" s="20" t="str">
        <f t="shared" si="98"/>
        <v>Sep</v>
      </c>
      <c r="J388" s="20" t="str">
        <f t="shared" si="98"/>
        <v>Sep</v>
      </c>
      <c r="K388" s="20" t="str">
        <f t="shared" si="98"/>
        <v>Sep</v>
      </c>
      <c r="L388" s="20" t="str">
        <f t="shared" si="98"/>
        <v>Sep</v>
      </c>
      <c r="M388" s="20" t="str">
        <f t="shared" si="98"/>
        <v>Sep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1</v>
      </c>
      <c r="H389" s="25">
        <f>+$H$5</f>
        <v>8</v>
      </c>
      <c r="I389" s="25">
        <f>+$I$5</f>
        <v>15</v>
      </c>
      <c r="J389" s="25">
        <f>+$J$5</f>
        <v>22</v>
      </c>
      <c r="K389" s="25">
        <f>+$K$5</f>
        <v>29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71</v>
      </c>
      <c r="H391" s="31">
        <f t="shared" ref="H391:L391" si="99">SUM(H392:H395)</f>
        <v>56</v>
      </c>
      <c r="I391" s="31">
        <f t="shared" si="99"/>
        <v>52</v>
      </c>
      <c r="J391" s="31">
        <f t="shared" si="99"/>
        <v>41</v>
      </c>
      <c r="K391" s="31">
        <f t="shared" si="99"/>
        <v>52</v>
      </c>
      <c r="L391" s="31">
        <f t="shared" si="99"/>
        <v>272</v>
      </c>
      <c r="M391" s="31">
        <f>ROUND((L391/$E$1),0)</f>
        <v>54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4</v>
      </c>
      <c r="H392" s="42">
        <v>4</v>
      </c>
      <c r="I392" s="42">
        <v>3</v>
      </c>
      <c r="J392" s="42">
        <v>2</v>
      </c>
      <c r="K392" s="42">
        <v>3</v>
      </c>
      <c r="L392" s="35">
        <f>SUM(G392:K392)</f>
        <v>16</v>
      </c>
      <c r="M392" s="35">
        <f t="shared" ref="M392:M400" si="100">ROUND((L392/$E$1),0)</f>
        <v>3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19</v>
      </c>
      <c r="H393" s="42">
        <v>13</v>
      </c>
      <c r="I393" s="42">
        <v>12</v>
      </c>
      <c r="J393" s="42">
        <v>8</v>
      </c>
      <c r="K393" s="42">
        <v>12</v>
      </c>
      <c r="L393" s="35">
        <f t="shared" ref="L393:L400" si="101">SUM(G393:K393)</f>
        <v>64</v>
      </c>
      <c r="M393" s="35">
        <f t="shared" si="100"/>
        <v>13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19</v>
      </c>
      <c r="H394" s="42">
        <v>12</v>
      </c>
      <c r="I394" s="42">
        <v>12</v>
      </c>
      <c r="J394" s="42">
        <v>11</v>
      </c>
      <c r="K394" s="42">
        <v>12</v>
      </c>
      <c r="L394" s="35">
        <f t="shared" si="101"/>
        <v>66</v>
      </c>
      <c r="M394" s="35">
        <f t="shared" si="100"/>
        <v>13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29</v>
      </c>
      <c r="H395" s="43">
        <v>27</v>
      </c>
      <c r="I395" s="43">
        <v>25</v>
      </c>
      <c r="J395" s="43">
        <v>20</v>
      </c>
      <c r="K395" s="43">
        <v>25</v>
      </c>
      <c r="L395" s="31">
        <f t="shared" si="101"/>
        <v>126</v>
      </c>
      <c r="M395" s="31">
        <f t="shared" si="100"/>
        <v>25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2024</v>
      </c>
      <c r="H403" s="10">
        <f>+G403</f>
        <v>2024</v>
      </c>
      <c r="I403" s="10">
        <f t="shared" ref="I403:M404" si="102">+H403</f>
        <v>2024</v>
      </c>
      <c r="J403" s="10">
        <f t="shared" si="102"/>
        <v>2024</v>
      </c>
      <c r="K403" s="10">
        <f t="shared" si="102"/>
        <v>2024</v>
      </c>
      <c r="L403" s="10">
        <f t="shared" si="102"/>
        <v>2024</v>
      </c>
      <c r="M403" s="10">
        <f t="shared" si="102"/>
        <v>2024</v>
      </c>
      <c r="N403" s="11"/>
      <c r="P403" s="44"/>
      <c r="S403" s="12" t="str">
        <f>+C403</f>
        <v>Nsubani</v>
      </c>
      <c r="T403" s="13">
        <f>+L407</f>
        <v>313</v>
      </c>
      <c r="U403" s="13">
        <f>+L408+L409</f>
        <v>73</v>
      </c>
      <c r="V403" s="13">
        <f>+L410+L411</f>
        <v>240</v>
      </c>
      <c r="W403" s="13">
        <f>+L414</f>
        <v>50</v>
      </c>
      <c r="X403" s="13">
        <f>+L412</f>
        <v>0</v>
      </c>
    </row>
    <row r="404" spans="1:24" x14ac:dyDescent="0.25">
      <c r="A404" s="14"/>
      <c r="B404" s="15"/>
      <c r="C404" s="41" t="str">
        <f>+$C388</f>
        <v>September 2024</v>
      </c>
      <c r="D404" s="18"/>
      <c r="E404" s="18"/>
      <c r="F404" s="18"/>
      <c r="G404" s="20" t="str">
        <f>+$G$4</f>
        <v>Sep</v>
      </c>
      <c r="H404" s="20" t="str">
        <f>+G404</f>
        <v>Sep</v>
      </c>
      <c r="I404" s="20" t="str">
        <f t="shared" si="102"/>
        <v>Sep</v>
      </c>
      <c r="J404" s="20" t="str">
        <f t="shared" si="102"/>
        <v>Sep</v>
      </c>
      <c r="K404" s="20" t="str">
        <f t="shared" si="102"/>
        <v>Sep</v>
      </c>
      <c r="L404" s="20" t="str">
        <f t="shared" si="102"/>
        <v>Sep</v>
      </c>
      <c r="M404" s="20" t="str">
        <f t="shared" si="102"/>
        <v>Sep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1</v>
      </c>
      <c r="H405" s="25">
        <f>+$H$5</f>
        <v>8</v>
      </c>
      <c r="I405" s="25">
        <f>+$I$5</f>
        <v>15</v>
      </c>
      <c r="J405" s="25">
        <f>+$J$5</f>
        <v>22</v>
      </c>
      <c r="K405" s="25">
        <f>+$K$5</f>
        <v>29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77</v>
      </c>
      <c r="H407" s="31">
        <f t="shared" ref="H407:L407" si="103">SUM(H408:H411)</f>
        <v>83</v>
      </c>
      <c r="I407" s="31">
        <f t="shared" si="103"/>
        <v>42</v>
      </c>
      <c r="J407" s="31">
        <f t="shared" si="103"/>
        <v>45</v>
      </c>
      <c r="K407" s="31">
        <f t="shared" si="103"/>
        <v>66</v>
      </c>
      <c r="L407" s="31">
        <f t="shared" si="103"/>
        <v>313</v>
      </c>
      <c r="M407" s="31">
        <f>ROUND((L407/$E$1),0)</f>
        <v>63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4</v>
      </c>
      <c r="H408" s="42">
        <v>5</v>
      </c>
      <c r="I408" s="42">
        <v>2</v>
      </c>
      <c r="J408" s="42">
        <v>3</v>
      </c>
      <c r="K408" s="42">
        <v>4</v>
      </c>
      <c r="L408" s="35">
        <f>SUM(G408:K408)</f>
        <v>18</v>
      </c>
      <c r="M408" s="35">
        <f t="shared" ref="M408:M416" si="104">ROUND((L408/$E$1),0)</f>
        <v>4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10</v>
      </c>
      <c r="H409" s="42">
        <v>16</v>
      </c>
      <c r="I409" s="42">
        <v>8</v>
      </c>
      <c r="J409" s="42">
        <v>9</v>
      </c>
      <c r="K409" s="42">
        <v>12</v>
      </c>
      <c r="L409" s="35">
        <f t="shared" ref="L409:L416" si="105">SUM(G409:K409)</f>
        <v>55</v>
      </c>
      <c r="M409" s="35">
        <f t="shared" si="104"/>
        <v>11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20</v>
      </c>
      <c r="H410" s="42">
        <v>25</v>
      </c>
      <c r="I410" s="42">
        <v>16</v>
      </c>
      <c r="J410" s="42">
        <v>12</v>
      </c>
      <c r="K410" s="42">
        <v>12</v>
      </c>
      <c r="L410" s="35">
        <f t="shared" si="105"/>
        <v>85</v>
      </c>
      <c r="M410" s="35">
        <f t="shared" si="104"/>
        <v>17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43</v>
      </c>
      <c r="H411" s="43">
        <v>37</v>
      </c>
      <c r="I411" s="43">
        <v>16</v>
      </c>
      <c r="J411" s="43">
        <v>21</v>
      </c>
      <c r="K411" s="43">
        <v>38</v>
      </c>
      <c r="L411" s="31">
        <f t="shared" si="105"/>
        <v>155</v>
      </c>
      <c r="M411" s="31">
        <f t="shared" si="104"/>
        <v>31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11</v>
      </c>
      <c r="H414" s="42">
        <v>10</v>
      </c>
      <c r="I414" s="42">
        <v>9</v>
      </c>
      <c r="J414" s="42">
        <v>9</v>
      </c>
      <c r="K414" s="42">
        <v>11</v>
      </c>
      <c r="L414" s="35">
        <f t="shared" si="105"/>
        <v>50</v>
      </c>
      <c r="M414" s="35">
        <f t="shared" si="104"/>
        <v>10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108</v>
      </c>
      <c r="H415" s="42">
        <v>108</v>
      </c>
      <c r="I415" s="42">
        <v>64</v>
      </c>
      <c r="J415" s="42">
        <v>128</v>
      </c>
      <c r="K415" s="42">
        <v>96</v>
      </c>
      <c r="L415" s="35">
        <f t="shared" si="105"/>
        <v>504</v>
      </c>
      <c r="M415" s="35">
        <f t="shared" si="104"/>
        <v>101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2024</v>
      </c>
      <c r="H419" s="10">
        <f>+G419</f>
        <v>2024</v>
      </c>
      <c r="I419" s="10">
        <f t="shared" ref="I419:M420" si="106">+H419</f>
        <v>2024</v>
      </c>
      <c r="J419" s="10">
        <f t="shared" si="106"/>
        <v>2024</v>
      </c>
      <c r="K419" s="10">
        <f t="shared" si="106"/>
        <v>2024</v>
      </c>
      <c r="L419" s="10">
        <f t="shared" si="106"/>
        <v>2024</v>
      </c>
      <c r="M419" s="10">
        <f t="shared" si="106"/>
        <v>2024</v>
      </c>
      <c r="N419" s="11"/>
      <c r="P419" s="44"/>
      <c r="S419" s="12" t="str">
        <f>+C419</f>
        <v>Mhlabubovu</v>
      </c>
      <c r="T419" s="13">
        <f>+L423</f>
        <v>247</v>
      </c>
      <c r="U419" s="13">
        <f>+L424+L425</f>
        <v>44</v>
      </c>
      <c r="V419" s="13">
        <f>+L426+L427</f>
        <v>203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September 2024</v>
      </c>
      <c r="D420" s="18"/>
      <c r="E420" s="18"/>
      <c r="F420" s="18"/>
      <c r="G420" s="20" t="str">
        <f>+$G$4</f>
        <v>Sep</v>
      </c>
      <c r="H420" s="20" t="str">
        <f>+G420</f>
        <v>Sep</v>
      </c>
      <c r="I420" s="20" t="str">
        <f t="shared" si="106"/>
        <v>Sep</v>
      </c>
      <c r="J420" s="20" t="str">
        <f t="shared" si="106"/>
        <v>Sep</v>
      </c>
      <c r="K420" s="20" t="str">
        <f t="shared" si="106"/>
        <v>Sep</v>
      </c>
      <c r="L420" s="20" t="str">
        <f t="shared" si="106"/>
        <v>Sep</v>
      </c>
      <c r="M420" s="20" t="str">
        <f t="shared" si="106"/>
        <v>Sep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1</v>
      </c>
      <c r="H421" s="25">
        <f>+$H$5</f>
        <v>8</v>
      </c>
      <c r="I421" s="25">
        <f>+$I$5</f>
        <v>15</v>
      </c>
      <c r="J421" s="25">
        <f>+$J$5</f>
        <v>22</v>
      </c>
      <c r="K421" s="25">
        <f>+$K$5</f>
        <v>29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48</v>
      </c>
      <c r="H423" s="31">
        <f t="shared" ref="H423:L423" si="107">SUM(H424:H427)</f>
        <v>67</v>
      </c>
      <c r="I423" s="31">
        <f t="shared" si="107"/>
        <v>42</v>
      </c>
      <c r="J423" s="31">
        <f t="shared" si="107"/>
        <v>37</v>
      </c>
      <c r="K423" s="31">
        <f t="shared" si="107"/>
        <v>53</v>
      </c>
      <c r="L423" s="31">
        <f t="shared" si="107"/>
        <v>247</v>
      </c>
      <c r="M423" s="31">
        <f>ROUND((L423/$E$1),0)</f>
        <v>49</v>
      </c>
      <c r="N423" s="32"/>
      <c r="AA423" s="46">
        <v>48</v>
      </c>
      <c r="AB423" s="46">
        <v>67</v>
      </c>
      <c r="AC423" s="46">
        <v>42</v>
      </c>
      <c r="AD423" s="46">
        <v>37</v>
      </c>
      <c r="AE423" s="46">
        <v>53</v>
      </c>
      <c r="AF423" s="46">
        <v>247</v>
      </c>
      <c r="AG423" s="46">
        <v>49</v>
      </c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>
        <v>1</v>
      </c>
      <c r="H424" s="42">
        <v>0</v>
      </c>
      <c r="I424" s="42">
        <v>2</v>
      </c>
      <c r="J424" s="42">
        <v>1</v>
      </c>
      <c r="K424" s="42">
        <v>1</v>
      </c>
      <c r="L424" s="35">
        <f>SUM(G424:K424)</f>
        <v>5</v>
      </c>
      <c r="M424" s="35">
        <f t="shared" ref="M424:M432" si="108">ROUND((L424/$E$1),0)</f>
        <v>1</v>
      </c>
      <c r="N424" s="32"/>
      <c r="AA424" s="46">
        <v>1</v>
      </c>
      <c r="AB424" s="46">
        <v>0</v>
      </c>
      <c r="AC424" s="46">
        <v>2</v>
      </c>
      <c r="AD424" s="46">
        <v>1</v>
      </c>
      <c r="AE424" s="46">
        <v>1</v>
      </c>
      <c r="AF424" s="46">
        <v>5</v>
      </c>
      <c r="AG424" s="46">
        <v>1</v>
      </c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6</v>
      </c>
      <c r="H425" s="42">
        <v>9</v>
      </c>
      <c r="I425" s="42">
        <v>8</v>
      </c>
      <c r="J425" s="42">
        <v>8</v>
      </c>
      <c r="K425" s="42">
        <v>8</v>
      </c>
      <c r="L425" s="35">
        <f t="shared" ref="L425:L432" si="109">SUM(G425:K425)</f>
        <v>39</v>
      </c>
      <c r="M425" s="35">
        <f t="shared" si="108"/>
        <v>8</v>
      </c>
      <c r="N425" s="32"/>
      <c r="AA425" s="46">
        <v>6</v>
      </c>
      <c r="AB425" s="46">
        <v>9</v>
      </c>
      <c r="AC425" s="46">
        <v>8</v>
      </c>
      <c r="AD425" s="46">
        <v>8</v>
      </c>
      <c r="AE425" s="46">
        <v>8</v>
      </c>
      <c r="AF425" s="46">
        <v>39</v>
      </c>
      <c r="AG425" s="46">
        <v>8</v>
      </c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15</v>
      </c>
      <c r="H426" s="42">
        <v>27</v>
      </c>
      <c r="I426" s="42">
        <v>16</v>
      </c>
      <c r="J426" s="42">
        <v>15</v>
      </c>
      <c r="K426" s="42">
        <v>17</v>
      </c>
      <c r="L426" s="35">
        <f t="shared" si="109"/>
        <v>90</v>
      </c>
      <c r="M426" s="35">
        <f t="shared" si="108"/>
        <v>18</v>
      </c>
      <c r="N426" s="32"/>
      <c r="AA426" s="46">
        <v>15</v>
      </c>
      <c r="AB426" s="46">
        <v>27</v>
      </c>
      <c r="AC426" s="46">
        <v>16</v>
      </c>
      <c r="AD426" s="46">
        <v>15</v>
      </c>
      <c r="AE426" s="46">
        <v>17</v>
      </c>
      <c r="AF426" s="46">
        <v>90</v>
      </c>
      <c r="AG426" s="46">
        <v>18</v>
      </c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26</v>
      </c>
      <c r="H427" s="43">
        <v>31</v>
      </c>
      <c r="I427" s="43">
        <v>16</v>
      </c>
      <c r="J427" s="43">
        <v>13</v>
      </c>
      <c r="K427" s="43">
        <v>27</v>
      </c>
      <c r="L427" s="31">
        <f t="shared" si="109"/>
        <v>113</v>
      </c>
      <c r="M427" s="31">
        <f t="shared" si="108"/>
        <v>23</v>
      </c>
      <c r="N427" s="32"/>
      <c r="AA427" s="46">
        <v>26</v>
      </c>
      <c r="AB427" s="46">
        <v>31</v>
      </c>
      <c r="AC427" s="46">
        <v>16</v>
      </c>
      <c r="AD427" s="46">
        <v>13</v>
      </c>
      <c r="AE427" s="46">
        <v>27</v>
      </c>
      <c r="AF427" s="46">
        <v>113</v>
      </c>
      <c r="AG427" s="46">
        <v>23</v>
      </c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>
        <v>0</v>
      </c>
      <c r="AG428" s="46">
        <v>0</v>
      </c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>
        <v>0</v>
      </c>
      <c r="AG429" s="46">
        <v>0</v>
      </c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>
        <v>0</v>
      </c>
      <c r="AG430" s="46">
        <v>0</v>
      </c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>
        <v>0</v>
      </c>
      <c r="AG431" s="46">
        <v>0</v>
      </c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>
        <v>0</v>
      </c>
      <c r="AG432" s="46">
        <v>0</v>
      </c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2024</v>
      </c>
      <c r="H435" s="10">
        <f>+G435</f>
        <v>2024</v>
      </c>
      <c r="I435" s="10">
        <f t="shared" ref="I435:M436" si="110">+H435</f>
        <v>2024</v>
      </c>
      <c r="J435" s="10">
        <f t="shared" si="110"/>
        <v>2024</v>
      </c>
      <c r="K435" s="10">
        <f t="shared" si="110"/>
        <v>2024</v>
      </c>
      <c r="L435" s="10">
        <f t="shared" si="110"/>
        <v>2024</v>
      </c>
      <c r="M435" s="10">
        <f t="shared" si="110"/>
        <v>2024</v>
      </c>
      <c r="N435" s="11"/>
      <c r="S435" s="12" t="str">
        <f>+C435</f>
        <v>Jubukweni</v>
      </c>
      <c r="T435" s="13">
        <f>+L439</f>
        <v>73</v>
      </c>
      <c r="U435" s="13">
        <f>+L440+L441</f>
        <v>18</v>
      </c>
      <c r="V435" s="13">
        <f>+L442+L443</f>
        <v>55</v>
      </c>
      <c r="W435" s="13">
        <f>+L446</f>
        <v>13</v>
      </c>
      <c r="X435" s="13">
        <f>+L444</f>
        <v>0</v>
      </c>
    </row>
    <row r="436" spans="1:24" x14ac:dyDescent="0.25">
      <c r="A436" s="14"/>
      <c r="B436" s="15"/>
      <c r="C436" s="41" t="str">
        <f>+$C420</f>
        <v>September 2024</v>
      </c>
      <c r="D436" s="18"/>
      <c r="E436" s="18"/>
      <c r="F436" s="18"/>
      <c r="G436" s="20" t="str">
        <f>+$G$4</f>
        <v>Sep</v>
      </c>
      <c r="H436" s="20" t="str">
        <f>+G436</f>
        <v>Sep</v>
      </c>
      <c r="I436" s="20" t="str">
        <f t="shared" si="110"/>
        <v>Sep</v>
      </c>
      <c r="J436" s="20" t="str">
        <f t="shared" si="110"/>
        <v>Sep</v>
      </c>
      <c r="K436" s="20" t="str">
        <f t="shared" si="110"/>
        <v>Sep</v>
      </c>
      <c r="L436" s="20" t="str">
        <f t="shared" si="110"/>
        <v>Sep</v>
      </c>
      <c r="M436" s="20" t="str">
        <f t="shared" si="110"/>
        <v>Sep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1</v>
      </c>
      <c r="H437" s="25">
        <f>+$H$5</f>
        <v>8</v>
      </c>
      <c r="I437" s="25">
        <f>+$I$5</f>
        <v>15</v>
      </c>
      <c r="J437" s="25">
        <f>+$J$5</f>
        <v>22</v>
      </c>
      <c r="K437" s="25">
        <f>+$K$5</f>
        <v>29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8</v>
      </c>
      <c r="H439" s="31">
        <f t="shared" ref="H439:L439" si="111">SUM(H440:H443)</f>
        <v>23</v>
      </c>
      <c r="I439" s="31">
        <f t="shared" si="111"/>
        <v>24</v>
      </c>
      <c r="J439" s="31">
        <f t="shared" si="111"/>
        <v>4</v>
      </c>
      <c r="K439" s="31">
        <f t="shared" si="111"/>
        <v>14</v>
      </c>
      <c r="L439" s="31">
        <f t="shared" si="111"/>
        <v>73</v>
      </c>
      <c r="M439" s="31">
        <f>ROUND((L439/$E$1),0)</f>
        <v>15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2</v>
      </c>
      <c r="I440" s="42">
        <v>2</v>
      </c>
      <c r="J440" s="42">
        <v>2</v>
      </c>
      <c r="K440" s="42">
        <v>2</v>
      </c>
      <c r="L440" s="35">
        <f>SUM(G440:K440)</f>
        <v>10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1</v>
      </c>
      <c r="H441" s="42">
        <v>1</v>
      </c>
      <c r="I441" s="42">
        <v>2</v>
      </c>
      <c r="J441" s="42">
        <v>2</v>
      </c>
      <c r="K441" s="42">
        <v>2</v>
      </c>
      <c r="L441" s="35">
        <f t="shared" ref="L441:L448" si="113">SUM(G441:K441)</f>
        <v>8</v>
      </c>
      <c r="M441" s="35">
        <f t="shared" si="112"/>
        <v>2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4</v>
      </c>
      <c r="H442" s="42">
        <v>10</v>
      </c>
      <c r="I442" s="42">
        <v>10</v>
      </c>
      <c r="J442" s="42">
        <v>0</v>
      </c>
      <c r="K442" s="42">
        <v>5</v>
      </c>
      <c r="L442" s="35">
        <f t="shared" si="113"/>
        <v>29</v>
      </c>
      <c r="M442" s="35">
        <f t="shared" si="112"/>
        <v>6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</v>
      </c>
      <c r="H443" s="43">
        <v>10</v>
      </c>
      <c r="I443" s="43">
        <v>10</v>
      </c>
      <c r="J443" s="43">
        <v>0</v>
      </c>
      <c r="K443" s="43">
        <v>5</v>
      </c>
      <c r="L443" s="31">
        <f t="shared" si="113"/>
        <v>26</v>
      </c>
      <c r="M443" s="31">
        <f t="shared" si="112"/>
        <v>5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>
        <v>4</v>
      </c>
      <c r="H446" s="42"/>
      <c r="I446" s="42">
        <v>4</v>
      </c>
      <c r="J446" s="42">
        <v>3</v>
      </c>
      <c r="K446" s="42">
        <v>2</v>
      </c>
      <c r="L446" s="35">
        <f t="shared" si="113"/>
        <v>13</v>
      </c>
      <c r="M446" s="35">
        <f t="shared" si="112"/>
        <v>3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>
        <v>72</v>
      </c>
      <c r="H447" s="42">
        <v>72</v>
      </c>
      <c r="I447" s="42">
        <v>192</v>
      </c>
      <c r="J447" s="42"/>
      <c r="K447" s="42">
        <v>64</v>
      </c>
      <c r="L447" s="35">
        <f t="shared" si="113"/>
        <v>400</v>
      </c>
      <c r="M447" s="35">
        <f t="shared" si="112"/>
        <v>80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2024</v>
      </c>
      <c r="H451" s="10">
        <f>+G451</f>
        <v>2024</v>
      </c>
      <c r="I451" s="10">
        <f t="shared" ref="I451:M452" si="114">+H451</f>
        <v>2024</v>
      </c>
      <c r="J451" s="10">
        <f t="shared" si="114"/>
        <v>2024</v>
      </c>
      <c r="K451" s="10">
        <f t="shared" si="114"/>
        <v>2024</v>
      </c>
      <c r="L451" s="10">
        <f t="shared" si="114"/>
        <v>2024</v>
      </c>
      <c r="M451" s="10">
        <f t="shared" si="114"/>
        <v>2024</v>
      </c>
      <c r="N451" s="11"/>
      <c r="S451" s="12" t="str">
        <f>+C451</f>
        <v>Sigangeni</v>
      </c>
      <c r="T451" s="13">
        <f>+L455</f>
        <v>179</v>
      </c>
      <c r="U451" s="13">
        <f>+L456+L457</f>
        <v>45</v>
      </c>
      <c r="V451" s="13">
        <f>+L458+L459</f>
        <v>134</v>
      </c>
      <c r="W451" s="13">
        <f>+L462</f>
        <v>8</v>
      </c>
      <c r="X451" s="13">
        <f>+L460</f>
        <v>0</v>
      </c>
    </row>
    <row r="452" spans="1:24" x14ac:dyDescent="0.25">
      <c r="A452" s="14"/>
      <c r="B452" s="15"/>
      <c r="C452" s="41" t="str">
        <f>+$C436</f>
        <v>September 2024</v>
      </c>
      <c r="D452" s="18"/>
      <c r="E452" s="18"/>
      <c r="F452" s="18"/>
      <c r="G452" s="20" t="str">
        <f>+$G$4</f>
        <v>Sep</v>
      </c>
      <c r="H452" s="20" t="str">
        <f>+G452</f>
        <v>Sep</v>
      </c>
      <c r="I452" s="20" t="str">
        <f t="shared" si="114"/>
        <v>Sep</v>
      </c>
      <c r="J452" s="20" t="str">
        <f t="shared" si="114"/>
        <v>Sep</v>
      </c>
      <c r="K452" s="20" t="str">
        <f t="shared" si="114"/>
        <v>Sep</v>
      </c>
      <c r="L452" s="20" t="str">
        <f t="shared" si="114"/>
        <v>Sep</v>
      </c>
      <c r="M452" s="20" t="str">
        <f t="shared" si="114"/>
        <v>Sep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1</v>
      </c>
      <c r="H453" s="25">
        <f>+$H$5</f>
        <v>8</v>
      </c>
      <c r="I453" s="25">
        <f>+$I$5</f>
        <v>15</v>
      </c>
      <c r="J453" s="25">
        <f>+$J$5</f>
        <v>22</v>
      </c>
      <c r="K453" s="25">
        <f>+$K$5</f>
        <v>29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48</v>
      </c>
      <c r="H455" s="31">
        <f t="shared" ref="H455:L455" si="115">SUM(H456:H459)</f>
        <v>38</v>
      </c>
      <c r="I455" s="31">
        <f t="shared" si="115"/>
        <v>0</v>
      </c>
      <c r="J455" s="31">
        <f t="shared" si="115"/>
        <v>30</v>
      </c>
      <c r="K455" s="31">
        <f t="shared" si="115"/>
        <v>63</v>
      </c>
      <c r="L455" s="31">
        <f t="shared" si="115"/>
        <v>179</v>
      </c>
      <c r="M455" s="31">
        <f>ROUND((L455/$E$1),0)</f>
        <v>36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8</v>
      </c>
      <c r="H456" s="42">
        <v>6</v>
      </c>
      <c r="I456" s="42"/>
      <c r="J456" s="42">
        <v>7</v>
      </c>
      <c r="K456" s="42">
        <v>7</v>
      </c>
      <c r="L456" s="35">
        <f>SUM(G456:K456)</f>
        <v>28</v>
      </c>
      <c r="M456" s="35">
        <f t="shared" ref="M456:M464" si="116">ROUND((L456/$E$1),0)</f>
        <v>6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4</v>
      </c>
      <c r="H457" s="42">
        <v>4</v>
      </c>
      <c r="I457" s="42"/>
      <c r="J457" s="42">
        <v>4</v>
      </c>
      <c r="K457" s="42">
        <v>5</v>
      </c>
      <c r="L457" s="35">
        <f t="shared" ref="L457:L464" si="117">SUM(G457:K457)</f>
        <v>17</v>
      </c>
      <c r="M457" s="35">
        <f t="shared" si="116"/>
        <v>3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13</v>
      </c>
      <c r="H458" s="42">
        <v>11</v>
      </c>
      <c r="I458" s="42"/>
      <c r="J458" s="42">
        <v>7</v>
      </c>
      <c r="K458" s="42">
        <v>14</v>
      </c>
      <c r="L458" s="35">
        <f t="shared" si="117"/>
        <v>45</v>
      </c>
      <c r="M458" s="35">
        <f t="shared" si="116"/>
        <v>9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23</v>
      </c>
      <c r="H459" s="43">
        <v>17</v>
      </c>
      <c r="I459" s="43"/>
      <c r="J459" s="43">
        <v>12</v>
      </c>
      <c r="K459" s="43">
        <v>37</v>
      </c>
      <c r="L459" s="31">
        <f t="shared" si="117"/>
        <v>89</v>
      </c>
      <c r="M459" s="31">
        <f t="shared" si="116"/>
        <v>18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3</v>
      </c>
      <c r="H462" s="42">
        <v>5</v>
      </c>
      <c r="I462" s="42"/>
      <c r="J462" s="42"/>
      <c r="K462" s="42"/>
      <c r="L462" s="35">
        <f t="shared" si="117"/>
        <v>8</v>
      </c>
      <c r="M462" s="35">
        <f t="shared" si="116"/>
        <v>2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2024</v>
      </c>
      <c r="H467" s="10">
        <f>+G467</f>
        <v>2024</v>
      </c>
      <c r="I467" s="10">
        <f t="shared" ref="I467:M468" si="118">+H467</f>
        <v>2024</v>
      </c>
      <c r="J467" s="10">
        <f t="shared" si="118"/>
        <v>2024</v>
      </c>
      <c r="K467" s="10">
        <f t="shared" si="118"/>
        <v>2024</v>
      </c>
      <c r="L467" s="10">
        <f t="shared" si="118"/>
        <v>2024</v>
      </c>
      <c r="M467" s="10">
        <f t="shared" si="118"/>
        <v>2024</v>
      </c>
      <c r="N467" s="11"/>
      <c r="S467" s="12" t="str">
        <f>+C467</f>
        <v>Sgombeni</v>
      </c>
      <c r="T467" s="13">
        <f>+L471</f>
        <v>322</v>
      </c>
      <c r="U467" s="13">
        <f>+L472+L473</f>
        <v>103</v>
      </c>
      <c r="V467" s="13">
        <f>+L474+L475</f>
        <v>219</v>
      </c>
      <c r="W467" s="13">
        <f>+L478</f>
        <v>18</v>
      </c>
      <c r="X467" s="13">
        <f>+L476</f>
        <v>0</v>
      </c>
    </row>
    <row r="468" spans="1:24" x14ac:dyDescent="0.25">
      <c r="A468" s="14"/>
      <c r="B468" s="15"/>
      <c r="C468" s="41" t="str">
        <f>+$C452</f>
        <v>September 2024</v>
      </c>
      <c r="D468" s="18"/>
      <c r="E468" s="18"/>
      <c r="F468" s="18"/>
      <c r="G468" s="20" t="str">
        <f>+$G$4</f>
        <v>Sep</v>
      </c>
      <c r="H468" s="20" t="str">
        <f>+G468</f>
        <v>Sep</v>
      </c>
      <c r="I468" s="20" t="str">
        <f t="shared" si="118"/>
        <v>Sep</v>
      </c>
      <c r="J468" s="20" t="str">
        <f t="shared" si="118"/>
        <v>Sep</v>
      </c>
      <c r="K468" s="20" t="str">
        <f t="shared" si="118"/>
        <v>Sep</v>
      </c>
      <c r="L468" s="20" t="str">
        <f t="shared" si="118"/>
        <v>Sep</v>
      </c>
      <c r="M468" s="20" t="str">
        <f t="shared" si="118"/>
        <v>Sep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1</v>
      </c>
      <c r="H469" s="25">
        <f>+$H$5</f>
        <v>8</v>
      </c>
      <c r="I469" s="25">
        <f>+$I$5</f>
        <v>15</v>
      </c>
      <c r="J469" s="25">
        <f>+$J$5</f>
        <v>22</v>
      </c>
      <c r="K469" s="25">
        <f>+$K$5</f>
        <v>29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54</v>
      </c>
      <c r="H471" s="31">
        <f t="shared" ref="H471:L471" si="119">SUM(H472:H475)</f>
        <v>64</v>
      </c>
      <c r="I471" s="31">
        <f t="shared" si="119"/>
        <v>74</v>
      </c>
      <c r="J471" s="31">
        <f t="shared" si="119"/>
        <v>47</v>
      </c>
      <c r="K471" s="31">
        <f t="shared" si="119"/>
        <v>83</v>
      </c>
      <c r="L471" s="31">
        <f t="shared" si="119"/>
        <v>322</v>
      </c>
      <c r="M471" s="31">
        <f>ROUND((L471/$E$1),0)</f>
        <v>64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7</v>
      </c>
      <c r="H472" s="42">
        <v>7</v>
      </c>
      <c r="I472" s="42">
        <v>6</v>
      </c>
      <c r="J472" s="42">
        <v>8</v>
      </c>
      <c r="K472" s="42">
        <v>9</v>
      </c>
      <c r="L472" s="35">
        <f>SUM(G472:K472)</f>
        <v>37</v>
      </c>
      <c r="M472" s="35">
        <f t="shared" ref="M472:M480" si="120">ROUND((L472/$E$1),0)</f>
        <v>7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10</v>
      </c>
      <c r="H473" s="42">
        <v>10</v>
      </c>
      <c r="I473" s="42">
        <v>17</v>
      </c>
      <c r="J473" s="42">
        <v>13</v>
      </c>
      <c r="K473" s="42">
        <v>16</v>
      </c>
      <c r="L473" s="35">
        <f t="shared" ref="L473:L480" si="121">SUM(G473:K473)</f>
        <v>66</v>
      </c>
      <c r="M473" s="35">
        <f t="shared" si="120"/>
        <v>13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12</v>
      </c>
      <c r="H474" s="42">
        <v>10</v>
      </c>
      <c r="I474" s="42">
        <v>21</v>
      </c>
      <c r="J474" s="42">
        <v>12</v>
      </c>
      <c r="K474" s="42">
        <v>22</v>
      </c>
      <c r="L474" s="35">
        <f t="shared" si="121"/>
        <v>77</v>
      </c>
      <c r="M474" s="35">
        <f t="shared" si="120"/>
        <v>15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25</v>
      </c>
      <c r="H475" s="43">
        <v>37</v>
      </c>
      <c r="I475" s="43">
        <v>30</v>
      </c>
      <c r="J475" s="43">
        <v>14</v>
      </c>
      <c r="K475" s="43">
        <v>36</v>
      </c>
      <c r="L475" s="31">
        <f t="shared" si="121"/>
        <v>142</v>
      </c>
      <c r="M475" s="31">
        <f t="shared" si="120"/>
        <v>28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3</v>
      </c>
      <c r="H478" s="42">
        <v>5</v>
      </c>
      <c r="I478" s="42">
        <v>3</v>
      </c>
      <c r="J478" s="42">
        <v>2</v>
      </c>
      <c r="K478" s="42">
        <v>5</v>
      </c>
      <c r="L478" s="35">
        <f t="shared" si="121"/>
        <v>18</v>
      </c>
      <c r="M478" s="35">
        <f t="shared" si="120"/>
        <v>4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/>
      <c r="H479" s="42">
        <v>37</v>
      </c>
      <c r="I479" s="42">
        <v>35</v>
      </c>
      <c r="J479" s="42">
        <v>20</v>
      </c>
      <c r="K479" s="42">
        <v>40</v>
      </c>
      <c r="L479" s="35">
        <f t="shared" si="121"/>
        <v>132</v>
      </c>
      <c r="M479" s="35">
        <f t="shared" si="120"/>
        <v>26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2024</v>
      </c>
      <c r="H483" s="10">
        <f>+G483</f>
        <v>2024</v>
      </c>
      <c r="I483" s="10">
        <f t="shared" ref="I483:M484" si="122">+H483</f>
        <v>2024</v>
      </c>
      <c r="J483" s="10">
        <f t="shared" si="122"/>
        <v>2024</v>
      </c>
      <c r="K483" s="10">
        <f t="shared" si="122"/>
        <v>2024</v>
      </c>
      <c r="L483" s="10">
        <f t="shared" si="122"/>
        <v>2024</v>
      </c>
      <c r="M483" s="10">
        <f t="shared" si="122"/>
        <v>2024</v>
      </c>
      <c r="N483" s="11"/>
      <c r="S483" s="12" t="str">
        <f>+C483</f>
        <v>Lushikishini</v>
      </c>
      <c r="T483" s="13">
        <f>+L487</f>
        <v>184</v>
      </c>
      <c r="U483" s="13">
        <f>+L488+L489</f>
        <v>69</v>
      </c>
      <c r="V483" s="13">
        <f>+L490+L491</f>
        <v>115</v>
      </c>
      <c r="W483" s="13">
        <f>+L494</f>
        <v>0</v>
      </c>
      <c r="X483" s="13">
        <f>+L492</f>
        <v>0</v>
      </c>
    </row>
    <row r="484" spans="1:24" x14ac:dyDescent="0.25">
      <c r="A484" s="14"/>
      <c r="B484" s="15"/>
      <c r="C484" s="41" t="str">
        <f>+$C468</f>
        <v>September 2024</v>
      </c>
      <c r="D484" s="18"/>
      <c r="E484" s="18"/>
      <c r="F484" s="18"/>
      <c r="G484" s="20" t="str">
        <f>+$G$4</f>
        <v>Sep</v>
      </c>
      <c r="H484" s="20" t="str">
        <f>+G484</f>
        <v>Sep</v>
      </c>
      <c r="I484" s="20" t="str">
        <f t="shared" si="122"/>
        <v>Sep</v>
      </c>
      <c r="J484" s="20" t="str">
        <f t="shared" si="122"/>
        <v>Sep</v>
      </c>
      <c r="K484" s="20" t="str">
        <f t="shared" si="122"/>
        <v>Sep</v>
      </c>
      <c r="L484" s="20" t="str">
        <f t="shared" si="122"/>
        <v>Sep</v>
      </c>
      <c r="M484" s="20" t="str">
        <f t="shared" si="122"/>
        <v>Sep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1</v>
      </c>
      <c r="H485" s="25">
        <f>+$H$5</f>
        <v>8</v>
      </c>
      <c r="I485" s="25">
        <f>+$I$5</f>
        <v>15</v>
      </c>
      <c r="J485" s="25">
        <f>+$J$5</f>
        <v>22</v>
      </c>
      <c r="K485" s="25">
        <f>+$K$5</f>
        <v>29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35</v>
      </c>
      <c r="H487" s="31">
        <f t="shared" ref="H487:L487" si="123">SUM(H488:H491)</f>
        <v>69</v>
      </c>
      <c r="I487" s="31">
        <f t="shared" si="123"/>
        <v>16</v>
      </c>
      <c r="J487" s="31">
        <f t="shared" si="123"/>
        <v>17</v>
      </c>
      <c r="K487" s="31">
        <f t="shared" si="123"/>
        <v>47</v>
      </c>
      <c r="L487" s="31">
        <f t="shared" si="123"/>
        <v>184</v>
      </c>
      <c r="M487" s="31">
        <f>ROUND((L487/$E$1),0)</f>
        <v>37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2</v>
      </c>
      <c r="H488" s="42">
        <v>3</v>
      </c>
      <c r="I488" s="42">
        <v>2</v>
      </c>
      <c r="J488" s="42">
        <v>2</v>
      </c>
      <c r="K488" s="42">
        <v>4</v>
      </c>
      <c r="L488" s="35">
        <f>SUM(G488:K488)</f>
        <v>13</v>
      </c>
      <c r="M488" s="35">
        <f t="shared" ref="M488:M496" si="124">ROUND((L488/$E$1),0)</f>
        <v>3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15</v>
      </c>
      <c r="H489" s="42">
        <v>18</v>
      </c>
      <c r="I489" s="42">
        <v>4</v>
      </c>
      <c r="J489" s="42">
        <v>5</v>
      </c>
      <c r="K489" s="42">
        <v>14</v>
      </c>
      <c r="L489" s="35">
        <f t="shared" ref="L489:L496" si="125">SUM(G489:K489)</f>
        <v>56</v>
      </c>
      <c r="M489" s="35">
        <f t="shared" si="124"/>
        <v>11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4</v>
      </c>
      <c r="H490" s="42">
        <v>7</v>
      </c>
      <c r="I490" s="42">
        <v>6</v>
      </c>
      <c r="J490" s="42">
        <v>4</v>
      </c>
      <c r="K490" s="42">
        <v>10</v>
      </c>
      <c r="L490" s="35">
        <f t="shared" si="125"/>
        <v>31</v>
      </c>
      <c r="M490" s="35">
        <f t="shared" si="124"/>
        <v>6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14</v>
      </c>
      <c r="H491" s="43">
        <v>41</v>
      </c>
      <c r="I491" s="43">
        <v>4</v>
      </c>
      <c r="J491" s="43">
        <v>6</v>
      </c>
      <c r="K491" s="43">
        <v>19</v>
      </c>
      <c r="L491" s="31">
        <f t="shared" si="125"/>
        <v>84</v>
      </c>
      <c r="M491" s="31">
        <f t="shared" si="124"/>
        <v>17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/>
      <c r="J492" s="42"/>
      <c r="K492" s="42"/>
      <c r="L492" s="35">
        <f t="shared" si="125"/>
        <v>0</v>
      </c>
      <c r="M492" s="35">
        <f t="shared" si="124"/>
        <v>0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/>
      <c r="I494" s="42"/>
      <c r="J494" s="42"/>
      <c r="K494" s="42"/>
      <c r="L494" s="35">
        <f t="shared" si="125"/>
        <v>0</v>
      </c>
      <c r="M494" s="35">
        <f t="shared" si="124"/>
        <v>0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>
        <v>72</v>
      </c>
      <c r="I495" s="42">
        <v>9</v>
      </c>
      <c r="J495" s="42">
        <v>32</v>
      </c>
      <c r="K495" s="42"/>
      <c r="L495" s="35">
        <f t="shared" si="125"/>
        <v>113</v>
      </c>
      <c r="M495" s="35">
        <f t="shared" si="124"/>
        <v>23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2024</v>
      </c>
      <c r="H499" s="10">
        <f>+G499</f>
        <v>2024</v>
      </c>
      <c r="I499" s="10">
        <f t="shared" ref="I499:M500" si="126">+H499</f>
        <v>2024</v>
      </c>
      <c r="J499" s="10">
        <f t="shared" si="126"/>
        <v>2024</v>
      </c>
      <c r="K499" s="10">
        <f t="shared" si="126"/>
        <v>2024</v>
      </c>
      <c r="L499" s="10">
        <f t="shared" si="126"/>
        <v>2024</v>
      </c>
      <c r="M499" s="10">
        <f t="shared" si="126"/>
        <v>2024</v>
      </c>
      <c r="N499" s="11"/>
      <c r="S499" s="12" t="str">
        <f>+C499</f>
        <v>Sigengeni (Shiselweni)</v>
      </c>
      <c r="T499" s="13">
        <f>+L503</f>
        <v>412</v>
      </c>
      <c r="U499" s="13">
        <f>+L504+L505</f>
        <v>69</v>
      </c>
      <c r="V499" s="13">
        <f>+L506+L507</f>
        <v>343</v>
      </c>
      <c r="W499" s="13">
        <f>+L510</f>
        <v>10</v>
      </c>
      <c r="X499" s="13">
        <f>+L508</f>
        <v>16</v>
      </c>
    </row>
    <row r="500" spans="1:24" x14ac:dyDescent="0.25">
      <c r="A500" s="14"/>
      <c r="B500" s="15"/>
      <c r="C500" s="41" t="str">
        <f>+$C484</f>
        <v>September 2024</v>
      </c>
      <c r="D500" s="18"/>
      <c r="E500" s="18"/>
      <c r="F500" s="18"/>
      <c r="G500" s="20" t="str">
        <f>+$G$4</f>
        <v>Sep</v>
      </c>
      <c r="H500" s="20" t="str">
        <f>+G500</f>
        <v>Sep</v>
      </c>
      <c r="I500" s="20" t="str">
        <f t="shared" si="126"/>
        <v>Sep</v>
      </c>
      <c r="J500" s="20" t="str">
        <f t="shared" si="126"/>
        <v>Sep</v>
      </c>
      <c r="K500" s="20" t="str">
        <f t="shared" si="126"/>
        <v>Sep</v>
      </c>
      <c r="L500" s="20" t="str">
        <f t="shared" si="126"/>
        <v>Sep</v>
      </c>
      <c r="M500" s="20" t="str">
        <f t="shared" si="126"/>
        <v>Sep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1</v>
      </c>
      <c r="H501" s="25">
        <f>+$H$5</f>
        <v>8</v>
      </c>
      <c r="I501" s="25">
        <f>+$I$5</f>
        <v>15</v>
      </c>
      <c r="J501" s="25">
        <f>+$J$5</f>
        <v>22</v>
      </c>
      <c r="K501" s="25">
        <f>+$K$5</f>
        <v>29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72</v>
      </c>
      <c r="H503" s="31">
        <f t="shared" ref="H503:L503" si="127">SUM(H504:H507)</f>
        <v>101</v>
      </c>
      <c r="I503" s="31">
        <f t="shared" si="127"/>
        <v>68</v>
      </c>
      <c r="J503" s="31">
        <f t="shared" si="127"/>
        <v>58</v>
      </c>
      <c r="K503" s="31">
        <f t="shared" si="127"/>
        <v>113</v>
      </c>
      <c r="L503" s="31">
        <f t="shared" si="127"/>
        <v>412</v>
      </c>
      <c r="M503" s="31">
        <f>ROUND((L503/$E$1),0)</f>
        <v>82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5</v>
      </c>
      <c r="H504" s="42">
        <v>5</v>
      </c>
      <c r="I504" s="42">
        <v>2</v>
      </c>
      <c r="J504" s="42">
        <v>3</v>
      </c>
      <c r="K504" s="42">
        <v>3</v>
      </c>
      <c r="L504" s="35">
        <f>SUM(G504:K504)</f>
        <v>18</v>
      </c>
      <c r="M504" s="35">
        <f t="shared" ref="M504:M512" si="128">ROUND((L504/$E$1),0)</f>
        <v>4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8</v>
      </c>
      <c r="H505" s="42">
        <v>13</v>
      </c>
      <c r="I505" s="42">
        <v>10</v>
      </c>
      <c r="J505" s="42">
        <v>7</v>
      </c>
      <c r="K505" s="42">
        <v>13</v>
      </c>
      <c r="L505" s="35">
        <f t="shared" ref="L505:L512" si="129">SUM(G505:K505)</f>
        <v>51</v>
      </c>
      <c r="M505" s="35">
        <f t="shared" si="128"/>
        <v>10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13</v>
      </c>
      <c r="H506" s="42">
        <v>16</v>
      </c>
      <c r="I506" s="42">
        <v>13</v>
      </c>
      <c r="J506" s="42">
        <v>14</v>
      </c>
      <c r="K506" s="42">
        <v>21</v>
      </c>
      <c r="L506" s="35">
        <f t="shared" si="129"/>
        <v>77</v>
      </c>
      <c r="M506" s="35">
        <f t="shared" si="128"/>
        <v>15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46</v>
      </c>
      <c r="H507" s="43">
        <v>67</v>
      </c>
      <c r="I507" s="43">
        <v>43</v>
      </c>
      <c r="J507" s="43">
        <v>34</v>
      </c>
      <c r="K507" s="43">
        <v>76</v>
      </c>
      <c r="L507" s="31">
        <f t="shared" si="129"/>
        <v>266</v>
      </c>
      <c r="M507" s="31">
        <f t="shared" si="128"/>
        <v>53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>
        <v>1</v>
      </c>
      <c r="H508" s="42">
        <v>2</v>
      </c>
      <c r="I508" s="42">
        <v>1</v>
      </c>
      <c r="J508" s="42">
        <v>6</v>
      </c>
      <c r="K508" s="42">
        <v>6</v>
      </c>
      <c r="L508" s="35">
        <f t="shared" si="129"/>
        <v>16</v>
      </c>
      <c r="M508" s="35">
        <f t="shared" si="128"/>
        <v>3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3</v>
      </c>
      <c r="H510" s="42">
        <v>2</v>
      </c>
      <c r="I510" s="42">
        <v>2</v>
      </c>
      <c r="J510" s="42">
        <v>1</v>
      </c>
      <c r="K510" s="42">
        <v>2</v>
      </c>
      <c r="L510" s="35">
        <f t="shared" si="129"/>
        <v>10</v>
      </c>
      <c r="M510" s="35">
        <f t="shared" si="128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36</v>
      </c>
      <c r="H511" s="42">
        <v>108</v>
      </c>
      <c r="I511" s="42">
        <v>64</v>
      </c>
      <c r="J511" s="42">
        <v>10</v>
      </c>
      <c r="K511" s="42">
        <v>20</v>
      </c>
      <c r="L511" s="35">
        <f t="shared" si="129"/>
        <v>238</v>
      </c>
      <c r="M511" s="35">
        <f t="shared" si="128"/>
        <v>48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2024</v>
      </c>
      <c r="H515" s="10">
        <f>+G515</f>
        <v>2024</v>
      </c>
      <c r="I515" s="10">
        <f t="shared" ref="I515:M516" si="130">+H515</f>
        <v>2024</v>
      </c>
      <c r="J515" s="10">
        <f t="shared" si="130"/>
        <v>2024</v>
      </c>
      <c r="K515" s="10">
        <f t="shared" si="130"/>
        <v>2024</v>
      </c>
      <c r="L515" s="10">
        <f t="shared" si="130"/>
        <v>2024</v>
      </c>
      <c r="M515" s="10">
        <f t="shared" si="130"/>
        <v>2024</v>
      </c>
      <c r="N515" s="11"/>
      <c r="S515" s="12" t="str">
        <f>+C515</f>
        <v>Gundviwini</v>
      </c>
      <c r="T515" s="13">
        <f>+L519</f>
        <v>235</v>
      </c>
      <c r="U515" s="13">
        <f>+L520+L521</f>
        <v>85</v>
      </c>
      <c r="V515" s="13">
        <f>+L522+L523</f>
        <v>150</v>
      </c>
      <c r="W515" s="13">
        <f>+L526</f>
        <v>5</v>
      </c>
      <c r="X515" s="13">
        <f>+L524</f>
        <v>12</v>
      </c>
    </row>
    <row r="516" spans="1:24" x14ac:dyDescent="0.25">
      <c r="A516" s="14"/>
      <c r="B516" s="15"/>
      <c r="C516" s="41" t="str">
        <f>+$C500</f>
        <v>September 2024</v>
      </c>
      <c r="D516" s="18"/>
      <c r="E516" s="18"/>
      <c r="F516" s="18"/>
      <c r="G516" s="20" t="str">
        <f>+$G$4</f>
        <v>Sep</v>
      </c>
      <c r="H516" s="20" t="str">
        <f>+G516</f>
        <v>Sep</v>
      </c>
      <c r="I516" s="20" t="str">
        <f t="shared" si="130"/>
        <v>Sep</v>
      </c>
      <c r="J516" s="20" t="str">
        <f t="shared" si="130"/>
        <v>Sep</v>
      </c>
      <c r="K516" s="20" t="str">
        <f t="shared" si="130"/>
        <v>Sep</v>
      </c>
      <c r="L516" s="20" t="str">
        <f t="shared" si="130"/>
        <v>Sep</v>
      </c>
      <c r="M516" s="20" t="str">
        <f t="shared" si="130"/>
        <v>Sep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1</v>
      </c>
      <c r="H517" s="25">
        <f>+$H$5</f>
        <v>8</v>
      </c>
      <c r="I517" s="25">
        <f>+$I$5</f>
        <v>15</v>
      </c>
      <c r="J517" s="25">
        <f>+$J$5</f>
        <v>22</v>
      </c>
      <c r="K517" s="25">
        <f>+$K$5</f>
        <v>29</v>
      </c>
      <c r="L517" s="25" t="s">
        <v>6</v>
      </c>
      <c r="M517" s="25" t="s">
        <v>7</v>
      </c>
      <c r="N517" s="26"/>
      <c r="P517" s="1" t="s">
        <v>78</v>
      </c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48</v>
      </c>
      <c r="H519" s="31">
        <f t="shared" ref="H519:L519" si="131">SUM(H520:H523)</f>
        <v>98</v>
      </c>
      <c r="I519" s="31">
        <f t="shared" si="131"/>
        <v>38</v>
      </c>
      <c r="J519" s="31">
        <f t="shared" si="131"/>
        <v>0</v>
      </c>
      <c r="K519" s="31">
        <f t="shared" si="131"/>
        <v>51</v>
      </c>
      <c r="L519" s="31">
        <f t="shared" si="131"/>
        <v>235</v>
      </c>
      <c r="M519" s="31">
        <f>ROUND((L519/$E$1),0)</f>
        <v>47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6</v>
      </c>
      <c r="H520" s="42">
        <v>15</v>
      </c>
      <c r="I520" s="42">
        <v>5</v>
      </c>
      <c r="J520" s="42"/>
      <c r="K520" s="42">
        <v>6</v>
      </c>
      <c r="L520" s="35">
        <f>SUM(G520:K520)</f>
        <v>32</v>
      </c>
      <c r="M520" s="35">
        <f t="shared" ref="M520:M528" si="132">ROUND((L520/$E$1),0)</f>
        <v>6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10</v>
      </c>
      <c r="H521" s="42">
        <v>28</v>
      </c>
      <c r="I521" s="42">
        <v>7</v>
      </c>
      <c r="J521" s="42"/>
      <c r="K521" s="42">
        <v>8</v>
      </c>
      <c r="L521" s="35">
        <f t="shared" ref="L521:L528" si="133">SUM(G521:K521)</f>
        <v>53</v>
      </c>
      <c r="M521" s="35">
        <f t="shared" si="132"/>
        <v>11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12</v>
      </c>
      <c r="H522" s="42">
        <v>20</v>
      </c>
      <c r="I522" s="42">
        <v>6</v>
      </c>
      <c r="J522" s="42"/>
      <c r="K522" s="42">
        <v>9</v>
      </c>
      <c r="L522" s="35">
        <f t="shared" si="133"/>
        <v>47</v>
      </c>
      <c r="M522" s="35">
        <f t="shared" si="132"/>
        <v>9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20</v>
      </c>
      <c r="H523" s="43">
        <v>35</v>
      </c>
      <c r="I523" s="43">
        <v>20</v>
      </c>
      <c r="J523" s="43"/>
      <c r="K523" s="43">
        <v>28</v>
      </c>
      <c r="L523" s="31">
        <f t="shared" si="133"/>
        <v>103</v>
      </c>
      <c r="M523" s="31">
        <f t="shared" si="132"/>
        <v>21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>
        <v>8</v>
      </c>
      <c r="I524" s="42">
        <v>3</v>
      </c>
      <c r="J524" s="42"/>
      <c r="K524" s="42">
        <v>1</v>
      </c>
      <c r="L524" s="35">
        <f t="shared" si="133"/>
        <v>12</v>
      </c>
      <c r="M524" s="35">
        <f t="shared" si="132"/>
        <v>2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>
        <v>2</v>
      </c>
      <c r="I526" s="42">
        <v>1</v>
      </c>
      <c r="J526" s="42"/>
      <c r="K526" s="42">
        <v>2</v>
      </c>
      <c r="L526" s="35">
        <f t="shared" si="133"/>
        <v>5</v>
      </c>
      <c r="M526" s="35">
        <f t="shared" si="132"/>
        <v>1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2024</v>
      </c>
      <c r="H531" s="10">
        <f>+G531</f>
        <v>2024</v>
      </c>
      <c r="I531" s="10">
        <f t="shared" ref="I531:M532" si="134">+H531</f>
        <v>2024</v>
      </c>
      <c r="J531" s="10">
        <f t="shared" si="134"/>
        <v>2024</v>
      </c>
      <c r="K531" s="10">
        <f t="shared" si="134"/>
        <v>2024</v>
      </c>
      <c r="L531" s="10">
        <f t="shared" si="134"/>
        <v>2024</v>
      </c>
      <c r="M531" s="10">
        <f t="shared" si="134"/>
        <v>2024</v>
      </c>
      <c r="N531" s="11"/>
      <c r="P531" s="44"/>
      <c r="S531" s="12" t="str">
        <f>+C531</f>
        <v>Mcuba</v>
      </c>
      <c r="T531" s="13">
        <f>+L535</f>
        <v>615</v>
      </c>
      <c r="U531" s="13">
        <f>+L536+L537</f>
        <v>246</v>
      </c>
      <c r="V531" s="13">
        <f>+L538+L539</f>
        <v>369</v>
      </c>
      <c r="W531" s="13">
        <f>+L542</f>
        <v>2</v>
      </c>
      <c r="X531" s="13">
        <f>+L540</f>
        <v>0</v>
      </c>
    </row>
    <row r="532" spans="1:24" x14ac:dyDescent="0.25">
      <c r="A532" s="14"/>
      <c r="B532" s="15"/>
      <c r="C532" s="41" t="str">
        <f>+$C516</f>
        <v>September 2024</v>
      </c>
      <c r="D532" s="18"/>
      <c r="E532" s="18"/>
      <c r="F532" s="18"/>
      <c r="G532" s="20" t="str">
        <f>+$G$4</f>
        <v>Sep</v>
      </c>
      <c r="H532" s="20" t="str">
        <f>+G532</f>
        <v>Sep</v>
      </c>
      <c r="I532" s="20" t="str">
        <f t="shared" si="134"/>
        <v>Sep</v>
      </c>
      <c r="J532" s="20" t="str">
        <f t="shared" si="134"/>
        <v>Sep</v>
      </c>
      <c r="K532" s="20" t="str">
        <f t="shared" si="134"/>
        <v>Sep</v>
      </c>
      <c r="L532" s="20" t="str">
        <f t="shared" si="134"/>
        <v>Sep</v>
      </c>
      <c r="M532" s="20" t="str">
        <f t="shared" si="134"/>
        <v>Sep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1</v>
      </c>
      <c r="H533" s="25">
        <f>+$H$5</f>
        <v>8</v>
      </c>
      <c r="I533" s="25">
        <f>+$I$5</f>
        <v>15</v>
      </c>
      <c r="J533" s="25">
        <f>+$J$5</f>
        <v>22</v>
      </c>
      <c r="K533" s="25">
        <f>+$K$5</f>
        <v>29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58</v>
      </c>
      <c r="H535" s="31">
        <f t="shared" ref="H535:L535" si="135">SUM(H536:H539)</f>
        <v>128</v>
      </c>
      <c r="I535" s="31">
        <f t="shared" si="135"/>
        <v>70</v>
      </c>
      <c r="J535" s="31">
        <f t="shared" si="135"/>
        <v>72</v>
      </c>
      <c r="K535" s="31">
        <f t="shared" si="135"/>
        <v>287</v>
      </c>
      <c r="L535" s="31">
        <f t="shared" si="135"/>
        <v>615</v>
      </c>
      <c r="M535" s="31">
        <f>ROUND((L535/$E$1),0)</f>
        <v>123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3</v>
      </c>
      <c r="H536" s="42">
        <v>22</v>
      </c>
      <c r="I536" s="42">
        <v>5</v>
      </c>
      <c r="J536" s="42">
        <v>2</v>
      </c>
      <c r="K536" s="42">
        <v>64</v>
      </c>
      <c r="L536" s="35">
        <f>SUM(G536:K536)</f>
        <v>96</v>
      </c>
      <c r="M536" s="35">
        <f t="shared" ref="M536:M544" si="136">ROUND((L536/$E$1),0)</f>
        <v>19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5</v>
      </c>
      <c r="H537" s="42">
        <v>45</v>
      </c>
      <c r="I537" s="42">
        <v>12</v>
      </c>
      <c r="J537" s="42">
        <v>12</v>
      </c>
      <c r="K537" s="42">
        <v>76</v>
      </c>
      <c r="L537" s="35">
        <f t="shared" ref="L537:L544" si="137">SUM(G537:K537)</f>
        <v>150</v>
      </c>
      <c r="M537" s="35">
        <f t="shared" si="136"/>
        <v>30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14</v>
      </c>
      <c r="H538" s="42">
        <v>39</v>
      </c>
      <c r="I538" s="42">
        <v>18</v>
      </c>
      <c r="J538" s="42">
        <v>16</v>
      </c>
      <c r="K538" s="42">
        <v>80</v>
      </c>
      <c r="L538" s="35">
        <f t="shared" si="137"/>
        <v>167</v>
      </c>
      <c r="M538" s="35">
        <f t="shared" si="136"/>
        <v>33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36</v>
      </c>
      <c r="H539" s="43">
        <v>22</v>
      </c>
      <c r="I539" s="43">
        <v>35</v>
      </c>
      <c r="J539" s="43">
        <v>42</v>
      </c>
      <c r="K539" s="43">
        <v>67</v>
      </c>
      <c r="L539" s="31">
        <f t="shared" si="137"/>
        <v>202</v>
      </c>
      <c r="M539" s="31">
        <f t="shared" si="136"/>
        <v>40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>
        <v>2</v>
      </c>
      <c r="H542" s="42"/>
      <c r="I542" s="42"/>
      <c r="J542" s="42"/>
      <c r="K542" s="42"/>
      <c r="L542" s="35">
        <f t="shared" si="137"/>
        <v>2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>
        <v>36</v>
      </c>
      <c r="H543" s="42"/>
      <c r="I543" s="42">
        <v>128</v>
      </c>
      <c r="J543" s="42">
        <v>128</v>
      </c>
      <c r="K543" s="42"/>
      <c r="L543" s="35">
        <f t="shared" si="137"/>
        <v>292</v>
      </c>
      <c r="M543" s="35">
        <f t="shared" si="136"/>
        <v>58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2024</v>
      </c>
      <c r="H547" s="10">
        <f>+G547</f>
        <v>2024</v>
      </c>
      <c r="I547" s="10">
        <f t="shared" ref="I547:M548" si="138">+H547</f>
        <v>2024</v>
      </c>
      <c r="J547" s="10">
        <f t="shared" si="138"/>
        <v>2024</v>
      </c>
      <c r="K547" s="10">
        <f t="shared" si="138"/>
        <v>2024</v>
      </c>
      <c r="L547" s="10">
        <f t="shared" si="138"/>
        <v>2024</v>
      </c>
      <c r="M547" s="10">
        <f t="shared" si="138"/>
        <v>2024</v>
      </c>
      <c r="N547" s="11"/>
      <c r="P547" s="44"/>
      <c r="S547" s="12" t="str">
        <f>+C547</f>
        <v>Phonjwane</v>
      </c>
      <c r="T547" s="13">
        <f>+L551</f>
        <v>555</v>
      </c>
      <c r="U547" s="13">
        <f>+L552+L553</f>
        <v>99</v>
      </c>
      <c r="V547" s="13">
        <f>+L554+L555</f>
        <v>456</v>
      </c>
      <c r="W547" s="13">
        <f>+L558</f>
        <v>8</v>
      </c>
      <c r="X547" s="13">
        <f>+L556</f>
        <v>0</v>
      </c>
    </row>
    <row r="548" spans="1:24" x14ac:dyDescent="0.25">
      <c r="A548" s="14"/>
      <c r="B548" s="15"/>
      <c r="C548" s="41" t="str">
        <f>+$C532</f>
        <v>September 2024</v>
      </c>
      <c r="D548" s="18"/>
      <c r="E548" s="18"/>
      <c r="F548" s="18"/>
      <c r="G548" s="20" t="str">
        <f>+$G$4</f>
        <v>Sep</v>
      </c>
      <c r="H548" s="20" t="str">
        <f>+G548</f>
        <v>Sep</v>
      </c>
      <c r="I548" s="20" t="str">
        <f t="shared" si="138"/>
        <v>Sep</v>
      </c>
      <c r="J548" s="20" t="str">
        <f t="shared" si="138"/>
        <v>Sep</v>
      </c>
      <c r="K548" s="20" t="str">
        <f t="shared" si="138"/>
        <v>Sep</v>
      </c>
      <c r="L548" s="20" t="str">
        <f t="shared" si="138"/>
        <v>Sep</v>
      </c>
      <c r="M548" s="20" t="str">
        <f t="shared" si="138"/>
        <v>Sep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1</v>
      </c>
      <c r="H549" s="25">
        <f>+$H$5</f>
        <v>8</v>
      </c>
      <c r="I549" s="25">
        <f>+$I$5</f>
        <v>15</v>
      </c>
      <c r="J549" s="25">
        <f>+$J$5</f>
        <v>22</v>
      </c>
      <c r="K549" s="25">
        <f>+$K$5</f>
        <v>29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104</v>
      </c>
      <c r="H551" s="31">
        <f t="shared" ref="H551:L551" si="139">SUM(H552:H555)</f>
        <v>117</v>
      </c>
      <c r="I551" s="31">
        <f t="shared" si="139"/>
        <v>126</v>
      </c>
      <c r="J551" s="31">
        <f t="shared" si="139"/>
        <v>110</v>
      </c>
      <c r="K551" s="31">
        <f t="shared" si="139"/>
        <v>98</v>
      </c>
      <c r="L551" s="31">
        <f t="shared" si="139"/>
        <v>555</v>
      </c>
      <c r="M551" s="31">
        <f>ROUND((L551/$E$1),0)</f>
        <v>111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3</v>
      </c>
      <c r="H552" s="42">
        <v>6</v>
      </c>
      <c r="I552" s="42">
        <v>6</v>
      </c>
      <c r="J552" s="42">
        <v>2</v>
      </c>
      <c r="K552" s="42">
        <v>3</v>
      </c>
      <c r="L552" s="35">
        <f>SUM(G552:K552)</f>
        <v>20</v>
      </c>
      <c r="M552" s="35">
        <f t="shared" ref="M552:M560" si="140">ROUND((L552/$E$1),0)</f>
        <v>4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14</v>
      </c>
      <c r="H553" s="42">
        <v>16</v>
      </c>
      <c r="I553" s="42">
        <v>22</v>
      </c>
      <c r="J553" s="42">
        <v>13</v>
      </c>
      <c r="K553" s="42">
        <v>14</v>
      </c>
      <c r="L553" s="35">
        <f t="shared" ref="L553:L560" si="141">SUM(G553:K553)</f>
        <v>79</v>
      </c>
      <c r="M553" s="35">
        <f t="shared" si="140"/>
        <v>16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19</v>
      </c>
      <c r="H554" s="42">
        <v>22</v>
      </c>
      <c r="I554" s="42">
        <v>31</v>
      </c>
      <c r="J554" s="42">
        <v>23</v>
      </c>
      <c r="K554" s="42">
        <v>16</v>
      </c>
      <c r="L554" s="35">
        <f t="shared" si="141"/>
        <v>111</v>
      </c>
      <c r="M554" s="35">
        <f t="shared" si="140"/>
        <v>22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68</v>
      </c>
      <c r="H555" s="43">
        <v>73</v>
      </c>
      <c r="I555" s="43">
        <v>67</v>
      </c>
      <c r="J555" s="43">
        <v>72</v>
      </c>
      <c r="K555" s="43">
        <v>65</v>
      </c>
      <c r="L555" s="31">
        <f t="shared" si="141"/>
        <v>345</v>
      </c>
      <c r="M555" s="31">
        <f t="shared" si="140"/>
        <v>69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/>
      <c r="J556" s="42"/>
      <c r="K556" s="42"/>
      <c r="L556" s="35">
        <f t="shared" si="141"/>
        <v>0</v>
      </c>
      <c r="M556" s="35">
        <f t="shared" si="140"/>
        <v>0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/>
      <c r="H558" s="42">
        <v>3</v>
      </c>
      <c r="I558" s="42">
        <v>3</v>
      </c>
      <c r="J558" s="42"/>
      <c r="K558" s="42">
        <v>2</v>
      </c>
      <c r="L558" s="35">
        <f t="shared" si="141"/>
        <v>8</v>
      </c>
      <c r="M558" s="35">
        <f t="shared" si="140"/>
        <v>2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2024</v>
      </c>
      <c r="H563" s="10">
        <f>+G563</f>
        <v>2024</v>
      </c>
      <c r="I563" s="10">
        <f t="shared" ref="I563:M564" si="142">+H563</f>
        <v>2024</v>
      </c>
      <c r="J563" s="10">
        <f t="shared" si="142"/>
        <v>2024</v>
      </c>
      <c r="K563" s="10">
        <f t="shared" si="142"/>
        <v>2024</v>
      </c>
      <c r="L563" s="10">
        <f t="shared" si="142"/>
        <v>2024</v>
      </c>
      <c r="M563" s="10">
        <f t="shared" si="142"/>
        <v>2024</v>
      </c>
      <c r="N563" s="11"/>
      <c r="P563" s="44"/>
      <c r="S563" s="12" t="str">
        <f>+C563</f>
        <v>Njakeni</v>
      </c>
      <c r="T563" s="13">
        <f>+L567</f>
        <v>355</v>
      </c>
      <c r="U563" s="13">
        <f>+L568+L569</f>
        <v>76</v>
      </c>
      <c r="V563" s="13">
        <f>+L570+L571</f>
        <v>279</v>
      </c>
      <c r="W563" s="13">
        <f>+L574</f>
        <v>16</v>
      </c>
      <c r="X563" s="13">
        <f>+L572</f>
        <v>2</v>
      </c>
    </row>
    <row r="564" spans="1:24" x14ac:dyDescent="0.25">
      <c r="A564" s="14"/>
      <c r="B564" s="15"/>
      <c r="C564" s="41" t="str">
        <f>+$C548</f>
        <v>September 2024</v>
      </c>
      <c r="D564" s="18"/>
      <c r="E564" s="18"/>
      <c r="F564" s="18"/>
      <c r="G564" s="20" t="str">
        <f>+$G$4</f>
        <v>Sep</v>
      </c>
      <c r="H564" s="20" t="str">
        <f>+G564</f>
        <v>Sep</v>
      </c>
      <c r="I564" s="20" t="str">
        <f t="shared" si="142"/>
        <v>Sep</v>
      </c>
      <c r="J564" s="20" t="str">
        <f t="shared" si="142"/>
        <v>Sep</v>
      </c>
      <c r="K564" s="20" t="str">
        <f t="shared" si="142"/>
        <v>Sep</v>
      </c>
      <c r="L564" s="20" t="str">
        <f t="shared" si="142"/>
        <v>Sep</v>
      </c>
      <c r="M564" s="20" t="str">
        <f t="shared" si="142"/>
        <v>Sep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1</v>
      </c>
      <c r="H565" s="25">
        <f>+$H$5</f>
        <v>8</v>
      </c>
      <c r="I565" s="25">
        <f>+$I$5</f>
        <v>15</v>
      </c>
      <c r="J565" s="25">
        <f>+$J$5</f>
        <v>22</v>
      </c>
      <c r="K565" s="25">
        <f>+$K$5</f>
        <v>29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63</v>
      </c>
      <c r="H567" s="31">
        <f t="shared" ref="H567:L567" si="143">SUM(H568:H571)</f>
        <v>96</v>
      </c>
      <c r="I567" s="31">
        <f t="shared" si="143"/>
        <v>61</v>
      </c>
      <c r="J567" s="31">
        <f t="shared" si="143"/>
        <v>37</v>
      </c>
      <c r="K567" s="31">
        <f t="shared" si="143"/>
        <v>98</v>
      </c>
      <c r="L567" s="31">
        <f t="shared" si="143"/>
        <v>355</v>
      </c>
      <c r="M567" s="31">
        <f>ROUND((L567/$E$1),0)</f>
        <v>71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3</v>
      </c>
      <c r="H568" s="42">
        <v>6</v>
      </c>
      <c r="I568" s="42">
        <v>6</v>
      </c>
      <c r="J568" s="42">
        <v>2</v>
      </c>
      <c r="K568" s="42">
        <v>3</v>
      </c>
      <c r="L568" s="35">
        <f>SUM(G568:K568)</f>
        <v>20</v>
      </c>
      <c r="M568" s="35">
        <f t="shared" ref="M568:M576" si="144">ROUND((L568/$E$1),0)</f>
        <v>4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6</v>
      </c>
      <c r="H569" s="42">
        <v>8</v>
      </c>
      <c r="I569" s="42">
        <v>18</v>
      </c>
      <c r="J569" s="42">
        <v>10</v>
      </c>
      <c r="K569" s="42">
        <v>14</v>
      </c>
      <c r="L569" s="35">
        <f t="shared" ref="L569:L576" si="145">SUM(G569:K569)</f>
        <v>56</v>
      </c>
      <c r="M569" s="35">
        <f t="shared" si="144"/>
        <v>11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15</v>
      </c>
      <c r="H570" s="42">
        <v>13</v>
      </c>
      <c r="I570" s="42">
        <v>13</v>
      </c>
      <c r="J570" s="42">
        <v>4</v>
      </c>
      <c r="K570" s="42">
        <v>16</v>
      </c>
      <c r="L570" s="35">
        <f t="shared" si="145"/>
        <v>61</v>
      </c>
      <c r="M570" s="35">
        <f t="shared" si="144"/>
        <v>12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39</v>
      </c>
      <c r="H571" s="43">
        <v>69</v>
      </c>
      <c r="I571" s="43">
        <v>24</v>
      </c>
      <c r="J571" s="43">
        <v>21</v>
      </c>
      <c r="K571" s="43">
        <v>65</v>
      </c>
      <c r="L571" s="31">
        <f t="shared" si="145"/>
        <v>218</v>
      </c>
      <c r="M571" s="31">
        <f t="shared" si="144"/>
        <v>44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>
        <v>2</v>
      </c>
      <c r="J572" s="42"/>
      <c r="K572" s="42"/>
      <c r="L572" s="35">
        <f t="shared" si="145"/>
        <v>2</v>
      </c>
      <c r="M572" s="35">
        <f t="shared" si="144"/>
        <v>0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3</v>
      </c>
      <c r="H574" s="42">
        <v>5</v>
      </c>
      <c r="I574" s="42">
        <v>4</v>
      </c>
      <c r="J574" s="42">
        <v>2</v>
      </c>
      <c r="K574" s="42">
        <v>2</v>
      </c>
      <c r="L574" s="35">
        <f t="shared" si="145"/>
        <v>16</v>
      </c>
      <c r="M574" s="35">
        <f t="shared" si="144"/>
        <v>3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189</v>
      </c>
      <c r="H575" s="42">
        <v>62</v>
      </c>
      <c r="I575" s="42">
        <v>116</v>
      </c>
      <c r="J575" s="42">
        <v>88</v>
      </c>
      <c r="K575" s="42"/>
      <c r="L575" s="35">
        <f t="shared" si="145"/>
        <v>455</v>
      </c>
      <c r="M575" s="35">
        <f t="shared" si="144"/>
        <v>91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2024</v>
      </c>
      <c r="H579" s="10">
        <f>+G579</f>
        <v>2024</v>
      </c>
      <c r="I579" s="10">
        <f t="shared" ref="I579:M580" si="146">+H579</f>
        <v>2024</v>
      </c>
      <c r="J579" s="10">
        <f t="shared" si="146"/>
        <v>2024</v>
      </c>
      <c r="K579" s="10">
        <f t="shared" si="146"/>
        <v>2024</v>
      </c>
      <c r="L579" s="10">
        <f t="shared" si="146"/>
        <v>2024</v>
      </c>
      <c r="M579" s="10">
        <f t="shared" si="146"/>
        <v>2024</v>
      </c>
      <c r="N579" s="11"/>
      <c r="P579" s="44"/>
      <c r="S579" s="12" t="str">
        <f>+C579</f>
        <v>Mantabeni</v>
      </c>
      <c r="T579" s="13">
        <f>+L583</f>
        <v>169</v>
      </c>
      <c r="U579" s="13">
        <f>+L584+L585</f>
        <v>37</v>
      </c>
      <c r="V579" s="13">
        <f>+L586+L587</f>
        <v>132</v>
      </c>
      <c r="W579" s="13">
        <f>+L590</f>
        <v>11</v>
      </c>
      <c r="X579" s="13">
        <f>+L588</f>
        <v>0</v>
      </c>
    </row>
    <row r="580" spans="1:24" x14ac:dyDescent="0.25">
      <c r="A580" s="14"/>
      <c r="B580" s="15"/>
      <c r="C580" s="41" t="str">
        <f>+$C564</f>
        <v>September 2024</v>
      </c>
      <c r="D580" s="18"/>
      <c r="E580" s="18"/>
      <c r="F580" s="18"/>
      <c r="G580" s="20" t="str">
        <f>+$G$4</f>
        <v>Sep</v>
      </c>
      <c r="H580" s="20" t="str">
        <f>+G580</f>
        <v>Sep</v>
      </c>
      <c r="I580" s="20" t="str">
        <f t="shared" si="146"/>
        <v>Sep</v>
      </c>
      <c r="J580" s="20" t="str">
        <f t="shared" si="146"/>
        <v>Sep</v>
      </c>
      <c r="K580" s="20" t="str">
        <f t="shared" si="146"/>
        <v>Sep</v>
      </c>
      <c r="L580" s="20" t="str">
        <f t="shared" si="146"/>
        <v>Sep</v>
      </c>
      <c r="M580" s="20" t="str">
        <f t="shared" si="146"/>
        <v>Sep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1</v>
      </c>
      <c r="H581" s="25">
        <f>+$H$5</f>
        <v>8</v>
      </c>
      <c r="I581" s="25">
        <f>+$I$5</f>
        <v>15</v>
      </c>
      <c r="J581" s="25">
        <f>+$J$5</f>
        <v>22</v>
      </c>
      <c r="K581" s="25">
        <f>+$K$5</f>
        <v>29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22</v>
      </c>
      <c r="H583" s="31">
        <f t="shared" ref="H583:L583" si="147">SUM(H584:H587)</f>
        <v>33</v>
      </c>
      <c r="I583" s="31">
        <f t="shared" si="147"/>
        <v>26</v>
      </c>
      <c r="J583" s="31">
        <f t="shared" si="147"/>
        <v>40</v>
      </c>
      <c r="K583" s="31">
        <f t="shared" si="147"/>
        <v>48</v>
      </c>
      <c r="L583" s="31">
        <f t="shared" si="147"/>
        <v>169</v>
      </c>
      <c r="M583" s="31">
        <f>ROUND((L583/$E$1),0)</f>
        <v>34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2</v>
      </c>
      <c r="H584" s="42">
        <v>2</v>
      </c>
      <c r="I584" s="42">
        <v>1</v>
      </c>
      <c r="J584" s="42">
        <v>2</v>
      </c>
      <c r="K584" s="42">
        <v>3</v>
      </c>
      <c r="L584" s="35">
        <f>SUM(G584:K584)</f>
        <v>10</v>
      </c>
      <c r="M584" s="35">
        <f t="shared" ref="M584:M592" si="148">ROUND((L584/$E$1),0)</f>
        <v>2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3</v>
      </c>
      <c r="H585" s="42">
        <v>6</v>
      </c>
      <c r="I585" s="42">
        <v>3</v>
      </c>
      <c r="J585" s="42">
        <v>8</v>
      </c>
      <c r="K585" s="42">
        <v>7</v>
      </c>
      <c r="L585" s="35">
        <f t="shared" ref="L585:L592" si="149">SUM(G585:K585)</f>
        <v>27</v>
      </c>
      <c r="M585" s="35">
        <f t="shared" si="148"/>
        <v>5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5</v>
      </c>
      <c r="H586" s="42">
        <v>6</v>
      </c>
      <c r="I586" s="42">
        <v>6</v>
      </c>
      <c r="J586" s="42">
        <v>6</v>
      </c>
      <c r="K586" s="42">
        <v>5</v>
      </c>
      <c r="L586" s="35">
        <f t="shared" si="149"/>
        <v>28</v>
      </c>
      <c r="M586" s="35">
        <f t="shared" si="148"/>
        <v>6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12</v>
      </c>
      <c r="H587" s="43">
        <v>19</v>
      </c>
      <c r="I587" s="43">
        <v>16</v>
      </c>
      <c r="J587" s="43">
        <v>24</v>
      </c>
      <c r="K587" s="43">
        <v>33</v>
      </c>
      <c r="L587" s="31">
        <f t="shared" si="149"/>
        <v>104</v>
      </c>
      <c r="M587" s="31">
        <f t="shared" si="148"/>
        <v>21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1</v>
      </c>
      <c r="H590" s="42">
        <v>4</v>
      </c>
      <c r="I590" s="42">
        <v>4</v>
      </c>
      <c r="J590" s="42"/>
      <c r="K590" s="42">
        <v>2</v>
      </c>
      <c r="L590" s="35">
        <f t="shared" si="149"/>
        <v>11</v>
      </c>
      <c r="M590" s="35">
        <f t="shared" si="148"/>
        <v>2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40</v>
      </c>
      <c r="H591" s="42">
        <v>60</v>
      </c>
      <c r="I591" s="42">
        <v>64</v>
      </c>
      <c r="J591" s="42">
        <v>80</v>
      </c>
      <c r="K591" s="42">
        <v>80</v>
      </c>
      <c r="L591" s="35">
        <f t="shared" si="149"/>
        <v>324</v>
      </c>
      <c r="M591" s="35">
        <f t="shared" si="148"/>
        <v>65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2024</v>
      </c>
      <c r="H595" s="10">
        <f>+G595</f>
        <v>2024</v>
      </c>
      <c r="I595" s="10">
        <f t="shared" ref="I595:M596" si="150">+H595</f>
        <v>2024</v>
      </c>
      <c r="J595" s="10">
        <f t="shared" si="150"/>
        <v>2024</v>
      </c>
      <c r="K595" s="10">
        <f t="shared" si="150"/>
        <v>2024</v>
      </c>
      <c r="L595" s="10">
        <f t="shared" si="150"/>
        <v>2024</v>
      </c>
      <c r="M595" s="10">
        <f t="shared" si="150"/>
        <v>2024</v>
      </c>
      <c r="N595" s="11"/>
      <c r="S595" s="12" t="str">
        <f>+C595</f>
        <v>Makhungutja</v>
      </c>
      <c r="T595" s="13">
        <f>+L599</f>
        <v>424</v>
      </c>
      <c r="U595" s="13">
        <f>+L600+L601</f>
        <v>80</v>
      </c>
      <c r="V595" s="13">
        <f>+L602+L603</f>
        <v>344</v>
      </c>
      <c r="W595" s="13">
        <f>+L606</f>
        <v>21</v>
      </c>
      <c r="X595" s="13">
        <f>+L604</f>
        <v>3</v>
      </c>
    </row>
    <row r="596" spans="1:24" x14ac:dyDescent="0.25">
      <c r="A596" s="14"/>
      <c r="B596" s="15"/>
      <c r="C596" s="41" t="str">
        <f>+$C580</f>
        <v>September 2024</v>
      </c>
      <c r="D596" s="18"/>
      <c r="E596" s="18"/>
      <c r="F596" s="18"/>
      <c r="G596" s="20" t="str">
        <f>+$G$4</f>
        <v>Sep</v>
      </c>
      <c r="H596" s="20" t="str">
        <f>+G596</f>
        <v>Sep</v>
      </c>
      <c r="I596" s="20" t="str">
        <f t="shared" si="150"/>
        <v>Sep</v>
      </c>
      <c r="J596" s="20" t="str">
        <f t="shared" si="150"/>
        <v>Sep</v>
      </c>
      <c r="K596" s="20" t="str">
        <f t="shared" si="150"/>
        <v>Sep</v>
      </c>
      <c r="L596" s="20" t="str">
        <f t="shared" si="150"/>
        <v>Sep</v>
      </c>
      <c r="M596" s="20" t="str">
        <f t="shared" si="150"/>
        <v>Sep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1</v>
      </c>
      <c r="H597" s="25">
        <f>+$H$5</f>
        <v>8</v>
      </c>
      <c r="I597" s="25">
        <f>+$I$5</f>
        <v>15</v>
      </c>
      <c r="J597" s="25">
        <f>+$J$5</f>
        <v>22</v>
      </c>
      <c r="K597" s="25">
        <f>+$K$5</f>
        <v>29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86</v>
      </c>
      <c r="H599" s="31">
        <f t="shared" ref="H599:L599" si="151">SUM(H600:H603)</f>
        <v>100</v>
      </c>
      <c r="I599" s="31">
        <f t="shared" si="151"/>
        <v>74</v>
      </c>
      <c r="J599" s="31">
        <f t="shared" si="151"/>
        <v>88</v>
      </c>
      <c r="K599" s="31">
        <f t="shared" si="151"/>
        <v>76</v>
      </c>
      <c r="L599" s="31">
        <f t="shared" si="151"/>
        <v>424</v>
      </c>
      <c r="M599" s="31">
        <f>ROUND((L599/$E$1),0)</f>
        <v>85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>
        <v>6</v>
      </c>
      <c r="H600" s="42">
        <v>10</v>
      </c>
      <c r="I600" s="42">
        <v>3</v>
      </c>
      <c r="J600" s="42">
        <v>6</v>
      </c>
      <c r="K600" s="42">
        <v>4</v>
      </c>
      <c r="L600" s="35">
        <f>SUM(G600:K600)</f>
        <v>29</v>
      </c>
      <c r="M600" s="35">
        <f t="shared" ref="M600:M608" si="152">ROUND((L600/$E$1),0)</f>
        <v>6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>
        <v>6</v>
      </c>
      <c r="H601" s="42">
        <v>20</v>
      </c>
      <c r="I601" s="42">
        <v>7</v>
      </c>
      <c r="J601" s="42">
        <v>10</v>
      </c>
      <c r="K601" s="42">
        <v>8</v>
      </c>
      <c r="L601" s="35">
        <f t="shared" ref="L601:L608" si="153">SUM(G601:K601)</f>
        <v>51</v>
      </c>
      <c r="M601" s="35">
        <f t="shared" si="152"/>
        <v>10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>
        <v>14</v>
      </c>
      <c r="H602" s="42">
        <v>15</v>
      </c>
      <c r="I602" s="42">
        <v>12</v>
      </c>
      <c r="J602" s="42">
        <v>23</v>
      </c>
      <c r="K602" s="42">
        <v>14</v>
      </c>
      <c r="L602" s="35">
        <f t="shared" si="153"/>
        <v>78</v>
      </c>
      <c r="M602" s="35">
        <f t="shared" si="152"/>
        <v>16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>
        <v>60</v>
      </c>
      <c r="H603" s="43">
        <v>55</v>
      </c>
      <c r="I603" s="43">
        <v>52</v>
      </c>
      <c r="J603" s="43">
        <v>49</v>
      </c>
      <c r="K603" s="43">
        <v>50</v>
      </c>
      <c r="L603" s="31">
        <f t="shared" si="153"/>
        <v>266</v>
      </c>
      <c r="M603" s="31">
        <f t="shared" si="152"/>
        <v>53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>
        <v>3</v>
      </c>
      <c r="L604" s="35">
        <f t="shared" si="153"/>
        <v>3</v>
      </c>
      <c r="M604" s="35">
        <f t="shared" si="152"/>
        <v>1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>
        <v>21</v>
      </c>
      <c r="L606" s="35">
        <f t="shared" si="153"/>
        <v>21</v>
      </c>
      <c r="M606" s="35">
        <f t="shared" si="152"/>
        <v>4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>
        <v>10</v>
      </c>
      <c r="L607" s="35">
        <f t="shared" si="153"/>
        <v>10</v>
      </c>
      <c r="M607" s="35">
        <f t="shared" si="152"/>
        <v>2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2024</v>
      </c>
      <c r="H611" s="10">
        <f>+G611</f>
        <v>2024</v>
      </c>
      <c r="I611" s="10">
        <f t="shared" ref="I611:M612" si="154">+H611</f>
        <v>2024</v>
      </c>
      <c r="J611" s="10">
        <f t="shared" si="154"/>
        <v>2024</v>
      </c>
      <c r="K611" s="10">
        <f t="shared" si="154"/>
        <v>2024</v>
      </c>
      <c r="L611" s="10">
        <f t="shared" si="154"/>
        <v>2024</v>
      </c>
      <c r="M611" s="10">
        <f t="shared" si="154"/>
        <v>2024</v>
      </c>
      <c r="N611" s="11"/>
      <c r="S611" s="12" t="str">
        <f>+C611</f>
        <v>Moneni</v>
      </c>
      <c r="T611" s="13">
        <f>+L615</f>
        <v>595</v>
      </c>
      <c r="U611" s="13">
        <f>+L616+L617</f>
        <v>118</v>
      </c>
      <c r="V611" s="13">
        <f>+L618+L619</f>
        <v>477</v>
      </c>
      <c r="W611" s="13">
        <f>+L622</f>
        <v>18</v>
      </c>
      <c r="X611" s="13">
        <f>+L620</f>
        <v>2</v>
      </c>
    </row>
    <row r="612" spans="1:24" x14ac:dyDescent="0.25">
      <c r="A612" s="14"/>
      <c r="B612" s="15"/>
      <c r="C612" s="41" t="str">
        <f>+$C596</f>
        <v>September 2024</v>
      </c>
      <c r="D612" s="18"/>
      <c r="E612" s="18"/>
      <c r="F612" s="18"/>
      <c r="G612" s="20" t="str">
        <f>+$G$4</f>
        <v>Sep</v>
      </c>
      <c r="H612" s="20" t="str">
        <f>+G612</f>
        <v>Sep</v>
      </c>
      <c r="I612" s="20" t="str">
        <f t="shared" si="154"/>
        <v>Sep</v>
      </c>
      <c r="J612" s="20" t="str">
        <f t="shared" si="154"/>
        <v>Sep</v>
      </c>
      <c r="K612" s="20" t="str">
        <f t="shared" si="154"/>
        <v>Sep</v>
      </c>
      <c r="L612" s="20" t="str">
        <f t="shared" si="154"/>
        <v>Sep</v>
      </c>
      <c r="M612" s="20" t="str">
        <f t="shared" si="154"/>
        <v>Sep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1</v>
      </c>
      <c r="H613" s="25">
        <f>+$H$5</f>
        <v>8</v>
      </c>
      <c r="I613" s="25">
        <f>+$I$5</f>
        <v>15</v>
      </c>
      <c r="J613" s="25">
        <f>+$J$5</f>
        <v>22</v>
      </c>
      <c r="K613" s="25">
        <f>+$K$5</f>
        <v>29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122</v>
      </c>
      <c r="H615" s="31">
        <f t="shared" ref="H615:L615" si="155">SUM(H616:H619)</f>
        <v>130</v>
      </c>
      <c r="I615" s="31">
        <f t="shared" si="155"/>
        <v>116</v>
      </c>
      <c r="J615" s="31">
        <f t="shared" si="155"/>
        <v>89</v>
      </c>
      <c r="K615" s="31">
        <f t="shared" si="155"/>
        <v>138</v>
      </c>
      <c r="L615" s="31">
        <f t="shared" si="155"/>
        <v>595</v>
      </c>
      <c r="M615" s="31">
        <f>ROUND((L615/$E$1),0)</f>
        <v>119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4</v>
      </c>
      <c r="H616" s="42">
        <v>6</v>
      </c>
      <c r="I616" s="42">
        <v>8</v>
      </c>
      <c r="J616" s="42">
        <v>6</v>
      </c>
      <c r="K616" s="42">
        <v>6</v>
      </c>
      <c r="L616" s="35">
        <f>SUM(G616:K616)</f>
        <v>30</v>
      </c>
      <c r="M616" s="35">
        <f t="shared" ref="M616:M624" si="156">ROUND((L616/$E$1),0)</f>
        <v>6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19</v>
      </c>
      <c r="H617" s="42">
        <v>19</v>
      </c>
      <c r="I617" s="42">
        <v>18</v>
      </c>
      <c r="J617" s="42">
        <v>11</v>
      </c>
      <c r="K617" s="42">
        <v>21</v>
      </c>
      <c r="L617" s="35">
        <f t="shared" ref="L617:L624" si="157">SUM(G617:K617)</f>
        <v>88</v>
      </c>
      <c r="M617" s="35">
        <f t="shared" si="156"/>
        <v>18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35</v>
      </c>
      <c r="H618" s="42">
        <v>36</v>
      </c>
      <c r="I618" s="42">
        <v>25</v>
      </c>
      <c r="J618" s="42">
        <v>36</v>
      </c>
      <c r="K618" s="42">
        <v>36</v>
      </c>
      <c r="L618" s="35">
        <f t="shared" si="157"/>
        <v>168</v>
      </c>
      <c r="M618" s="35">
        <f t="shared" si="156"/>
        <v>34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64</v>
      </c>
      <c r="H619" s="43">
        <v>69</v>
      </c>
      <c r="I619" s="43">
        <v>65</v>
      </c>
      <c r="J619" s="43">
        <v>36</v>
      </c>
      <c r="K619" s="43">
        <v>75</v>
      </c>
      <c r="L619" s="31">
        <f t="shared" si="157"/>
        <v>309</v>
      </c>
      <c r="M619" s="31">
        <f t="shared" si="156"/>
        <v>62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>
        <v>2</v>
      </c>
      <c r="H620" s="42"/>
      <c r="I620" s="42"/>
      <c r="J620" s="42"/>
      <c r="K620" s="42"/>
      <c r="L620" s="35">
        <f t="shared" si="157"/>
        <v>2</v>
      </c>
      <c r="M620" s="35">
        <f t="shared" si="156"/>
        <v>0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1</v>
      </c>
      <c r="H622" s="42">
        <v>4</v>
      </c>
      <c r="I622" s="42">
        <v>5</v>
      </c>
      <c r="J622" s="42">
        <v>4</v>
      </c>
      <c r="K622" s="42">
        <v>4</v>
      </c>
      <c r="L622" s="35">
        <f t="shared" si="157"/>
        <v>18</v>
      </c>
      <c r="M622" s="35">
        <f t="shared" si="156"/>
        <v>4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2024</v>
      </c>
      <c r="H627" s="10">
        <f>+G627</f>
        <v>2024</v>
      </c>
      <c r="I627" s="10">
        <f t="shared" ref="I627:M628" si="158">+H627</f>
        <v>2024</v>
      </c>
      <c r="J627" s="10">
        <f t="shared" si="158"/>
        <v>2024</v>
      </c>
      <c r="K627" s="10">
        <f t="shared" si="158"/>
        <v>2024</v>
      </c>
      <c r="L627" s="10">
        <f t="shared" si="158"/>
        <v>2024</v>
      </c>
      <c r="M627" s="10">
        <f t="shared" si="158"/>
        <v>2024</v>
      </c>
      <c r="N627" s="11"/>
      <c r="S627" s="12" t="str">
        <f>+C627</f>
        <v>Mabhukwini</v>
      </c>
      <c r="T627" s="13">
        <f>+L631</f>
        <v>176</v>
      </c>
      <c r="U627" s="13">
        <f>+L632+L633</f>
        <v>41</v>
      </c>
      <c r="V627" s="13">
        <f>+L634+L635</f>
        <v>135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September 2024</v>
      </c>
      <c r="D628" s="18"/>
      <c r="E628" s="18"/>
      <c r="F628" s="18"/>
      <c r="G628" s="20" t="str">
        <f>+$G$4</f>
        <v>Sep</v>
      </c>
      <c r="H628" s="20" t="str">
        <f>+G628</f>
        <v>Sep</v>
      </c>
      <c r="I628" s="20" t="str">
        <f t="shared" si="158"/>
        <v>Sep</v>
      </c>
      <c r="J628" s="20" t="str">
        <f t="shared" si="158"/>
        <v>Sep</v>
      </c>
      <c r="K628" s="20" t="str">
        <f t="shared" si="158"/>
        <v>Sep</v>
      </c>
      <c r="L628" s="20" t="str">
        <f t="shared" si="158"/>
        <v>Sep</v>
      </c>
      <c r="M628" s="20" t="str">
        <f t="shared" si="158"/>
        <v>Sep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1</v>
      </c>
      <c r="H629" s="25">
        <f>+$H$5</f>
        <v>8</v>
      </c>
      <c r="I629" s="25">
        <f>+$I$5</f>
        <v>15</v>
      </c>
      <c r="J629" s="25">
        <f>+$J$5</f>
        <v>22</v>
      </c>
      <c r="K629" s="25">
        <f>+$K$5</f>
        <v>29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26</v>
      </c>
      <c r="H631" s="31">
        <f t="shared" ref="H631:L631" si="159">SUM(H632:H635)</f>
        <v>9</v>
      </c>
      <c r="I631" s="31">
        <f t="shared" si="159"/>
        <v>33</v>
      </c>
      <c r="J631" s="31">
        <f t="shared" si="159"/>
        <v>38</v>
      </c>
      <c r="K631" s="31">
        <f t="shared" si="159"/>
        <v>70</v>
      </c>
      <c r="L631" s="31">
        <f t="shared" si="159"/>
        <v>176</v>
      </c>
      <c r="M631" s="31">
        <f>ROUND((L631/$E$1),0)</f>
        <v>35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2</v>
      </c>
      <c r="H632" s="42">
        <v>1</v>
      </c>
      <c r="I632" s="42">
        <v>2</v>
      </c>
      <c r="J632" s="42">
        <v>3</v>
      </c>
      <c r="K632" s="42">
        <v>2</v>
      </c>
      <c r="L632" s="35">
        <f>SUM(G632:K632)</f>
        <v>10</v>
      </c>
      <c r="M632" s="35">
        <f t="shared" ref="M632:M640" si="160">ROUND((L632/$E$1),0)</f>
        <v>2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9</v>
      </c>
      <c r="H633" s="42">
        <v>0</v>
      </c>
      <c r="I633" s="42">
        <v>7</v>
      </c>
      <c r="J633" s="42">
        <v>8</v>
      </c>
      <c r="K633" s="42">
        <v>7</v>
      </c>
      <c r="L633" s="35">
        <f t="shared" ref="L633:L640" si="161">SUM(G633:K633)</f>
        <v>31</v>
      </c>
      <c r="M633" s="35">
        <f t="shared" si="160"/>
        <v>6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6</v>
      </c>
      <c r="H634" s="42">
        <v>8</v>
      </c>
      <c r="I634" s="42">
        <v>9</v>
      </c>
      <c r="J634" s="42">
        <v>4</v>
      </c>
      <c r="K634" s="42">
        <v>14</v>
      </c>
      <c r="L634" s="35">
        <f t="shared" si="161"/>
        <v>41</v>
      </c>
      <c r="M634" s="35">
        <f t="shared" si="160"/>
        <v>8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9</v>
      </c>
      <c r="H635" s="43">
        <v>0</v>
      </c>
      <c r="I635" s="43">
        <v>15</v>
      </c>
      <c r="J635" s="43">
        <v>23</v>
      </c>
      <c r="K635" s="43">
        <v>47</v>
      </c>
      <c r="L635" s="31">
        <f t="shared" si="161"/>
        <v>94</v>
      </c>
      <c r="M635" s="31">
        <f t="shared" si="160"/>
        <v>19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>
        <f>+$G$3</f>
        <v>2024</v>
      </c>
      <c r="H643" s="10">
        <f>+G643</f>
        <v>2024</v>
      </c>
      <c r="I643" s="10">
        <f t="shared" ref="I643:M644" si="162">+H643</f>
        <v>2024</v>
      </c>
      <c r="J643" s="10">
        <f t="shared" si="162"/>
        <v>2024</v>
      </c>
      <c r="K643" s="10">
        <f t="shared" si="162"/>
        <v>2024</v>
      </c>
      <c r="L643" s="10">
        <f t="shared" si="162"/>
        <v>2024</v>
      </c>
      <c r="M643" s="10">
        <f t="shared" si="162"/>
        <v>2024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September 2024</v>
      </c>
      <c r="D644" s="18"/>
      <c r="E644" s="18"/>
      <c r="F644" s="18"/>
      <c r="G644" s="20" t="str">
        <f>+$G$4</f>
        <v>Sep</v>
      </c>
      <c r="H644" s="20" t="str">
        <f>+G644</f>
        <v>Sep</v>
      </c>
      <c r="I644" s="20" t="str">
        <f t="shared" si="162"/>
        <v>Sep</v>
      </c>
      <c r="J644" s="20" t="str">
        <f t="shared" si="162"/>
        <v>Sep</v>
      </c>
      <c r="K644" s="20" t="str">
        <f t="shared" si="162"/>
        <v>Sep</v>
      </c>
      <c r="L644" s="20" t="str">
        <f t="shared" si="162"/>
        <v>Sep</v>
      </c>
      <c r="M644" s="20" t="str">
        <f t="shared" si="162"/>
        <v>Sep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1</v>
      </c>
      <c r="H645" s="25">
        <f>+$H$5</f>
        <v>8</v>
      </c>
      <c r="I645" s="25">
        <f>+$I$5</f>
        <v>15</v>
      </c>
      <c r="J645" s="25">
        <f>+$J$5</f>
        <v>22</v>
      </c>
      <c r="K645" s="25">
        <f>+$K$5</f>
        <v>29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64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>
        <f t="shared" si="164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>
        <f t="shared" si="164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>
        <f t="shared" si="164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>
        <f>+$G$3</f>
        <v>2024</v>
      </c>
      <c r="H659" s="10">
        <f>+G659</f>
        <v>2024</v>
      </c>
      <c r="I659" s="10">
        <f t="shared" ref="I659:M660" si="166">+H659</f>
        <v>2024</v>
      </c>
      <c r="J659" s="10">
        <f t="shared" si="166"/>
        <v>2024</v>
      </c>
      <c r="K659" s="10">
        <f t="shared" si="166"/>
        <v>2024</v>
      </c>
      <c r="L659" s="10">
        <f t="shared" si="166"/>
        <v>2024</v>
      </c>
      <c r="M659" s="10">
        <f t="shared" si="166"/>
        <v>2024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September 2024</v>
      </c>
      <c r="D660" s="18"/>
      <c r="E660" s="18"/>
      <c r="F660" s="18"/>
      <c r="G660" s="20" t="str">
        <f>+$G$4</f>
        <v>Sep</v>
      </c>
      <c r="H660" s="20" t="str">
        <f>+G660</f>
        <v>Sep</v>
      </c>
      <c r="I660" s="20" t="str">
        <f t="shared" si="166"/>
        <v>Sep</v>
      </c>
      <c r="J660" s="20" t="str">
        <f t="shared" si="166"/>
        <v>Sep</v>
      </c>
      <c r="K660" s="20" t="str">
        <f t="shared" si="166"/>
        <v>Sep</v>
      </c>
      <c r="L660" s="20" t="str">
        <f t="shared" si="166"/>
        <v>Sep</v>
      </c>
      <c r="M660" s="20" t="str">
        <f t="shared" si="166"/>
        <v>Sep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1</v>
      </c>
      <c r="H661" s="25">
        <f>+$H$5</f>
        <v>8</v>
      </c>
      <c r="I661" s="25">
        <f>+$I$5</f>
        <v>15</v>
      </c>
      <c r="J661" s="25">
        <f>+$J$5</f>
        <v>22</v>
      </c>
      <c r="K661" s="25">
        <f>+$K$5</f>
        <v>29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>
        <f>+$G$3</f>
        <v>2024</v>
      </c>
      <c r="H675" s="10">
        <f>+G675</f>
        <v>2024</v>
      </c>
      <c r="I675" s="10">
        <f t="shared" ref="I675:M676" si="170">+H675</f>
        <v>2024</v>
      </c>
      <c r="J675" s="10">
        <f t="shared" si="170"/>
        <v>2024</v>
      </c>
      <c r="K675" s="10">
        <f t="shared" si="170"/>
        <v>2024</v>
      </c>
      <c r="L675" s="10">
        <f t="shared" si="170"/>
        <v>2024</v>
      </c>
      <c r="M675" s="10">
        <f t="shared" si="170"/>
        <v>2024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September 2024</v>
      </c>
      <c r="D676" s="18"/>
      <c r="E676" s="18"/>
      <c r="F676" s="18"/>
      <c r="G676" s="20" t="str">
        <f>+$G$4</f>
        <v>Sep</v>
      </c>
      <c r="H676" s="20" t="str">
        <f>+G676</f>
        <v>Sep</v>
      </c>
      <c r="I676" s="20" t="str">
        <f t="shared" si="170"/>
        <v>Sep</v>
      </c>
      <c r="J676" s="20" t="str">
        <f t="shared" si="170"/>
        <v>Sep</v>
      </c>
      <c r="K676" s="20" t="str">
        <f t="shared" si="170"/>
        <v>Sep</v>
      </c>
      <c r="L676" s="20" t="str">
        <f t="shared" si="170"/>
        <v>Sep</v>
      </c>
      <c r="M676" s="20" t="str">
        <f t="shared" si="170"/>
        <v>Sep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1</v>
      </c>
      <c r="H677" s="25">
        <f>+$H$5</f>
        <v>8</v>
      </c>
      <c r="I677" s="25">
        <f>+$I$5</f>
        <v>15</v>
      </c>
      <c r="J677" s="25">
        <f>+$J$5</f>
        <v>22</v>
      </c>
      <c r="K677" s="25">
        <f>+$K$5</f>
        <v>29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>
        <f>+$G$3</f>
        <v>2024</v>
      </c>
      <c r="H691" s="10">
        <f>+G691</f>
        <v>2024</v>
      </c>
      <c r="I691" s="10">
        <f t="shared" ref="I691:M692" si="174">+H691</f>
        <v>2024</v>
      </c>
      <c r="J691" s="10">
        <f t="shared" si="174"/>
        <v>2024</v>
      </c>
      <c r="K691" s="10">
        <f t="shared" si="174"/>
        <v>2024</v>
      </c>
      <c r="L691" s="10">
        <f t="shared" si="174"/>
        <v>2024</v>
      </c>
      <c r="M691" s="10">
        <f t="shared" si="174"/>
        <v>2024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September 2024</v>
      </c>
      <c r="D692" s="18"/>
      <c r="E692" s="18"/>
      <c r="F692" s="18"/>
      <c r="G692" s="20" t="str">
        <f>+$G$4</f>
        <v>Sep</v>
      </c>
      <c r="H692" s="20" t="str">
        <f>+G692</f>
        <v>Sep</v>
      </c>
      <c r="I692" s="20" t="str">
        <f t="shared" si="174"/>
        <v>Sep</v>
      </c>
      <c r="J692" s="20" t="str">
        <f t="shared" si="174"/>
        <v>Sep</v>
      </c>
      <c r="K692" s="20" t="str">
        <f t="shared" si="174"/>
        <v>Sep</v>
      </c>
      <c r="L692" s="20" t="str">
        <f t="shared" si="174"/>
        <v>Sep</v>
      </c>
      <c r="M692" s="20" t="str">
        <f t="shared" si="174"/>
        <v>Sep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1</v>
      </c>
      <c r="H693" s="25">
        <f>+$H$5</f>
        <v>8</v>
      </c>
      <c r="I693" s="25">
        <f>+$I$5</f>
        <v>15</v>
      </c>
      <c r="J693" s="25">
        <f>+$J$5</f>
        <v>22</v>
      </c>
      <c r="K693" s="25">
        <f>+$K$5</f>
        <v>29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>
        <f>+$G$3</f>
        <v>2024</v>
      </c>
      <c r="H707" s="10">
        <f>+G707</f>
        <v>2024</v>
      </c>
      <c r="I707" s="10">
        <f t="shared" ref="I707:M708" si="178">+H707</f>
        <v>2024</v>
      </c>
      <c r="J707" s="10">
        <f t="shared" si="178"/>
        <v>2024</v>
      </c>
      <c r="K707" s="10">
        <f t="shared" si="178"/>
        <v>2024</v>
      </c>
      <c r="L707" s="10">
        <f t="shared" si="178"/>
        <v>2024</v>
      </c>
      <c r="M707" s="10">
        <f t="shared" si="178"/>
        <v>2024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September 2024</v>
      </c>
      <c r="D708" s="18"/>
      <c r="E708" s="18"/>
      <c r="F708" s="18"/>
      <c r="G708" s="20" t="str">
        <f>+$G$4</f>
        <v>Sep</v>
      </c>
      <c r="H708" s="20" t="str">
        <f>+G708</f>
        <v>Sep</v>
      </c>
      <c r="I708" s="20" t="str">
        <f t="shared" si="178"/>
        <v>Sep</v>
      </c>
      <c r="J708" s="20" t="str">
        <f t="shared" si="178"/>
        <v>Sep</v>
      </c>
      <c r="K708" s="20" t="str">
        <f t="shared" si="178"/>
        <v>Sep</v>
      </c>
      <c r="L708" s="20" t="str">
        <f t="shared" si="178"/>
        <v>Sep</v>
      </c>
      <c r="M708" s="20" t="str">
        <f t="shared" si="178"/>
        <v>Sep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1</v>
      </c>
      <c r="H709" s="25">
        <f>+$H$5</f>
        <v>8</v>
      </c>
      <c r="I709" s="25">
        <f>+$I$5</f>
        <v>15</v>
      </c>
      <c r="J709" s="25">
        <f>+$J$5</f>
        <v>22</v>
      </c>
      <c r="K709" s="25">
        <f>+$K$5</f>
        <v>29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2024</v>
      </c>
      <c r="H723" s="10">
        <f>+G723</f>
        <v>2024</v>
      </c>
      <c r="I723" s="10">
        <f t="shared" ref="I723:M724" si="182">+H723</f>
        <v>2024</v>
      </c>
      <c r="J723" s="10">
        <f t="shared" si="182"/>
        <v>2024</v>
      </c>
      <c r="K723" s="10">
        <f t="shared" si="182"/>
        <v>2024</v>
      </c>
      <c r="L723" s="10">
        <f t="shared" si="182"/>
        <v>2024</v>
      </c>
      <c r="M723" s="10">
        <f t="shared" si="182"/>
        <v>2024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September 2024</v>
      </c>
      <c r="D724" s="18"/>
      <c r="E724" s="18"/>
      <c r="F724" s="18"/>
      <c r="G724" s="20" t="str">
        <f>+$G$4</f>
        <v>Sep</v>
      </c>
      <c r="H724" s="20" t="str">
        <f>+G724</f>
        <v>Sep</v>
      </c>
      <c r="I724" s="20" t="str">
        <f t="shared" si="182"/>
        <v>Sep</v>
      </c>
      <c r="J724" s="20" t="str">
        <f t="shared" si="182"/>
        <v>Sep</v>
      </c>
      <c r="K724" s="20" t="str">
        <f t="shared" si="182"/>
        <v>Sep</v>
      </c>
      <c r="L724" s="20" t="str">
        <f t="shared" si="182"/>
        <v>Sep</v>
      </c>
      <c r="M724" s="20" t="str">
        <f t="shared" si="182"/>
        <v>Sep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1</v>
      </c>
      <c r="H725" s="25">
        <f>+$H$5</f>
        <v>8</v>
      </c>
      <c r="I725" s="25">
        <f>+$I$5</f>
        <v>15</v>
      </c>
      <c r="J725" s="25">
        <f>+$J$5</f>
        <v>22</v>
      </c>
      <c r="K725" s="25">
        <f>+$K$5</f>
        <v>29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2024</v>
      </c>
      <c r="H739" s="10">
        <f>+G739</f>
        <v>2024</v>
      </c>
      <c r="I739" s="10">
        <f t="shared" ref="I739:M740" si="186">+H739</f>
        <v>2024</v>
      </c>
      <c r="J739" s="10">
        <f t="shared" si="186"/>
        <v>2024</v>
      </c>
      <c r="K739" s="10">
        <f t="shared" si="186"/>
        <v>2024</v>
      </c>
      <c r="L739" s="10">
        <f t="shared" si="186"/>
        <v>2024</v>
      </c>
      <c r="M739" s="10">
        <f t="shared" si="186"/>
        <v>2024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September 2024</v>
      </c>
      <c r="D740" s="18"/>
      <c r="E740" s="18"/>
      <c r="F740" s="18"/>
      <c r="G740" s="20" t="str">
        <f>+$G$4</f>
        <v>Sep</v>
      </c>
      <c r="H740" s="20" t="str">
        <f>+G740</f>
        <v>Sep</v>
      </c>
      <c r="I740" s="20" t="str">
        <f t="shared" si="186"/>
        <v>Sep</v>
      </c>
      <c r="J740" s="20" t="str">
        <f t="shared" si="186"/>
        <v>Sep</v>
      </c>
      <c r="K740" s="20" t="str">
        <f t="shared" si="186"/>
        <v>Sep</v>
      </c>
      <c r="L740" s="20" t="str">
        <f t="shared" si="186"/>
        <v>Sep</v>
      </c>
      <c r="M740" s="20" t="str">
        <f t="shared" si="186"/>
        <v>Sep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1</v>
      </c>
      <c r="H741" s="25">
        <f>+$H$5</f>
        <v>8</v>
      </c>
      <c r="I741" s="25">
        <f>+$I$5</f>
        <v>15</v>
      </c>
      <c r="J741" s="25">
        <f>+$J$5</f>
        <v>22</v>
      </c>
      <c r="K741" s="25">
        <f>+$K$5</f>
        <v>29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2024</v>
      </c>
      <c r="H755" s="10">
        <f>+G755</f>
        <v>2024</v>
      </c>
      <c r="I755" s="10">
        <f t="shared" ref="I755:M756" si="190">+H755</f>
        <v>2024</v>
      </c>
      <c r="J755" s="10">
        <f t="shared" si="190"/>
        <v>2024</v>
      </c>
      <c r="K755" s="10">
        <f t="shared" si="190"/>
        <v>2024</v>
      </c>
      <c r="L755" s="10">
        <f t="shared" si="190"/>
        <v>2024</v>
      </c>
      <c r="M755" s="10">
        <f t="shared" si="190"/>
        <v>2024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September 2024</v>
      </c>
      <c r="D756" s="18"/>
      <c r="E756" s="18"/>
      <c r="F756" s="18"/>
      <c r="G756" s="20" t="str">
        <f>+$G$4</f>
        <v>Sep</v>
      </c>
      <c r="H756" s="20" t="str">
        <f>+G756</f>
        <v>Sep</v>
      </c>
      <c r="I756" s="20" t="str">
        <f t="shared" si="190"/>
        <v>Sep</v>
      </c>
      <c r="J756" s="20" t="str">
        <f t="shared" si="190"/>
        <v>Sep</v>
      </c>
      <c r="K756" s="20" t="str">
        <f t="shared" si="190"/>
        <v>Sep</v>
      </c>
      <c r="L756" s="20" t="str">
        <f t="shared" si="190"/>
        <v>Sep</v>
      </c>
      <c r="M756" s="20" t="str">
        <f t="shared" si="190"/>
        <v>Sep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1</v>
      </c>
      <c r="H757" s="25">
        <f>+$H$5</f>
        <v>8</v>
      </c>
      <c r="I757" s="25">
        <f>+$I$5</f>
        <v>15</v>
      </c>
      <c r="J757" s="25">
        <f>+$J$5</f>
        <v>22</v>
      </c>
      <c r="K757" s="25">
        <f>+$K$5</f>
        <v>29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2024</v>
      </c>
      <c r="H771" s="10">
        <f>+G771</f>
        <v>2024</v>
      </c>
      <c r="I771" s="10">
        <f t="shared" ref="I771:M772" si="194">+H771</f>
        <v>2024</v>
      </c>
      <c r="J771" s="10">
        <f t="shared" si="194"/>
        <v>2024</v>
      </c>
      <c r="K771" s="10">
        <f t="shared" si="194"/>
        <v>2024</v>
      </c>
      <c r="L771" s="10">
        <f t="shared" si="194"/>
        <v>2024</v>
      </c>
      <c r="M771" s="10">
        <f t="shared" si="194"/>
        <v>2024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September 2024</v>
      </c>
      <c r="D772" s="18"/>
      <c r="E772" s="18"/>
      <c r="F772" s="18"/>
      <c r="G772" s="20" t="str">
        <f>+$G$4</f>
        <v>Sep</v>
      </c>
      <c r="H772" s="20" t="str">
        <f>+G772</f>
        <v>Sep</v>
      </c>
      <c r="I772" s="20" t="str">
        <f t="shared" si="194"/>
        <v>Sep</v>
      </c>
      <c r="J772" s="20" t="str">
        <f t="shared" si="194"/>
        <v>Sep</v>
      </c>
      <c r="K772" s="20" t="str">
        <f t="shared" si="194"/>
        <v>Sep</v>
      </c>
      <c r="L772" s="20" t="str">
        <f t="shared" si="194"/>
        <v>Sep</v>
      </c>
      <c r="M772" s="20" t="str">
        <f t="shared" si="194"/>
        <v>Sep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1</v>
      </c>
      <c r="H773" s="25">
        <f>+$H$5</f>
        <v>8</v>
      </c>
      <c r="I773" s="25">
        <f>+$I$5</f>
        <v>15</v>
      </c>
      <c r="J773" s="25">
        <f>+$J$5</f>
        <v>22</v>
      </c>
      <c r="K773" s="25">
        <f>+$K$5</f>
        <v>29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2024</v>
      </c>
      <c r="H787" s="10">
        <f>+G787</f>
        <v>2024</v>
      </c>
      <c r="I787" s="10">
        <f t="shared" ref="I787:M788" si="198">+H787</f>
        <v>2024</v>
      </c>
      <c r="J787" s="10">
        <f t="shared" si="198"/>
        <v>2024</v>
      </c>
      <c r="K787" s="10">
        <f t="shared" si="198"/>
        <v>2024</v>
      </c>
      <c r="L787" s="10">
        <f t="shared" si="198"/>
        <v>2024</v>
      </c>
      <c r="M787" s="10">
        <f t="shared" si="198"/>
        <v>2024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September 2024</v>
      </c>
      <c r="D788" s="18"/>
      <c r="E788" s="18"/>
      <c r="F788" s="18"/>
      <c r="G788" s="20" t="str">
        <f>+$G$4</f>
        <v>Sep</v>
      </c>
      <c r="H788" s="20" t="str">
        <f>+G788</f>
        <v>Sep</v>
      </c>
      <c r="I788" s="20" t="str">
        <f t="shared" si="198"/>
        <v>Sep</v>
      </c>
      <c r="J788" s="20" t="str">
        <f t="shared" si="198"/>
        <v>Sep</v>
      </c>
      <c r="K788" s="20" t="str">
        <f t="shared" si="198"/>
        <v>Sep</v>
      </c>
      <c r="L788" s="20" t="str">
        <f t="shared" si="198"/>
        <v>Sep</v>
      </c>
      <c r="M788" s="20" t="str">
        <f t="shared" si="198"/>
        <v>Sep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1</v>
      </c>
      <c r="H789" s="25">
        <f>+$H$5</f>
        <v>8</v>
      </c>
      <c r="I789" s="25">
        <f>+$I$5</f>
        <v>15</v>
      </c>
      <c r="J789" s="25">
        <f>+$J$5</f>
        <v>22</v>
      </c>
      <c r="K789" s="25">
        <f>+$K$5</f>
        <v>29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2024</v>
      </c>
      <c r="H803" s="10">
        <f>+G803</f>
        <v>2024</v>
      </c>
      <c r="I803" s="10">
        <f t="shared" ref="I803:M804" si="202">+H803</f>
        <v>2024</v>
      </c>
      <c r="J803" s="10">
        <f t="shared" si="202"/>
        <v>2024</v>
      </c>
      <c r="K803" s="10">
        <f t="shared" si="202"/>
        <v>2024</v>
      </c>
      <c r="L803" s="10">
        <f t="shared" si="202"/>
        <v>2024</v>
      </c>
      <c r="M803" s="10">
        <f t="shared" si="202"/>
        <v>2024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September 2024</v>
      </c>
      <c r="D804" s="18"/>
      <c r="E804" s="18"/>
      <c r="F804" s="18"/>
      <c r="G804" s="20" t="str">
        <f>+$G$4</f>
        <v>Sep</v>
      </c>
      <c r="H804" s="20" t="str">
        <f>+G804</f>
        <v>Sep</v>
      </c>
      <c r="I804" s="20" t="str">
        <f t="shared" si="202"/>
        <v>Sep</v>
      </c>
      <c r="J804" s="20" t="str">
        <f t="shared" si="202"/>
        <v>Sep</v>
      </c>
      <c r="K804" s="20" t="str">
        <f t="shared" si="202"/>
        <v>Sep</v>
      </c>
      <c r="L804" s="20" t="str">
        <f t="shared" si="202"/>
        <v>Sep</v>
      </c>
      <c r="M804" s="20" t="str">
        <f t="shared" si="202"/>
        <v>Sep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1</v>
      </c>
      <c r="H805" s="25">
        <f>+$H$5</f>
        <v>8</v>
      </c>
      <c r="I805" s="25">
        <f>+$I$5</f>
        <v>15</v>
      </c>
      <c r="J805" s="25">
        <f>+$J$5</f>
        <v>22</v>
      </c>
      <c r="K805" s="25">
        <f>+$K$5</f>
        <v>29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851"/>
  <sheetViews>
    <sheetView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2024</v>
      </c>
      <c r="H3" s="10">
        <f>+G3</f>
        <v>2024</v>
      </c>
      <c r="I3" s="10">
        <f t="shared" ref="I3:M4" si="0">+H3</f>
        <v>2024</v>
      </c>
      <c r="J3" s="10">
        <f t="shared" si="0"/>
        <v>2024</v>
      </c>
      <c r="K3" s="10">
        <f t="shared" si="0"/>
        <v>2024</v>
      </c>
      <c r="L3" s="10">
        <f t="shared" si="0"/>
        <v>2024</v>
      </c>
      <c r="M3" s="10">
        <f t="shared" si="0"/>
        <v>2024</v>
      </c>
      <c r="N3" s="11"/>
      <c r="S3" s="12" t="str">
        <f>+C3</f>
        <v>Total ICBC</v>
      </c>
      <c r="T3" s="13">
        <f>+L7</f>
        <v>11252</v>
      </c>
      <c r="U3" s="13">
        <f>+L8+L9</f>
        <v>2634</v>
      </c>
      <c r="V3" s="13">
        <f>+L10+L11</f>
        <v>8618</v>
      </c>
      <c r="W3" s="13">
        <f>+L14</f>
        <v>566</v>
      </c>
      <c r="X3" s="13">
        <f>+L12</f>
        <v>196</v>
      </c>
    </row>
    <row r="4" spans="1:41" x14ac:dyDescent="0.25">
      <c r="A4" s="14"/>
      <c r="B4" s="15"/>
      <c r="C4" s="16" t="s">
        <v>87</v>
      </c>
      <c r="D4" s="17"/>
      <c r="E4" s="18"/>
      <c r="F4" s="18"/>
      <c r="G4" s="19" t="s">
        <v>83</v>
      </c>
      <c r="H4" s="20" t="str">
        <f>+G4</f>
        <v>Oct</v>
      </c>
      <c r="I4" s="20" t="str">
        <f t="shared" si="0"/>
        <v>Oct</v>
      </c>
      <c r="J4" s="20" t="str">
        <f t="shared" si="0"/>
        <v>Oct</v>
      </c>
      <c r="K4" s="20" t="str">
        <f t="shared" si="0"/>
        <v>Oct</v>
      </c>
      <c r="L4" s="20" t="str">
        <f t="shared" si="0"/>
        <v>Oct</v>
      </c>
      <c r="M4" s="20" t="str">
        <f t="shared" si="0"/>
        <v>Oct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6</v>
      </c>
      <c r="H5" s="24">
        <v>13</v>
      </c>
      <c r="I5" s="24">
        <v>20</v>
      </c>
      <c r="J5" s="24">
        <v>27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  <c r="Q6" s="13"/>
      <c r="R6" s="13"/>
      <c r="S6" s="13"/>
      <c r="T6" s="13"/>
      <c r="U6" s="13"/>
      <c r="V6" s="13"/>
      <c r="W6" s="13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3164</v>
      </c>
      <c r="H7" s="31">
        <f t="shared" ref="H7:L7" si="1">SUM(H8:H11)</f>
        <v>2866</v>
      </c>
      <c r="I7" s="31">
        <f t="shared" si="1"/>
        <v>2624</v>
      </c>
      <c r="J7" s="31">
        <f t="shared" si="1"/>
        <v>2598</v>
      </c>
      <c r="K7" s="31">
        <f t="shared" si="1"/>
        <v>0</v>
      </c>
      <c r="L7" s="31">
        <f t="shared" si="1"/>
        <v>11252</v>
      </c>
      <c r="M7" s="31">
        <f>ROUND((L7/$E$1),0)</f>
        <v>2813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199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211</v>
      </c>
      <c r="I8" s="35">
        <f t="shared" si="2"/>
        <v>177</v>
      </c>
      <c r="J8" s="35">
        <f t="shared" si="2"/>
        <v>162</v>
      </c>
      <c r="K8" s="35">
        <f t="shared" si="2"/>
        <v>0</v>
      </c>
      <c r="L8" s="35">
        <f>SUM(G8:K8)</f>
        <v>749</v>
      </c>
      <c r="M8" s="35">
        <f t="shared" ref="M8:M16" si="3">ROUND((L8/$E$1),0)</f>
        <v>187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502</v>
      </c>
      <c r="H9" s="35">
        <f t="shared" si="4"/>
        <v>491</v>
      </c>
      <c r="I9" s="35">
        <f t="shared" si="4"/>
        <v>466</v>
      </c>
      <c r="J9" s="35">
        <f t="shared" si="4"/>
        <v>426</v>
      </c>
      <c r="K9" s="35">
        <f t="shared" si="4"/>
        <v>0</v>
      </c>
      <c r="L9" s="35">
        <f t="shared" ref="L9:L16" si="5">SUM(G9:K9)</f>
        <v>1885</v>
      </c>
      <c r="M9" s="35">
        <f t="shared" si="3"/>
        <v>471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953</v>
      </c>
      <c r="H10" s="35">
        <f t="shared" si="4"/>
        <v>695</v>
      </c>
      <c r="I10" s="35">
        <f t="shared" si="4"/>
        <v>646</v>
      </c>
      <c r="J10" s="35">
        <f t="shared" si="4"/>
        <v>617</v>
      </c>
      <c r="K10" s="35">
        <f t="shared" si="4"/>
        <v>0</v>
      </c>
      <c r="L10" s="35">
        <f t="shared" si="5"/>
        <v>2911</v>
      </c>
      <c r="M10" s="35">
        <f t="shared" si="3"/>
        <v>728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1510</v>
      </c>
      <c r="H11" s="31">
        <f t="shared" si="4"/>
        <v>1469</v>
      </c>
      <c r="I11" s="31">
        <f t="shared" si="4"/>
        <v>1335</v>
      </c>
      <c r="J11" s="31">
        <f t="shared" si="4"/>
        <v>1393</v>
      </c>
      <c r="K11" s="31">
        <f t="shared" si="4"/>
        <v>0</v>
      </c>
      <c r="L11" s="31">
        <f t="shared" si="5"/>
        <v>5707</v>
      </c>
      <c r="M11" s="31">
        <f t="shared" si="3"/>
        <v>1427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112</v>
      </c>
      <c r="H12" s="35">
        <f t="shared" si="4"/>
        <v>34</v>
      </c>
      <c r="I12" s="35">
        <f t="shared" si="4"/>
        <v>33</v>
      </c>
      <c r="J12" s="35">
        <f t="shared" si="4"/>
        <v>17</v>
      </c>
      <c r="K12" s="35">
        <f t="shared" si="4"/>
        <v>0</v>
      </c>
      <c r="L12" s="35">
        <f t="shared" si="5"/>
        <v>196</v>
      </c>
      <c r="M12" s="35">
        <f t="shared" si="3"/>
        <v>49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116</v>
      </c>
      <c r="H14" s="35">
        <f t="shared" si="4"/>
        <v>198</v>
      </c>
      <c r="I14" s="35">
        <f t="shared" si="4"/>
        <v>119</v>
      </c>
      <c r="J14" s="35">
        <f t="shared" si="4"/>
        <v>133</v>
      </c>
      <c r="K14" s="35">
        <f t="shared" si="4"/>
        <v>0</v>
      </c>
      <c r="L14" s="35">
        <f t="shared" si="5"/>
        <v>566</v>
      </c>
      <c r="M14" s="35">
        <f t="shared" si="3"/>
        <v>142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1798</v>
      </c>
      <c r="H15" s="35">
        <f t="shared" si="4"/>
        <v>1832</v>
      </c>
      <c r="I15" s="35">
        <f t="shared" si="4"/>
        <v>1871</v>
      </c>
      <c r="J15" s="35">
        <f t="shared" si="4"/>
        <v>1600</v>
      </c>
      <c r="K15" s="35">
        <f t="shared" si="4"/>
        <v>0</v>
      </c>
      <c r="L15" s="35">
        <f t="shared" si="5"/>
        <v>7101</v>
      </c>
      <c r="M15" s="35">
        <f t="shared" si="3"/>
        <v>1775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2024</v>
      </c>
      <c r="H19" s="10">
        <f>+G19</f>
        <v>2024</v>
      </c>
      <c r="I19" s="10">
        <f t="shared" ref="I19:M20" si="6">+H19</f>
        <v>2024</v>
      </c>
      <c r="J19" s="10">
        <f t="shared" si="6"/>
        <v>2024</v>
      </c>
      <c r="K19" s="10">
        <f t="shared" si="6"/>
        <v>2024</v>
      </c>
      <c r="L19" s="10">
        <f t="shared" si="6"/>
        <v>2024</v>
      </c>
      <c r="M19" s="10">
        <f t="shared" si="6"/>
        <v>2024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893</v>
      </c>
      <c r="U19" s="13">
        <f>+L24+L25</f>
        <v>298</v>
      </c>
      <c r="V19" s="13">
        <f>+L26+L27</f>
        <v>595</v>
      </c>
      <c r="W19" s="13">
        <f>+L30</f>
        <v>12</v>
      </c>
      <c r="X19" s="13">
        <f>+L28</f>
        <v>0</v>
      </c>
    </row>
    <row r="20" spans="1:24" x14ac:dyDescent="0.25">
      <c r="A20" s="14"/>
      <c r="B20" s="15"/>
      <c r="C20" s="41" t="str">
        <f>+$C4</f>
        <v>October 2024</v>
      </c>
      <c r="D20" s="18"/>
      <c r="E20" s="18"/>
      <c r="F20" s="18"/>
      <c r="G20" s="20" t="str">
        <f>+$G$4</f>
        <v>Oct</v>
      </c>
      <c r="H20" s="20" t="str">
        <f>+G20</f>
        <v>Oct</v>
      </c>
      <c r="I20" s="20" t="str">
        <f t="shared" si="6"/>
        <v>Oct</v>
      </c>
      <c r="J20" s="20" t="str">
        <f t="shared" si="6"/>
        <v>Oct</v>
      </c>
      <c r="K20" s="20" t="str">
        <f t="shared" si="6"/>
        <v>Oct</v>
      </c>
      <c r="L20" s="20" t="str">
        <f t="shared" si="6"/>
        <v>Oct</v>
      </c>
      <c r="M20" s="20" t="str">
        <f t="shared" si="6"/>
        <v>Oct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6</v>
      </c>
      <c r="H21" s="25">
        <f>+$H$5</f>
        <v>13</v>
      </c>
      <c r="I21" s="25">
        <f>+$I$5</f>
        <v>20</v>
      </c>
      <c r="J21" s="25">
        <f>+$J$5</f>
        <v>27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222</v>
      </c>
      <c r="H23" s="31">
        <f t="shared" ref="H23:L23" si="7">SUM(H24:H27)</f>
        <v>249</v>
      </c>
      <c r="I23" s="31">
        <f t="shared" si="7"/>
        <v>204</v>
      </c>
      <c r="J23" s="31">
        <f t="shared" si="7"/>
        <v>218</v>
      </c>
      <c r="K23" s="31">
        <f t="shared" si="7"/>
        <v>0</v>
      </c>
      <c r="L23" s="31">
        <f t="shared" si="7"/>
        <v>893</v>
      </c>
      <c r="M23" s="31">
        <f>ROUND((L23/$E$1),0)</f>
        <v>223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22</v>
      </c>
      <c r="H24" s="42">
        <v>15</v>
      </c>
      <c r="I24" s="42">
        <v>28</v>
      </c>
      <c r="J24" s="42">
        <v>25</v>
      </c>
      <c r="K24" s="42"/>
      <c r="L24" s="35">
        <f>SUM(G24:K24)</f>
        <v>90</v>
      </c>
      <c r="M24" s="35">
        <f t="shared" ref="M24:M32" si="8">ROUND((L24/$E$1),0)</f>
        <v>23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48</v>
      </c>
      <c r="H25" s="42">
        <v>68</v>
      </c>
      <c r="I25" s="42">
        <v>47</v>
      </c>
      <c r="J25" s="42">
        <v>45</v>
      </c>
      <c r="K25" s="42"/>
      <c r="L25" s="35">
        <f t="shared" ref="L25:L32" si="9">SUM(G25:K25)</f>
        <v>208</v>
      </c>
      <c r="M25" s="35">
        <f t="shared" si="8"/>
        <v>52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84</v>
      </c>
      <c r="H26" s="42">
        <v>80</v>
      </c>
      <c r="I26" s="42">
        <v>65</v>
      </c>
      <c r="J26" s="42">
        <v>68</v>
      </c>
      <c r="K26" s="42"/>
      <c r="L26" s="35">
        <f t="shared" si="9"/>
        <v>297</v>
      </c>
      <c r="M26" s="35">
        <f t="shared" si="8"/>
        <v>74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68</v>
      </c>
      <c r="H27" s="43">
        <v>86</v>
      </c>
      <c r="I27" s="43">
        <v>64</v>
      </c>
      <c r="J27" s="43">
        <v>80</v>
      </c>
      <c r="K27" s="43"/>
      <c r="L27" s="31">
        <f t="shared" si="9"/>
        <v>298</v>
      </c>
      <c r="M27" s="31">
        <f t="shared" si="8"/>
        <v>75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5</v>
      </c>
      <c r="H30" s="42"/>
      <c r="I30" s="42"/>
      <c r="J30" s="42">
        <v>7</v>
      </c>
      <c r="K30" s="42"/>
      <c r="L30" s="35">
        <f t="shared" si="9"/>
        <v>12</v>
      </c>
      <c r="M30" s="35">
        <f t="shared" si="8"/>
        <v>3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2024</v>
      </c>
      <c r="H35" s="10">
        <f>+G35</f>
        <v>2024</v>
      </c>
      <c r="I35" s="10">
        <f t="shared" ref="I35:M36" si="10">+H35</f>
        <v>2024</v>
      </c>
      <c r="J35" s="10">
        <f t="shared" si="10"/>
        <v>2024</v>
      </c>
      <c r="K35" s="10">
        <f t="shared" si="10"/>
        <v>2024</v>
      </c>
      <c r="L35" s="10">
        <f t="shared" si="10"/>
        <v>2024</v>
      </c>
      <c r="M35" s="10">
        <f t="shared" si="10"/>
        <v>2024</v>
      </c>
      <c r="N35" s="11"/>
      <c r="O35" s="44"/>
      <c r="P35" s="44"/>
      <c r="Q35" s="44"/>
      <c r="S35" s="12" t="str">
        <f>+C35</f>
        <v>Ngwenya</v>
      </c>
      <c r="T35" s="13">
        <f>+L39</f>
        <v>377</v>
      </c>
      <c r="U35" s="13">
        <f>+L40+L41</f>
        <v>127</v>
      </c>
      <c r="V35" s="13">
        <f>+L42+L43</f>
        <v>250</v>
      </c>
      <c r="W35" s="13">
        <f>+L46</f>
        <v>45</v>
      </c>
      <c r="X35" s="13">
        <f>+L44</f>
        <v>16</v>
      </c>
    </row>
    <row r="36" spans="1:24" x14ac:dyDescent="0.25">
      <c r="A36" s="14"/>
      <c r="B36" s="15"/>
      <c r="C36" s="41" t="str">
        <f>+$C20</f>
        <v>October 2024</v>
      </c>
      <c r="D36" s="18"/>
      <c r="E36" s="18"/>
      <c r="F36" s="18"/>
      <c r="G36" s="20" t="str">
        <f>+$G$4</f>
        <v>Oct</v>
      </c>
      <c r="H36" s="20" t="str">
        <f>+G36</f>
        <v>Oct</v>
      </c>
      <c r="I36" s="20" t="str">
        <f t="shared" si="10"/>
        <v>Oct</v>
      </c>
      <c r="J36" s="20" t="str">
        <f t="shared" si="10"/>
        <v>Oct</v>
      </c>
      <c r="K36" s="20" t="str">
        <f t="shared" si="10"/>
        <v>Oct</v>
      </c>
      <c r="L36" s="20" t="str">
        <f t="shared" si="10"/>
        <v>Oct</v>
      </c>
      <c r="M36" s="20" t="str">
        <f t="shared" si="10"/>
        <v>Oct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6</v>
      </c>
      <c r="H37" s="25">
        <f>+$H$5</f>
        <v>13</v>
      </c>
      <c r="I37" s="25">
        <f>+$I$5</f>
        <v>20</v>
      </c>
      <c r="J37" s="25">
        <f>+$J$5</f>
        <v>27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93</v>
      </c>
      <c r="H39" s="31">
        <f t="shared" ref="H39:L39" si="11">SUM(H40:H43)</f>
        <v>120</v>
      </c>
      <c r="I39" s="31">
        <f t="shared" si="11"/>
        <v>81</v>
      </c>
      <c r="J39" s="31">
        <f t="shared" si="11"/>
        <v>83</v>
      </c>
      <c r="K39" s="31">
        <f t="shared" si="11"/>
        <v>0</v>
      </c>
      <c r="L39" s="31">
        <f t="shared" si="11"/>
        <v>377</v>
      </c>
      <c r="M39" s="31">
        <f>ROUND((L39/$E$1),0)</f>
        <v>94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8</v>
      </c>
      <c r="H40" s="42">
        <v>55</v>
      </c>
      <c r="I40" s="42">
        <v>5</v>
      </c>
      <c r="J40" s="42">
        <v>3</v>
      </c>
      <c r="K40" s="42"/>
      <c r="L40" s="35">
        <f>SUM(G40:K40)</f>
        <v>71</v>
      </c>
      <c r="M40" s="35">
        <f t="shared" ref="M40:M48" si="12">ROUND((L40/$E$1),0)</f>
        <v>18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20</v>
      </c>
      <c r="H41" s="42">
        <v>5</v>
      </c>
      <c r="I41" s="42">
        <v>16</v>
      </c>
      <c r="J41" s="42">
        <v>15</v>
      </c>
      <c r="K41" s="42"/>
      <c r="L41" s="35">
        <f t="shared" ref="L41:L48" si="13">SUM(G41:K41)</f>
        <v>56</v>
      </c>
      <c r="M41" s="35">
        <f t="shared" si="12"/>
        <v>14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25</v>
      </c>
      <c r="H42" s="42">
        <v>15</v>
      </c>
      <c r="I42" s="42">
        <v>20</v>
      </c>
      <c r="J42" s="42">
        <v>20</v>
      </c>
      <c r="K42" s="42"/>
      <c r="L42" s="35">
        <f t="shared" si="13"/>
        <v>80</v>
      </c>
      <c r="M42" s="35">
        <f t="shared" si="12"/>
        <v>20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40</v>
      </c>
      <c r="H43" s="43">
        <v>45</v>
      </c>
      <c r="I43" s="43">
        <v>40</v>
      </c>
      <c r="J43" s="43">
        <v>45</v>
      </c>
      <c r="K43" s="43"/>
      <c r="L43" s="31">
        <f t="shared" si="13"/>
        <v>170</v>
      </c>
      <c r="M43" s="31">
        <f t="shared" si="12"/>
        <v>43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>
        <v>3</v>
      </c>
      <c r="H44" s="42">
        <v>10</v>
      </c>
      <c r="I44" s="42"/>
      <c r="J44" s="42">
        <v>3</v>
      </c>
      <c r="K44" s="42"/>
      <c r="L44" s="35">
        <f t="shared" si="13"/>
        <v>16</v>
      </c>
      <c r="M44" s="35">
        <f t="shared" si="12"/>
        <v>4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12</v>
      </c>
      <c r="H46" s="42">
        <v>12</v>
      </c>
      <c r="I46" s="42">
        <v>11</v>
      </c>
      <c r="J46" s="42">
        <v>10</v>
      </c>
      <c r="K46" s="42"/>
      <c r="L46" s="35">
        <f t="shared" si="13"/>
        <v>45</v>
      </c>
      <c r="M46" s="35">
        <f t="shared" si="12"/>
        <v>11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64</v>
      </c>
      <c r="H47" s="42">
        <v>96</v>
      </c>
      <c r="I47" s="42">
        <v>64</v>
      </c>
      <c r="J47" s="42">
        <v>96</v>
      </c>
      <c r="K47" s="42"/>
      <c r="L47" s="35">
        <f t="shared" si="13"/>
        <v>320</v>
      </c>
      <c r="M47" s="35">
        <f t="shared" si="12"/>
        <v>80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2024</v>
      </c>
      <c r="H51" s="10">
        <f>+G51</f>
        <v>2024</v>
      </c>
      <c r="I51" s="10">
        <f t="shared" ref="I51:M52" si="14">+H51</f>
        <v>2024</v>
      </c>
      <c r="J51" s="10">
        <f t="shared" si="14"/>
        <v>2024</v>
      </c>
      <c r="K51" s="10">
        <f t="shared" si="14"/>
        <v>2024</v>
      </c>
      <c r="L51" s="10">
        <f t="shared" si="14"/>
        <v>2024</v>
      </c>
      <c r="M51" s="10">
        <f t="shared" si="14"/>
        <v>2024</v>
      </c>
      <c r="N51" s="11"/>
      <c r="O51" s="44"/>
      <c r="P51" s="44"/>
      <c r="Q51" s="44"/>
      <c r="S51" s="12" t="str">
        <f>+C51</f>
        <v>Lavumisa</v>
      </c>
      <c r="T51" s="13">
        <f>+L55</f>
        <v>300</v>
      </c>
      <c r="U51" s="13">
        <f>+L56+L57</f>
        <v>69</v>
      </c>
      <c r="V51" s="13">
        <f>+L58+L59</f>
        <v>231</v>
      </c>
      <c r="W51" s="13">
        <f>+L62</f>
        <v>25</v>
      </c>
      <c r="X51" s="13">
        <f>+L60</f>
        <v>0</v>
      </c>
    </row>
    <row r="52" spans="1:24" x14ac:dyDescent="0.25">
      <c r="A52" s="14"/>
      <c r="B52" s="15"/>
      <c r="C52" s="41" t="str">
        <f>+$C36</f>
        <v>October 2024</v>
      </c>
      <c r="D52" s="18"/>
      <c r="E52" s="18"/>
      <c r="F52" s="18"/>
      <c r="G52" s="20" t="str">
        <f>+$G$4</f>
        <v>Oct</v>
      </c>
      <c r="H52" s="20" t="str">
        <f>+G52</f>
        <v>Oct</v>
      </c>
      <c r="I52" s="20" t="str">
        <f t="shared" si="14"/>
        <v>Oct</v>
      </c>
      <c r="J52" s="20" t="str">
        <f t="shared" si="14"/>
        <v>Oct</v>
      </c>
      <c r="K52" s="20" t="str">
        <f t="shared" si="14"/>
        <v>Oct</v>
      </c>
      <c r="L52" s="20" t="str">
        <f t="shared" si="14"/>
        <v>Oct</v>
      </c>
      <c r="M52" s="20" t="str">
        <f t="shared" si="14"/>
        <v>Oct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6</v>
      </c>
      <c r="H53" s="25">
        <f>+$H$5</f>
        <v>13</v>
      </c>
      <c r="I53" s="25">
        <f>+$I$5</f>
        <v>20</v>
      </c>
      <c r="J53" s="25">
        <f>+$J$5</f>
        <v>27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100</v>
      </c>
      <c r="H55" s="31">
        <f t="shared" ref="H55:L55" si="15">SUM(H56:H59)</f>
        <v>75</v>
      </c>
      <c r="I55" s="31">
        <f t="shared" si="15"/>
        <v>58</v>
      </c>
      <c r="J55" s="31">
        <f t="shared" si="15"/>
        <v>67</v>
      </c>
      <c r="K55" s="31">
        <f t="shared" si="15"/>
        <v>0</v>
      </c>
      <c r="L55" s="31">
        <f t="shared" si="15"/>
        <v>300</v>
      </c>
      <c r="M55" s="31">
        <f>ROUND((L55/$E$1),0)</f>
        <v>75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4</v>
      </c>
      <c r="H56" s="42">
        <v>3</v>
      </c>
      <c r="I56" s="42">
        <v>3</v>
      </c>
      <c r="J56" s="42">
        <v>2</v>
      </c>
      <c r="K56" s="42"/>
      <c r="L56" s="35">
        <f>SUM(G56:K56)</f>
        <v>12</v>
      </c>
      <c r="M56" s="35">
        <f t="shared" ref="M56:M64" si="16">ROUND((L56/$E$1),0)</f>
        <v>3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15</v>
      </c>
      <c r="H57" s="42">
        <v>15</v>
      </c>
      <c r="I57" s="42">
        <v>15</v>
      </c>
      <c r="J57" s="42">
        <v>12</v>
      </c>
      <c r="K57" s="42"/>
      <c r="L57" s="35">
        <f t="shared" ref="L57:L64" si="17">SUM(G57:K57)</f>
        <v>57</v>
      </c>
      <c r="M57" s="35">
        <f t="shared" si="16"/>
        <v>14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24</v>
      </c>
      <c r="H58" s="42">
        <v>23</v>
      </c>
      <c r="I58" s="42">
        <v>22</v>
      </c>
      <c r="J58" s="42">
        <v>16</v>
      </c>
      <c r="K58" s="42"/>
      <c r="L58" s="35">
        <f t="shared" si="17"/>
        <v>85</v>
      </c>
      <c r="M58" s="35">
        <f t="shared" si="16"/>
        <v>21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57</v>
      </c>
      <c r="H59" s="43">
        <v>34</v>
      </c>
      <c r="I59" s="43">
        <v>18</v>
      </c>
      <c r="J59" s="43">
        <v>37</v>
      </c>
      <c r="K59" s="43"/>
      <c r="L59" s="31">
        <f t="shared" si="17"/>
        <v>146</v>
      </c>
      <c r="M59" s="31">
        <f t="shared" si="16"/>
        <v>37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7</v>
      </c>
      <c r="H62" s="42">
        <v>6</v>
      </c>
      <c r="I62" s="42">
        <v>6</v>
      </c>
      <c r="J62" s="42">
        <v>6</v>
      </c>
      <c r="K62" s="42"/>
      <c r="L62" s="35">
        <f t="shared" si="17"/>
        <v>25</v>
      </c>
      <c r="M62" s="35">
        <f t="shared" si="16"/>
        <v>6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2024</v>
      </c>
      <c r="H67" s="10">
        <f>+G67</f>
        <v>2024</v>
      </c>
      <c r="I67" s="10">
        <f t="shared" ref="I67:M68" si="18">+H67</f>
        <v>2024</v>
      </c>
      <c r="J67" s="10">
        <f t="shared" si="18"/>
        <v>2024</v>
      </c>
      <c r="K67" s="10">
        <f t="shared" si="18"/>
        <v>2024</v>
      </c>
      <c r="L67" s="10">
        <f t="shared" si="18"/>
        <v>2024</v>
      </c>
      <c r="M67" s="10">
        <f t="shared" si="18"/>
        <v>2024</v>
      </c>
      <c r="N67" s="11"/>
      <c r="O67" s="44"/>
      <c r="P67" s="44"/>
      <c r="Q67" s="44"/>
      <c r="S67" s="12" t="str">
        <f>+C67</f>
        <v>Engcamini</v>
      </c>
      <c r="T67" s="13">
        <f>+L71</f>
        <v>407</v>
      </c>
      <c r="U67" s="13">
        <f>+L72+L73</f>
        <v>52</v>
      </c>
      <c r="V67" s="13">
        <f>+L74+L75</f>
        <v>355</v>
      </c>
      <c r="W67" s="13">
        <f>+L78</f>
        <v>9</v>
      </c>
      <c r="X67" s="13">
        <f>+L76</f>
        <v>15</v>
      </c>
    </row>
    <row r="68" spans="1:24" x14ac:dyDescent="0.25">
      <c r="A68" s="14"/>
      <c r="B68" s="15"/>
      <c r="C68" s="41" t="str">
        <f>+$C52</f>
        <v>October 2024</v>
      </c>
      <c r="D68" s="18"/>
      <c r="E68" s="18"/>
      <c r="F68" s="18"/>
      <c r="G68" s="20" t="str">
        <f>+$G$4</f>
        <v>Oct</v>
      </c>
      <c r="H68" s="20" t="str">
        <f>+G68</f>
        <v>Oct</v>
      </c>
      <c r="I68" s="20" t="str">
        <f t="shared" si="18"/>
        <v>Oct</v>
      </c>
      <c r="J68" s="20" t="str">
        <f t="shared" si="18"/>
        <v>Oct</v>
      </c>
      <c r="K68" s="20" t="str">
        <f t="shared" si="18"/>
        <v>Oct</v>
      </c>
      <c r="L68" s="20" t="str">
        <f t="shared" si="18"/>
        <v>Oct</v>
      </c>
      <c r="M68" s="20" t="str">
        <f t="shared" si="18"/>
        <v>Oct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6</v>
      </c>
      <c r="H69" s="25">
        <f>+$H$5</f>
        <v>13</v>
      </c>
      <c r="I69" s="25">
        <f>+$I$5</f>
        <v>20</v>
      </c>
      <c r="J69" s="25">
        <f>+$J$5</f>
        <v>27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112</v>
      </c>
      <c r="H71" s="31">
        <f t="shared" ref="H71:L71" si="19">SUM(H72:H75)</f>
        <v>71</v>
      </c>
      <c r="I71" s="31">
        <f t="shared" si="19"/>
        <v>94</v>
      </c>
      <c r="J71" s="31">
        <f t="shared" si="19"/>
        <v>130</v>
      </c>
      <c r="K71" s="31">
        <f t="shared" si="19"/>
        <v>0</v>
      </c>
      <c r="L71" s="31">
        <f t="shared" si="19"/>
        <v>407</v>
      </c>
      <c r="M71" s="31">
        <f>ROUND((L71/$E$1),0)</f>
        <v>102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1</v>
      </c>
      <c r="I72" s="42">
        <v>3</v>
      </c>
      <c r="J72" s="42">
        <v>5</v>
      </c>
      <c r="K72" s="42"/>
      <c r="L72" s="35">
        <f>SUM(G72:K72)</f>
        <v>12</v>
      </c>
      <c r="M72" s="35">
        <f t="shared" ref="M72:M80" si="20">ROUND((L72/$E$1),0)</f>
        <v>3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12</v>
      </c>
      <c r="H73" s="42">
        <v>4</v>
      </c>
      <c r="I73" s="42">
        <v>8</v>
      </c>
      <c r="J73" s="42">
        <v>16</v>
      </c>
      <c r="K73" s="42"/>
      <c r="L73" s="35">
        <f t="shared" ref="L73:L80" si="21">SUM(G73:K73)</f>
        <v>40</v>
      </c>
      <c r="M73" s="35">
        <f t="shared" si="20"/>
        <v>10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7</v>
      </c>
      <c r="H74" s="42">
        <v>8</v>
      </c>
      <c r="I74" s="42">
        <v>15</v>
      </c>
      <c r="J74" s="42">
        <v>7</v>
      </c>
      <c r="K74" s="42"/>
      <c r="L74" s="35">
        <f t="shared" si="21"/>
        <v>37</v>
      </c>
      <c r="M74" s="35">
        <f t="shared" si="20"/>
        <v>9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90</v>
      </c>
      <c r="H75" s="43">
        <v>58</v>
      </c>
      <c r="I75" s="43">
        <v>68</v>
      </c>
      <c r="J75" s="43">
        <v>102</v>
      </c>
      <c r="K75" s="43"/>
      <c r="L75" s="31">
        <f t="shared" si="21"/>
        <v>318</v>
      </c>
      <c r="M75" s="31">
        <f t="shared" si="20"/>
        <v>80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/>
      <c r="H76" s="42"/>
      <c r="I76" s="42">
        <v>15</v>
      </c>
      <c r="J76" s="42"/>
      <c r="K76" s="42"/>
      <c r="L76" s="35">
        <f t="shared" si="21"/>
        <v>15</v>
      </c>
      <c r="M76" s="35">
        <f t="shared" si="20"/>
        <v>4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>
        <v>2</v>
      </c>
      <c r="H78" s="42">
        <v>2</v>
      </c>
      <c r="I78" s="42">
        <v>2</v>
      </c>
      <c r="J78" s="42">
        <v>3</v>
      </c>
      <c r="K78" s="42"/>
      <c r="L78" s="35">
        <f t="shared" si="21"/>
        <v>9</v>
      </c>
      <c r="M78" s="35">
        <f t="shared" si="20"/>
        <v>2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>
        <v>112</v>
      </c>
      <c r="H79" s="42"/>
      <c r="I79" s="42"/>
      <c r="J79" s="42"/>
      <c r="K79" s="42"/>
      <c r="L79" s="35">
        <f t="shared" si="21"/>
        <v>112</v>
      </c>
      <c r="M79" s="35">
        <f t="shared" si="20"/>
        <v>28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2024</v>
      </c>
      <c r="H83" s="10">
        <f>+G83</f>
        <v>2024</v>
      </c>
      <c r="I83" s="10">
        <f t="shared" ref="I83:M84" si="22">+H83</f>
        <v>2024</v>
      </c>
      <c r="J83" s="10">
        <f t="shared" si="22"/>
        <v>2024</v>
      </c>
      <c r="K83" s="10">
        <f t="shared" si="22"/>
        <v>2024</v>
      </c>
      <c r="L83" s="10">
        <f t="shared" si="22"/>
        <v>2024</v>
      </c>
      <c r="M83" s="10">
        <f t="shared" si="22"/>
        <v>2024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October 2024</v>
      </c>
      <c r="D84" s="18"/>
      <c r="E84" s="18"/>
      <c r="F84" s="18"/>
      <c r="G84" s="20" t="str">
        <f>+$G$4</f>
        <v>Oct</v>
      </c>
      <c r="H84" s="20" t="str">
        <f>+G84</f>
        <v>Oct</v>
      </c>
      <c r="I84" s="20" t="str">
        <f t="shared" si="22"/>
        <v>Oct</v>
      </c>
      <c r="J84" s="20" t="str">
        <f t="shared" si="22"/>
        <v>Oct</v>
      </c>
      <c r="K84" s="20" t="str">
        <f t="shared" si="22"/>
        <v>Oct</v>
      </c>
      <c r="L84" s="20" t="str">
        <f t="shared" si="22"/>
        <v>Oct</v>
      </c>
      <c r="M84" s="20" t="str">
        <f t="shared" si="22"/>
        <v>Oct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6</v>
      </c>
      <c r="H85" s="25">
        <f>+$H$5</f>
        <v>13</v>
      </c>
      <c r="I85" s="25">
        <f>+$I$5</f>
        <v>20</v>
      </c>
      <c r="J85" s="25">
        <f>+$J$5</f>
        <v>27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2024</v>
      </c>
      <c r="H99" s="10">
        <f>+G99</f>
        <v>2024</v>
      </c>
      <c r="I99" s="10">
        <f t="shared" ref="I99:M100" si="26">+H99</f>
        <v>2024</v>
      </c>
      <c r="J99" s="10">
        <f t="shared" si="26"/>
        <v>2024</v>
      </c>
      <c r="K99" s="10">
        <f t="shared" si="26"/>
        <v>2024</v>
      </c>
      <c r="L99" s="10">
        <f t="shared" si="26"/>
        <v>2024</v>
      </c>
      <c r="M99" s="10">
        <f t="shared" si="26"/>
        <v>2024</v>
      </c>
      <c r="N99" s="11"/>
      <c r="O99" s="44"/>
      <c r="P99" s="44"/>
      <c r="Q99" s="44"/>
      <c r="S99" s="12" t="str">
        <f>+C99</f>
        <v>Ngwempisi</v>
      </c>
      <c r="T99" s="13">
        <f>+L103</f>
        <v>235</v>
      </c>
      <c r="U99" s="13">
        <f>+L104+L105</f>
        <v>78</v>
      </c>
      <c r="V99" s="13">
        <f>+L106+L107</f>
        <v>157</v>
      </c>
      <c r="W99" s="13">
        <f>+L110</f>
        <v>7</v>
      </c>
      <c r="X99" s="13">
        <f>+L108</f>
        <v>0</v>
      </c>
    </row>
    <row r="100" spans="1:24" x14ac:dyDescent="0.25">
      <c r="A100" s="14"/>
      <c r="B100" s="15"/>
      <c r="C100" s="41" t="str">
        <f>+$C84</f>
        <v>October 2024</v>
      </c>
      <c r="D100" s="18"/>
      <c r="E100" s="18"/>
      <c r="F100" s="18"/>
      <c r="G100" s="20" t="str">
        <f>+$G$4</f>
        <v>Oct</v>
      </c>
      <c r="H100" s="20" t="str">
        <f>+G100</f>
        <v>Oct</v>
      </c>
      <c r="I100" s="20" t="str">
        <f t="shared" si="26"/>
        <v>Oct</v>
      </c>
      <c r="J100" s="20" t="str">
        <f t="shared" si="26"/>
        <v>Oct</v>
      </c>
      <c r="K100" s="20" t="str">
        <f t="shared" si="26"/>
        <v>Oct</v>
      </c>
      <c r="L100" s="20" t="str">
        <f t="shared" si="26"/>
        <v>Oct</v>
      </c>
      <c r="M100" s="20" t="str">
        <f t="shared" si="26"/>
        <v>Oct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6</v>
      </c>
      <c r="H101" s="25">
        <f>+$H$5</f>
        <v>13</v>
      </c>
      <c r="I101" s="25">
        <f>+$I$5</f>
        <v>20</v>
      </c>
      <c r="J101" s="25">
        <f>+$J$5</f>
        <v>27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 t="s">
        <v>80</v>
      </c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78</v>
      </c>
      <c r="H103" s="31">
        <f t="shared" ref="H103:L103" si="27">SUM(H104:H107)</f>
        <v>71</v>
      </c>
      <c r="I103" s="31">
        <f t="shared" si="27"/>
        <v>86</v>
      </c>
      <c r="J103" s="31">
        <f t="shared" si="27"/>
        <v>0</v>
      </c>
      <c r="K103" s="31">
        <f t="shared" si="27"/>
        <v>0</v>
      </c>
      <c r="L103" s="31">
        <f t="shared" si="27"/>
        <v>235</v>
      </c>
      <c r="M103" s="31">
        <f>ROUND((L103/$E$1),0)</f>
        <v>59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3</v>
      </c>
      <c r="H104" s="42">
        <v>2</v>
      </c>
      <c r="I104" s="42">
        <v>2</v>
      </c>
      <c r="J104" s="42"/>
      <c r="K104" s="42"/>
      <c r="L104" s="35">
        <f>SUM(G104:K104)</f>
        <v>7</v>
      </c>
      <c r="M104" s="35">
        <f t="shared" ref="M104:M112" si="28">ROUND((L104/$E$1),0)</f>
        <v>2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23</v>
      </c>
      <c r="H105" s="42">
        <v>23</v>
      </c>
      <c r="I105" s="42">
        <v>25</v>
      </c>
      <c r="J105" s="42"/>
      <c r="K105" s="42"/>
      <c r="L105" s="35">
        <f t="shared" ref="L105:L112" si="29">SUM(G105:K105)</f>
        <v>71</v>
      </c>
      <c r="M105" s="35">
        <f t="shared" si="28"/>
        <v>18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16</v>
      </c>
      <c r="H106" s="42">
        <v>12</v>
      </c>
      <c r="I106" s="42">
        <v>21</v>
      </c>
      <c r="J106" s="42"/>
      <c r="K106" s="42"/>
      <c r="L106" s="35">
        <f t="shared" si="29"/>
        <v>49</v>
      </c>
      <c r="M106" s="35">
        <f t="shared" si="28"/>
        <v>12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36</v>
      </c>
      <c r="H107" s="43">
        <v>34</v>
      </c>
      <c r="I107" s="43">
        <v>38</v>
      </c>
      <c r="J107" s="43"/>
      <c r="K107" s="43"/>
      <c r="L107" s="31">
        <f t="shared" si="29"/>
        <v>108</v>
      </c>
      <c r="M107" s="31">
        <f t="shared" si="28"/>
        <v>27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>
        <v>7</v>
      </c>
      <c r="H110" s="42"/>
      <c r="I110" s="42"/>
      <c r="J110" s="42"/>
      <c r="K110" s="42"/>
      <c r="L110" s="35">
        <f t="shared" si="29"/>
        <v>7</v>
      </c>
      <c r="M110" s="35">
        <f t="shared" si="28"/>
        <v>2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2024</v>
      </c>
      <c r="H115" s="10">
        <f>+G115</f>
        <v>2024</v>
      </c>
      <c r="I115" s="10">
        <f t="shared" ref="I115:M116" si="30">+H115</f>
        <v>2024</v>
      </c>
      <c r="J115" s="10">
        <f t="shared" si="30"/>
        <v>2024</v>
      </c>
      <c r="K115" s="10">
        <f t="shared" si="30"/>
        <v>2024</v>
      </c>
      <c r="L115" s="10">
        <f t="shared" si="30"/>
        <v>2024</v>
      </c>
      <c r="M115" s="10">
        <f t="shared" si="30"/>
        <v>2024</v>
      </c>
      <c r="N115" s="11"/>
      <c r="O115" s="44"/>
      <c r="P115" s="44"/>
      <c r="Q115" s="44"/>
      <c r="S115" s="12" t="str">
        <f>+C115</f>
        <v>Gebeni</v>
      </c>
      <c r="T115" s="13">
        <f>+L119</f>
        <v>258</v>
      </c>
      <c r="U115" s="13">
        <f>+L120+L121</f>
        <v>63</v>
      </c>
      <c r="V115" s="13">
        <f>+L122+L123</f>
        <v>195</v>
      </c>
      <c r="W115" s="13">
        <f>+L126</f>
        <v>15</v>
      </c>
      <c r="X115" s="13">
        <f>+L124</f>
        <v>6</v>
      </c>
    </row>
    <row r="116" spans="1:24" x14ac:dyDescent="0.25">
      <c r="A116" s="14"/>
      <c r="B116" s="15"/>
      <c r="C116" s="41" t="str">
        <f>+$C100</f>
        <v>October 2024</v>
      </c>
      <c r="D116" s="18"/>
      <c r="E116" s="18"/>
      <c r="F116" s="18"/>
      <c r="G116" s="20" t="str">
        <f>+$G$4</f>
        <v>Oct</v>
      </c>
      <c r="H116" s="20" t="str">
        <f>+G116</f>
        <v>Oct</v>
      </c>
      <c r="I116" s="20" t="str">
        <f t="shared" si="30"/>
        <v>Oct</v>
      </c>
      <c r="J116" s="20" t="str">
        <f t="shared" si="30"/>
        <v>Oct</v>
      </c>
      <c r="K116" s="20" t="str">
        <f t="shared" si="30"/>
        <v>Oct</v>
      </c>
      <c r="L116" s="20" t="str">
        <f t="shared" si="30"/>
        <v>Oct</v>
      </c>
      <c r="M116" s="20" t="str">
        <f t="shared" si="30"/>
        <v>Oct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6</v>
      </c>
      <c r="H117" s="25">
        <f>+$H$5</f>
        <v>13</v>
      </c>
      <c r="I117" s="25">
        <f>+$I$5</f>
        <v>20</v>
      </c>
      <c r="J117" s="25">
        <f>+$J$5</f>
        <v>27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62</v>
      </c>
      <c r="H119" s="31">
        <f t="shared" ref="H119:L119" si="31">SUM(H120:H123)</f>
        <v>71</v>
      </c>
      <c r="I119" s="31">
        <f t="shared" si="31"/>
        <v>69</v>
      </c>
      <c r="J119" s="31">
        <f t="shared" si="31"/>
        <v>56</v>
      </c>
      <c r="K119" s="31">
        <f t="shared" si="31"/>
        <v>0</v>
      </c>
      <c r="L119" s="31">
        <f t="shared" si="31"/>
        <v>258</v>
      </c>
      <c r="M119" s="31">
        <f>ROUND((L119/$E$1),0)</f>
        <v>65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5</v>
      </c>
      <c r="H120" s="42">
        <v>5</v>
      </c>
      <c r="I120" s="42">
        <v>6</v>
      </c>
      <c r="J120" s="42">
        <v>3</v>
      </c>
      <c r="K120" s="42"/>
      <c r="L120" s="35">
        <f>SUM(G120:K120)</f>
        <v>19</v>
      </c>
      <c r="M120" s="35">
        <f t="shared" ref="M120:M128" si="32">ROUND((L120/$E$1),0)</f>
        <v>5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10</v>
      </c>
      <c r="H121" s="42">
        <v>12</v>
      </c>
      <c r="I121" s="42">
        <v>11</v>
      </c>
      <c r="J121" s="42">
        <v>11</v>
      </c>
      <c r="K121" s="42"/>
      <c r="L121" s="35">
        <f t="shared" ref="L121:L128" si="33">SUM(G121:K121)</f>
        <v>44</v>
      </c>
      <c r="M121" s="35">
        <f t="shared" si="32"/>
        <v>11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22</v>
      </c>
      <c r="H122" s="42">
        <v>23</v>
      </c>
      <c r="I122" s="42">
        <v>18</v>
      </c>
      <c r="J122" s="42">
        <v>15</v>
      </c>
      <c r="K122" s="42"/>
      <c r="L122" s="35">
        <f t="shared" si="33"/>
        <v>78</v>
      </c>
      <c r="M122" s="35">
        <f t="shared" si="32"/>
        <v>20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25</v>
      </c>
      <c r="H123" s="43">
        <v>31</v>
      </c>
      <c r="I123" s="43">
        <v>34</v>
      </c>
      <c r="J123" s="43">
        <v>27</v>
      </c>
      <c r="K123" s="43"/>
      <c r="L123" s="31">
        <f t="shared" si="33"/>
        <v>117</v>
      </c>
      <c r="M123" s="31">
        <f t="shared" si="32"/>
        <v>29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/>
      <c r="H124" s="42">
        <v>5</v>
      </c>
      <c r="I124" s="42"/>
      <c r="J124" s="42">
        <v>1</v>
      </c>
      <c r="K124" s="42"/>
      <c r="L124" s="35">
        <f t="shared" si="33"/>
        <v>6</v>
      </c>
      <c r="M124" s="35">
        <f t="shared" si="32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/>
      <c r="H126" s="42">
        <v>9</v>
      </c>
      <c r="I126" s="42"/>
      <c r="J126" s="42">
        <v>6</v>
      </c>
      <c r="K126" s="42"/>
      <c r="L126" s="35">
        <f t="shared" si="33"/>
        <v>15</v>
      </c>
      <c r="M126" s="35">
        <f t="shared" si="32"/>
        <v>4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/>
      <c r="H127" s="42">
        <v>30</v>
      </c>
      <c r="I127" s="42"/>
      <c r="J127" s="42">
        <v>12</v>
      </c>
      <c r="K127" s="42"/>
      <c r="L127" s="35">
        <f t="shared" si="33"/>
        <v>42</v>
      </c>
      <c r="M127" s="35">
        <f t="shared" si="32"/>
        <v>11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2024</v>
      </c>
      <c r="H131" s="10">
        <f>+G131</f>
        <v>2024</v>
      </c>
      <c r="I131" s="10">
        <f t="shared" ref="I131:M132" si="34">+H131</f>
        <v>2024</v>
      </c>
      <c r="J131" s="10">
        <f t="shared" si="34"/>
        <v>2024</v>
      </c>
      <c r="K131" s="10">
        <f t="shared" si="34"/>
        <v>2024</v>
      </c>
      <c r="L131" s="10">
        <f t="shared" si="34"/>
        <v>2024</v>
      </c>
      <c r="M131" s="10">
        <f t="shared" si="34"/>
        <v>2024</v>
      </c>
      <c r="N131" s="11"/>
      <c r="O131" s="44"/>
      <c r="P131" s="44"/>
      <c r="Q131" s="44"/>
      <c r="S131" s="12" t="str">
        <f>+C131</f>
        <v>Mpolonjeni CLC</v>
      </c>
      <c r="T131" s="13">
        <f>+L135</f>
        <v>230</v>
      </c>
      <c r="U131" s="13">
        <f>+L136+L137</f>
        <v>75</v>
      </c>
      <c r="V131" s="13">
        <f>+L138+L139</f>
        <v>155</v>
      </c>
      <c r="W131" s="13">
        <f>+L142</f>
        <v>3</v>
      </c>
      <c r="X131" s="13">
        <f>+L140</f>
        <v>0</v>
      </c>
    </row>
    <row r="132" spans="1:24" x14ac:dyDescent="0.25">
      <c r="A132" s="14"/>
      <c r="B132" s="15"/>
      <c r="C132" s="41" t="str">
        <f>+$C116</f>
        <v>October 2024</v>
      </c>
      <c r="D132" s="18"/>
      <c r="E132" s="18"/>
      <c r="F132" s="18"/>
      <c r="G132" s="20" t="str">
        <f>+$G$4</f>
        <v>Oct</v>
      </c>
      <c r="H132" s="20" t="str">
        <f>+G132</f>
        <v>Oct</v>
      </c>
      <c r="I132" s="20" t="str">
        <f t="shared" si="34"/>
        <v>Oct</v>
      </c>
      <c r="J132" s="20" t="str">
        <f t="shared" si="34"/>
        <v>Oct</v>
      </c>
      <c r="K132" s="20" t="str">
        <f t="shared" si="34"/>
        <v>Oct</v>
      </c>
      <c r="L132" s="20" t="str">
        <f t="shared" si="34"/>
        <v>Oct</v>
      </c>
      <c r="M132" s="20" t="str">
        <f t="shared" si="34"/>
        <v>Oct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6</v>
      </c>
      <c r="H133" s="25">
        <f>+$H$5</f>
        <v>13</v>
      </c>
      <c r="I133" s="25">
        <f>+$I$5</f>
        <v>20</v>
      </c>
      <c r="J133" s="25">
        <f>+$J$5</f>
        <v>27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55</v>
      </c>
      <c r="H135" s="31">
        <f t="shared" ref="H135:L135" si="35">SUM(H136:H139)</f>
        <v>64</v>
      </c>
      <c r="I135" s="31">
        <f t="shared" si="35"/>
        <v>48</v>
      </c>
      <c r="J135" s="31">
        <f t="shared" si="35"/>
        <v>63</v>
      </c>
      <c r="K135" s="31">
        <f t="shared" si="35"/>
        <v>0</v>
      </c>
      <c r="L135" s="31">
        <f t="shared" si="35"/>
        <v>230</v>
      </c>
      <c r="M135" s="31">
        <f>ROUND((L135/$E$1),0)</f>
        <v>58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4</v>
      </c>
      <c r="H136" s="42">
        <v>4</v>
      </c>
      <c r="I136" s="42">
        <v>4</v>
      </c>
      <c r="J136" s="42">
        <v>4</v>
      </c>
      <c r="K136" s="42"/>
      <c r="L136" s="35">
        <f>SUM(G136:K136)</f>
        <v>16</v>
      </c>
      <c r="M136" s="35">
        <f t="shared" ref="M136:M144" si="36">ROUND((L136/$E$1),0)</f>
        <v>4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15</v>
      </c>
      <c r="H137" s="42">
        <v>16</v>
      </c>
      <c r="I137" s="42">
        <v>13</v>
      </c>
      <c r="J137" s="42">
        <v>15</v>
      </c>
      <c r="K137" s="42"/>
      <c r="L137" s="35">
        <f t="shared" ref="L137:L144" si="37">SUM(G137:K137)</f>
        <v>59</v>
      </c>
      <c r="M137" s="35">
        <f t="shared" si="36"/>
        <v>15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12</v>
      </c>
      <c r="H138" s="42">
        <v>12</v>
      </c>
      <c r="I138" s="42">
        <v>11</v>
      </c>
      <c r="J138" s="42">
        <v>14</v>
      </c>
      <c r="K138" s="42"/>
      <c r="L138" s="35">
        <f t="shared" si="37"/>
        <v>49</v>
      </c>
      <c r="M138" s="35">
        <f t="shared" si="36"/>
        <v>12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24</v>
      </c>
      <c r="H139" s="43">
        <v>32</v>
      </c>
      <c r="I139" s="43">
        <v>20</v>
      </c>
      <c r="J139" s="43">
        <v>30</v>
      </c>
      <c r="K139" s="43"/>
      <c r="L139" s="31">
        <f t="shared" si="37"/>
        <v>106</v>
      </c>
      <c r="M139" s="31">
        <f t="shared" si="36"/>
        <v>27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>
        <v>1</v>
      </c>
      <c r="H142" s="42">
        <v>1</v>
      </c>
      <c r="I142" s="42">
        <v>1</v>
      </c>
      <c r="J142" s="42"/>
      <c r="K142" s="42"/>
      <c r="L142" s="35">
        <f t="shared" si="37"/>
        <v>3</v>
      </c>
      <c r="M142" s="35">
        <f t="shared" si="36"/>
        <v>1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>
        <v>128</v>
      </c>
      <c r="H143" s="42">
        <v>190</v>
      </c>
      <c r="I143" s="42">
        <v>128</v>
      </c>
      <c r="J143" s="42">
        <v>30</v>
      </c>
      <c r="K143" s="42"/>
      <c r="L143" s="35">
        <f t="shared" si="37"/>
        <v>476</v>
      </c>
      <c r="M143" s="35">
        <f t="shared" si="36"/>
        <v>119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2024</v>
      </c>
      <c r="H147" s="10">
        <f>+G147</f>
        <v>2024</v>
      </c>
      <c r="I147" s="10">
        <f t="shared" ref="I147:M148" si="38">+H147</f>
        <v>2024</v>
      </c>
      <c r="J147" s="10">
        <f t="shared" si="38"/>
        <v>2024</v>
      </c>
      <c r="K147" s="10">
        <f t="shared" si="38"/>
        <v>2024</v>
      </c>
      <c r="L147" s="10">
        <f t="shared" si="38"/>
        <v>2024</v>
      </c>
      <c r="M147" s="10">
        <f t="shared" si="38"/>
        <v>2024</v>
      </c>
      <c r="N147" s="11"/>
      <c r="O147" s="44"/>
      <c r="P147" s="44"/>
      <c r="Q147" s="44"/>
      <c r="S147" s="12" t="str">
        <f>+C147</f>
        <v>Msahweni CLC</v>
      </c>
      <c r="T147" s="13">
        <f>+L151</f>
        <v>661</v>
      </c>
      <c r="U147" s="13">
        <f>+L152+L153</f>
        <v>133</v>
      </c>
      <c r="V147" s="13">
        <f>+L154+L155</f>
        <v>528</v>
      </c>
      <c r="W147" s="13">
        <f>+L158</f>
        <v>10</v>
      </c>
      <c r="X147" s="13">
        <f>+L156</f>
        <v>55</v>
      </c>
    </row>
    <row r="148" spans="1:24" x14ac:dyDescent="0.25">
      <c r="A148" s="14"/>
      <c r="B148" s="15"/>
      <c r="C148" s="41" t="str">
        <f>+$C132</f>
        <v>October 2024</v>
      </c>
      <c r="D148" s="18"/>
      <c r="E148" s="18"/>
      <c r="F148" s="18"/>
      <c r="G148" s="20" t="str">
        <f>+$G$4</f>
        <v>Oct</v>
      </c>
      <c r="H148" s="20" t="str">
        <f>+G148</f>
        <v>Oct</v>
      </c>
      <c r="I148" s="20" t="str">
        <f t="shared" si="38"/>
        <v>Oct</v>
      </c>
      <c r="J148" s="20" t="str">
        <f t="shared" si="38"/>
        <v>Oct</v>
      </c>
      <c r="K148" s="20" t="str">
        <f t="shared" si="38"/>
        <v>Oct</v>
      </c>
      <c r="L148" s="20" t="str">
        <f t="shared" si="38"/>
        <v>Oct</v>
      </c>
      <c r="M148" s="20" t="str">
        <f t="shared" si="38"/>
        <v>Oct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6</v>
      </c>
      <c r="H149" s="25">
        <f>+$H$5</f>
        <v>13</v>
      </c>
      <c r="I149" s="25">
        <f>+$I$5</f>
        <v>20</v>
      </c>
      <c r="J149" s="25">
        <f>+$J$5</f>
        <v>27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367</v>
      </c>
      <c r="H151" s="31">
        <f t="shared" ref="H151:L151" si="39">SUM(H152:H155)</f>
        <v>118</v>
      </c>
      <c r="I151" s="31">
        <f t="shared" si="39"/>
        <v>89</v>
      </c>
      <c r="J151" s="31">
        <f t="shared" si="39"/>
        <v>87</v>
      </c>
      <c r="K151" s="31">
        <f t="shared" si="39"/>
        <v>0</v>
      </c>
      <c r="L151" s="31">
        <f t="shared" si="39"/>
        <v>661</v>
      </c>
      <c r="M151" s="31">
        <f>ROUND((L151/$E$1),0)</f>
        <v>165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15</v>
      </c>
      <c r="H152" s="42">
        <v>4</v>
      </c>
      <c r="I152" s="42">
        <v>4</v>
      </c>
      <c r="J152" s="42">
        <v>6</v>
      </c>
      <c r="K152" s="42"/>
      <c r="L152" s="35">
        <f>SUM(G152:K152)</f>
        <v>29</v>
      </c>
      <c r="M152" s="35">
        <f t="shared" ref="M152:M160" si="40">ROUND((L152/$E$1),0)</f>
        <v>7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32</v>
      </c>
      <c r="H153" s="42">
        <v>29</v>
      </c>
      <c r="I153" s="42">
        <v>19</v>
      </c>
      <c r="J153" s="42">
        <v>24</v>
      </c>
      <c r="K153" s="42"/>
      <c r="L153" s="35">
        <f t="shared" ref="L153:L160" si="41">SUM(G153:K153)</f>
        <v>104</v>
      </c>
      <c r="M153" s="35">
        <f t="shared" si="40"/>
        <v>26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275</v>
      </c>
      <c r="H154" s="42">
        <v>45</v>
      </c>
      <c r="I154" s="42">
        <v>27</v>
      </c>
      <c r="J154" s="42">
        <v>31</v>
      </c>
      <c r="K154" s="42"/>
      <c r="L154" s="35">
        <f t="shared" si="41"/>
        <v>378</v>
      </c>
      <c r="M154" s="35">
        <f t="shared" si="40"/>
        <v>95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45</v>
      </c>
      <c r="H155" s="43">
        <v>40</v>
      </c>
      <c r="I155" s="43">
        <v>39</v>
      </c>
      <c r="J155" s="43">
        <v>26</v>
      </c>
      <c r="K155" s="43"/>
      <c r="L155" s="31">
        <f t="shared" si="41"/>
        <v>150</v>
      </c>
      <c r="M155" s="31">
        <f t="shared" si="40"/>
        <v>38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>
        <v>53</v>
      </c>
      <c r="H156" s="42">
        <v>2</v>
      </c>
      <c r="I156" s="42"/>
      <c r="J156" s="42"/>
      <c r="K156" s="42"/>
      <c r="L156" s="35">
        <f t="shared" si="41"/>
        <v>55</v>
      </c>
      <c r="M156" s="35">
        <f t="shared" si="40"/>
        <v>14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2</v>
      </c>
      <c r="H158" s="42">
        <v>3</v>
      </c>
      <c r="I158" s="42">
        <v>2</v>
      </c>
      <c r="J158" s="42">
        <v>3</v>
      </c>
      <c r="K158" s="42"/>
      <c r="L158" s="35">
        <f t="shared" si="41"/>
        <v>10</v>
      </c>
      <c r="M158" s="35">
        <f t="shared" si="40"/>
        <v>3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23</v>
      </c>
      <c r="H159" s="42">
        <v>27</v>
      </c>
      <c r="I159" s="42">
        <v>18</v>
      </c>
      <c r="J159" s="42">
        <v>10</v>
      </c>
      <c r="K159" s="42"/>
      <c r="L159" s="35">
        <f t="shared" si="41"/>
        <v>78</v>
      </c>
      <c r="M159" s="35">
        <f t="shared" si="40"/>
        <v>20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2024</v>
      </c>
      <c r="H163" s="10">
        <f>+G163</f>
        <v>2024</v>
      </c>
      <c r="I163" s="10">
        <f t="shared" ref="I163:M164" si="42">+H163</f>
        <v>2024</v>
      </c>
      <c r="J163" s="10">
        <f t="shared" si="42"/>
        <v>2024</v>
      </c>
      <c r="K163" s="10">
        <f t="shared" si="42"/>
        <v>2024</v>
      </c>
      <c r="L163" s="10">
        <f t="shared" si="42"/>
        <v>2024</v>
      </c>
      <c r="M163" s="10">
        <f t="shared" si="42"/>
        <v>2024</v>
      </c>
      <c r="N163" s="11"/>
      <c r="O163" s="44"/>
      <c r="P163" s="44"/>
      <c r="Q163" s="44"/>
      <c r="S163" s="12" t="str">
        <f>+C163</f>
        <v>Mhlangatane</v>
      </c>
      <c r="T163" s="13">
        <f>+L167</f>
        <v>134</v>
      </c>
      <c r="U163" s="13">
        <f>+L168+L169</f>
        <v>33</v>
      </c>
      <c r="V163" s="13">
        <f>+L170+L171</f>
        <v>101</v>
      </c>
      <c r="W163" s="13">
        <f>+L174</f>
        <v>13</v>
      </c>
      <c r="X163" s="13">
        <f>+L172</f>
        <v>0</v>
      </c>
    </row>
    <row r="164" spans="1:24" x14ac:dyDescent="0.25">
      <c r="A164" s="14"/>
      <c r="B164" s="15"/>
      <c r="C164" s="41" t="str">
        <f>+$C148</f>
        <v>October 2024</v>
      </c>
      <c r="D164" s="18"/>
      <c r="E164" s="18"/>
      <c r="F164" s="18"/>
      <c r="G164" s="20" t="str">
        <f>+$G$4</f>
        <v>Oct</v>
      </c>
      <c r="H164" s="20" t="str">
        <f>+G164</f>
        <v>Oct</v>
      </c>
      <c r="I164" s="20" t="str">
        <f t="shared" si="42"/>
        <v>Oct</v>
      </c>
      <c r="J164" s="20" t="str">
        <f t="shared" si="42"/>
        <v>Oct</v>
      </c>
      <c r="K164" s="20" t="str">
        <f t="shared" si="42"/>
        <v>Oct</v>
      </c>
      <c r="L164" s="20" t="str">
        <f t="shared" si="42"/>
        <v>Oct</v>
      </c>
      <c r="M164" s="20" t="str">
        <f t="shared" si="42"/>
        <v>Oct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6</v>
      </c>
      <c r="H165" s="25">
        <f>+$H$5</f>
        <v>13</v>
      </c>
      <c r="I165" s="25">
        <f>+$I$5</f>
        <v>20</v>
      </c>
      <c r="J165" s="25">
        <f>+$J$5</f>
        <v>27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28</v>
      </c>
      <c r="H167" s="31">
        <f t="shared" ref="H167:L167" si="43">SUM(H168:H171)</f>
        <v>38</v>
      </c>
      <c r="I167" s="31">
        <f t="shared" si="43"/>
        <v>44</v>
      </c>
      <c r="J167" s="31">
        <f t="shared" si="43"/>
        <v>24</v>
      </c>
      <c r="K167" s="31">
        <f t="shared" si="43"/>
        <v>0</v>
      </c>
      <c r="L167" s="31">
        <f t="shared" si="43"/>
        <v>134</v>
      </c>
      <c r="M167" s="31">
        <f>ROUND((L167/$E$1),0)</f>
        <v>34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2</v>
      </c>
      <c r="H168" s="42">
        <v>1</v>
      </c>
      <c r="I168" s="42">
        <v>2</v>
      </c>
      <c r="J168" s="42">
        <v>1</v>
      </c>
      <c r="K168" s="42"/>
      <c r="L168" s="35">
        <f>SUM(G168:K168)</f>
        <v>6</v>
      </c>
      <c r="M168" s="35">
        <f t="shared" ref="M168:M176" si="44">ROUND((L168/$E$1),0)</f>
        <v>2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4</v>
      </c>
      <c r="H169" s="42">
        <v>6</v>
      </c>
      <c r="I169" s="42">
        <v>10</v>
      </c>
      <c r="J169" s="42">
        <v>7</v>
      </c>
      <c r="K169" s="42"/>
      <c r="L169" s="35">
        <f t="shared" ref="L169:L176" si="45">SUM(G169:K169)</f>
        <v>27</v>
      </c>
      <c r="M169" s="35">
        <f t="shared" si="44"/>
        <v>7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2</v>
      </c>
      <c r="H170" s="42">
        <v>7</v>
      </c>
      <c r="I170" s="42">
        <v>7</v>
      </c>
      <c r="J170" s="42">
        <v>6</v>
      </c>
      <c r="K170" s="42"/>
      <c r="L170" s="35">
        <f t="shared" si="45"/>
        <v>22</v>
      </c>
      <c r="M170" s="35">
        <f t="shared" si="44"/>
        <v>6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20</v>
      </c>
      <c r="H171" s="43">
        <v>24</v>
      </c>
      <c r="I171" s="43">
        <v>25</v>
      </c>
      <c r="J171" s="43">
        <v>10</v>
      </c>
      <c r="K171" s="43"/>
      <c r="L171" s="31">
        <f t="shared" si="45"/>
        <v>79</v>
      </c>
      <c r="M171" s="31">
        <f t="shared" si="44"/>
        <v>20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1</v>
      </c>
      <c r="H174" s="42">
        <v>9</v>
      </c>
      <c r="I174" s="42">
        <v>2</v>
      </c>
      <c r="J174" s="42">
        <v>1</v>
      </c>
      <c r="K174" s="42"/>
      <c r="L174" s="35">
        <f t="shared" si="45"/>
        <v>13</v>
      </c>
      <c r="M174" s="35">
        <f t="shared" si="44"/>
        <v>3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180</v>
      </c>
      <c r="H175" s="42">
        <v>90</v>
      </c>
      <c r="I175" s="42">
        <v>50</v>
      </c>
      <c r="J175" s="42">
        <v>60</v>
      </c>
      <c r="K175" s="42"/>
      <c r="L175" s="35">
        <f t="shared" si="45"/>
        <v>380</v>
      </c>
      <c r="M175" s="35">
        <f t="shared" si="44"/>
        <v>95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2024</v>
      </c>
      <c r="H179" s="10">
        <f>+G179</f>
        <v>2024</v>
      </c>
      <c r="I179" s="10">
        <f t="shared" ref="I179:M180" si="46">+H179</f>
        <v>2024</v>
      </c>
      <c r="J179" s="10">
        <f t="shared" si="46"/>
        <v>2024</v>
      </c>
      <c r="K179" s="10">
        <f t="shared" si="46"/>
        <v>2024</v>
      </c>
      <c r="L179" s="10">
        <f t="shared" si="46"/>
        <v>2024</v>
      </c>
      <c r="M179" s="10">
        <f t="shared" si="46"/>
        <v>2024</v>
      </c>
      <c r="N179" s="11"/>
      <c r="O179" s="44"/>
      <c r="P179" s="44"/>
      <c r="Q179" s="44"/>
      <c r="S179" s="12" t="str">
        <f>+C179</f>
        <v>Tibane</v>
      </c>
      <c r="T179" s="13">
        <f>+L183</f>
        <v>280</v>
      </c>
      <c r="U179" s="13">
        <f>+L184+L185</f>
        <v>57</v>
      </c>
      <c r="V179" s="13">
        <f>+L186+L187</f>
        <v>223</v>
      </c>
      <c r="W179" s="13">
        <f>+L190</f>
        <v>20</v>
      </c>
      <c r="X179" s="13">
        <f>+L188</f>
        <v>3</v>
      </c>
    </row>
    <row r="180" spans="1:24" x14ac:dyDescent="0.25">
      <c r="A180" s="14"/>
      <c r="B180" s="15"/>
      <c r="C180" s="41" t="str">
        <f>+$C164</f>
        <v>October 2024</v>
      </c>
      <c r="D180" s="18"/>
      <c r="E180" s="18"/>
      <c r="F180" s="18"/>
      <c r="G180" s="20" t="str">
        <f>+$G$4</f>
        <v>Oct</v>
      </c>
      <c r="H180" s="20" t="str">
        <f>+G180</f>
        <v>Oct</v>
      </c>
      <c r="I180" s="20" t="str">
        <f t="shared" si="46"/>
        <v>Oct</v>
      </c>
      <c r="J180" s="20" t="str">
        <f t="shared" si="46"/>
        <v>Oct</v>
      </c>
      <c r="K180" s="20" t="str">
        <f t="shared" si="46"/>
        <v>Oct</v>
      </c>
      <c r="L180" s="20" t="str">
        <f t="shared" si="46"/>
        <v>Oct</v>
      </c>
      <c r="M180" s="20" t="str">
        <f t="shared" si="46"/>
        <v>Oct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6</v>
      </c>
      <c r="H181" s="25">
        <f>+$H$5</f>
        <v>13</v>
      </c>
      <c r="I181" s="25">
        <f>+$I$5</f>
        <v>20</v>
      </c>
      <c r="J181" s="25">
        <f>+$J$5</f>
        <v>27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76</v>
      </c>
      <c r="H183" s="31">
        <f t="shared" ref="H183:L183" si="47">SUM(H184:H187)</f>
        <v>72</v>
      </c>
      <c r="I183" s="31">
        <f t="shared" si="47"/>
        <v>67</v>
      </c>
      <c r="J183" s="31">
        <f t="shared" si="47"/>
        <v>65</v>
      </c>
      <c r="K183" s="31">
        <f t="shared" si="47"/>
        <v>0</v>
      </c>
      <c r="L183" s="31">
        <f t="shared" si="47"/>
        <v>280</v>
      </c>
      <c r="M183" s="31">
        <f>ROUND((L183/$E$1),0)</f>
        <v>70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2</v>
      </c>
      <c r="H184" s="42">
        <v>1</v>
      </c>
      <c r="I184" s="42">
        <v>1</v>
      </c>
      <c r="J184" s="42">
        <v>1</v>
      </c>
      <c r="K184" s="42"/>
      <c r="L184" s="35">
        <f>SUM(G184:K184)</f>
        <v>5</v>
      </c>
      <c r="M184" s="35">
        <f t="shared" ref="M184:M192" si="48">ROUND((L184/$E$1),0)</f>
        <v>1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14</v>
      </c>
      <c r="H185" s="42">
        <v>15</v>
      </c>
      <c r="I185" s="42">
        <v>12</v>
      </c>
      <c r="J185" s="42">
        <v>11</v>
      </c>
      <c r="K185" s="42"/>
      <c r="L185" s="35">
        <f t="shared" ref="L185:L192" si="49">SUM(G185:K185)</f>
        <v>52</v>
      </c>
      <c r="M185" s="35">
        <f t="shared" si="48"/>
        <v>13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18</v>
      </c>
      <c r="H186" s="42">
        <v>16</v>
      </c>
      <c r="I186" s="42">
        <v>14</v>
      </c>
      <c r="J186" s="42">
        <v>14</v>
      </c>
      <c r="K186" s="42"/>
      <c r="L186" s="35">
        <f t="shared" si="49"/>
        <v>62</v>
      </c>
      <c r="M186" s="35">
        <f t="shared" si="48"/>
        <v>16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42</v>
      </c>
      <c r="H187" s="43">
        <v>40</v>
      </c>
      <c r="I187" s="43">
        <v>40</v>
      </c>
      <c r="J187" s="43">
        <v>39</v>
      </c>
      <c r="K187" s="43"/>
      <c r="L187" s="31">
        <f t="shared" si="49"/>
        <v>161</v>
      </c>
      <c r="M187" s="31">
        <f t="shared" si="48"/>
        <v>40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>
        <v>2</v>
      </c>
      <c r="H188" s="42">
        <v>1</v>
      </c>
      <c r="I188" s="42"/>
      <c r="J188" s="42"/>
      <c r="K188" s="42"/>
      <c r="L188" s="35">
        <f t="shared" si="49"/>
        <v>3</v>
      </c>
      <c r="M188" s="35">
        <f t="shared" si="48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6</v>
      </c>
      <c r="H190" s="42">
        <v>7</v>
      </c>
      <c r="I190" s="42">
        <v>3</v>
      </c>
      <c r="J190" s="42">
        <v>4</v>
      </c>
      <c r="K190" s="42"/>
      <c r="L190" s="35">
        <f t="shared" si="49"/>
        <v>20</v>
      </c>
      <c r="M190" s="35">
        <f t="shared" si="48"/>
        <v>5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64</v>
      </c>
      <c r="H191" s="42">
        <v>64</v>
      </c>
      <c r="I191" s="42">
        <v>64</v>
      </c>
      <c r="J191" s="42">
        <v>64</v>
      </c>
      <c r="K191" s="42"/>
      <c r="L191" s="35">
        <f t="shared" si="49"/>
        <v>256</v>
      </c>
      <c r="M191" s="35">
        <f t="shared" si="48"/>
        <v>64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2024</v>
      </c>
      <c r="H195" s="10">
        <f>+G195</f>
        <v>2024</v>
      </c>
      <c r="I195" s="10">
        <f t="shared" ref="I195:M196" si="50">+H195</f>
        <v>2024</v>
      </c>
      <c r="J195" s="10">
        <f t="shared" si="50"/>
        <v>2024</v>
      </c>
      <c r="K195" s="10">
        <f t="shared" si="50"/>
        <v>2024</v>
      </c>
      <c r="L195" s="10">
        <f t="shared" si="50"/>
        <v>2024</v>
      </c>
      <c r="M195" s="10">
        <f t="shared" si="50"/>
        <v>2024</v>
      </c>
      <c r="N195" s="11"/>
      <c r="O195" s="44"/>
      <c r="P195" s="44"/>
      <c r="Q195" s="44"/>
      <c r="S195" s="12" t="str">
        <f>+C195</f>
        <v>Nyathela</v>
      </c>
      <c r="T195" s="13">
        <f>+L199</f>
        <v>239</v>
      </c>
      <c r="U195" s="13">
        <f>+L200+L201</f>
        <v>41</v>
      </c>
      <c r="V195" s="13">
        <f>+L202+L203</f>
        <v>198</v>
      </c>
      <c r="W195" s="13">
        <f>+L206</f>
        <v>9</v>
      </c>
      <c r="X195" s="13">
        <f>+L204</f>
        <v>1</v>
      </c>
    </row>
    <row r="196" spans="1:24" x14ac:dyDescent="0.25">
      <c r="A196" s="14"/>
      <c r="B196" s="15"/>
      <c r="C196" s="41" t="str">
        <f>+$C180</f>
        <v>October 2024</v>
      </c>
      <c r="D196" s="18"/>
      <c r="E196" s="18"/>
      <c r="F196" s="18"/>
      <c r="G196" s="20" t="str">
        <f>+$G$4</f>
        <v>Oct</v>
      </c>
      <c r="H196" s="20" t="str">
        <f>+G196</f>
        <v>Oct</v>
      </c>
      <c r="I196" s="20" t="str">
        <f t="shared" si="50"/>
        <v>Oct</v>
      </c>
      <c r="J196" s="20" t="str">
        <f t="shared" si="50"/>
        <v>Oct</v>
      </c>
      <c r="K196" s="20" t="str">
        <f t="shared" si="50"/>
        <v>Oct</v>
      </c>
      <c r="L196" s="20" t="str">
        <f t="shared" si="50"/>
        <v>Oct</v>
      </c>
      <c r="M196" s="20" t="str">
        <f t="shared" si="50"/>
        <v>Oct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6</v>
      </c>
      <c r="H197" s="25">
        <f>+$H$5</f>
        <v>13</v>
      </c>
      <c r="I197" s="25">
        <f>+$I$5</f>
        <v>20</v>
      </c>
      <c r="J197" s="25">
        <f>+$J$5</f>
        <v>27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59</v>
      </c>
      <c r="H199" s="31">
        <f t="shared" ref="H199:L199" si="51">SUM(H200:H203)</f>
        <v>71</v>
      </c>
      <c r="I199" s="31">
        <f t="shared" si="51"/>
        <v>56</v>
      </c>
      <c r="J199" s="31">
        <f t="shared" si="51"/>
        <v>53</v>
      </c>
      <c r="K199" s="31">
        <f t="shared" si="51"/>
        <v>0</v>
      </c>
      <c r="L199" s="31">
        <f t="shared" si="51"/>
        <v>239</v>
      </c>
      <c r="M199" s="31">
        <f>ROUND((L199/$E$1),0)</f>
        <v>60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4</v>
      </c>
      <c r="H200" s="42">
        <v>4</v>
      </c>
      <c r="I200" s="42">
        <v>3</v>
      </c>
      <c r="J200" s="42">
        <v>2</v>
      </c>
      <c r="K200" s="42"/>
      <c r="L200" s="35">
        <f>SUM(G200:K200)</f>
        <v>13</v>
      </c>
      <c r="M200" s="35">
        <f t="shared" ref="M200:M208" si="52">ROUND((L200/$E$1),0)</f>
        <v>3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8</v>
      </c>
      <c r="H201" s="42">
        <v>8</v>
      </c>
      <c r="I201" s="42">
        <v>6</v>
      </c>
      <c r="J201" s="42">
        <v>6</v>
      </c>
      <c r="K201" s="42"/>
      <c r="L201" s="35">
        <f t="shared" ref="L201:L208" si="53">SUM(G201:K201)</f>
        <v>28</v>
      </c>
      <c r="M201" s="35">
        <f t="shared" si="52"/>
        <v>7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22</v>
      </c>
      <c r="H202" s="42">
        <v>24</v>
      </c>
      <c r="I202" s="42">
        <v>20</v>
      </c>
      <c r="J202" s="42">
        <v>17</v>
      </c>
      <c r="K202" s="42"/>
      <c r="L202" s="35">
        <f t="shared" si="53"/>
        <v>83</v>
      </c>
      <c r="M202" s="35">
        <f t="shared" si="52"/>
        <v>21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25</v>
      </c>
      <c r="H203" s="43">
        <v>35</v>
      </c>
      <c r="I203" s="43">
        <v>27</v>
      </c>
      <c r="J203" s="43">
        <v>28</v>
      </c>
      <c r="K203" s="43"/>
      <c r="L203" s="31">
        <f t="shared" si="53"/>
        <v>115</v>
      </c>
      <c r="M203" s="31">
        <f t="shared" si="52"/>
        <v>29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>
        <v>1</v>
      </c>
      <c r="J204" s="42"/>
      <c r="K204" s="42"/>
      <c r="L204" s="35">
        <f t="shared" si="53"/>
        <v>1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3</v>
      </c>
      <c r="H206" s="42">
        <v>3</v>
      </c>
      <c r="I206" s="42">
        <v>3</v>
      </c>
      <c r="J206" s="42"/>
      <c r="K206" s="42"/>
      <c r="L206" s="35">
        <f t="shared" si="53"/>
        <v>9</v>
      </c>
      <c r="M206" s="35">
        <f t="shared" si="52"/>
        <v>2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128</v>
      </c>
      <c r="H207" s="42">
        <v>96</v>
      </c>
      <c r="I207" s="42">
        <v>64</v>
      </c>
      <c r="J207" s="42">
        <v>64</v>
      </c>
      <c r="K207" s="42"/>
      <c r="L207" s="35">
        <f t="shared" si="53"/>
        <v>352</v>
      </c>
      <c r="M207" s="35">
        <f t="shared" si="52"/>
        <v>88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2024</v>
      </c>
      <c r="H211" s="10">
        <f>+G211</f>
        <v>2024</v>
      </c>
      <c r="I211" s="10">
        <f t="shared" ref="I211:M212" si="54">+H211</f>
        <v>2024</v>
      </c>
      <c r="J211" s="10">
        <f t="shared" si="54"/>
        <v>2024</v>
      </c>
      <c r="K211" s="10">
        <f t="shared" si="54"/>
        <v>2024</v>
      </c>
      <c r="L211" s="10">
        <f t="shared" si="54"/>
        <v>2024</v>
      </c>
      <c r="M211" s="10">
        <f t="shared" si="54"/>
        <v>2024</v>
      </c>
      <c r="N211" s="11"/>
      <c r="O211" s="44"/>
      <c r="P211" s="44"/>
      <c r="Q211" s="44"/>
      <c r="S211" s="12" t="str">
        <f>+C211</f>
        <v>Mlindazwe</v>
      </c>
      <c r="T211" s="13">
        <f>+L215</f>
        <v>344</v>
      </c>
      <c r="U211" s="13">
        <f>+L216+L217</f>
        <v>54</v>
      </c>
      <c r="V211" s="13">
        <f>+L218+L219</f>
        <v>290</v>
      </c>
      <c r="W211" s="13">
        <f>+L222</f>
        <v>8</v>
      </c>
      <c r="X211" s="13">
        <f>+L220</f>
        <v>0</v>
      </c>
    </row>
    <row r="212" spans="1:24" x14ac:dyDescent="0.25">
      <c r="A212" s="14"/>
      <c r="B212" s="15"/>
      <c r="C212" s="41" t="str">
        <f>+$C196</f>
        <v>October 2024</v>
      </c>
      <c r="D212" s="18"/>
      <c r="E212" s="18"/>
      <c r="F212" s="18"/>
      <c r="G212" s="20" t="str">
        <f>+$G$4</f>
        <v>Oct</v>
      </c>
      <c r="H212" s="20" t="str">
        <f>+G212</f>
        <v>Oct</v>
      </c>
      <c r="I212" s="20" t="str">
        <f t="shared" si="54"/>
        <v>Oct</v>
      </c>
      <c r="J212" s="20" t="str">
        <f t="shared" si="54"/>
        <v>Oct</v>
      </c>
      <c r="K212" s="20" t="str">
        <f t="shared" si="54"/>
        <v>Oct</v>
      </c>
      <c r="L212" s="20" t="str">
        <f t="shared" si="54"/>
        <v>Oct</v>
      </c>
      <c r="M212" s="20" t="str">
        <f t="shared" si="54"/>
        <v>Oct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6</v>
      </c>
      <c r="H213" s="25">
        <f>+$H$5</f>
        <v>13</v>
      </c>
      <c r="I213" s="25">
        <f>+$I$5</f>
        <v>20</v>
      </c>
      <c r="J213" s="25">
        <f>+$J$5</f>
        <v>27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88</v>
      </c>
      <c r="H215" s="31">
        <f t="shared" ref="H215:L215" si="55">SUM(H216:H219)</f>
        <v>85</v>
      </c>
      <c r="I215" s="31">
        <f t="shared" si="55"/>
        <v>80</v>
      </c>
      <c r="J215" s="31">
        <f t="shared" si="55"/>
        <v>91</v>
      </c>
      <c r="K215" s="31">
        <f t="shared" si="55"/>
        <v>0</v>
      </c>
      <c r="L215" s="31">
        <f t="shared" si="55"/>
        <v>344</v>
      </c>
      <c r="M215" s="31">
        <f>ROUND((L215/$E$1),0)</f>
        <v>86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2</v>
      </c>
      <c r="H216" s="42">
        <v>3</v>
      </c>
      <c r="I216" s="42">
        <v>5</v>
      </c>
      <c r="J216" s="42">
        <v>5</v>
      </c>
      <c r="K216" s="42"/>
      <c r="L216" s="35">
        <f>SUM(G216:K216)</f>
        <v>15</v>
      </c>
      <c r="M216" s="35">
        <f t="shared" ref="M216:M224" si="56">ROUND((L216/$E$1),0)</f>
        <v>4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10</v>
      </c>
      <c r="H217" s="42">
        <v>9</v>
      </c>
      <c r="I217" s="42">
        <v>8</v>
      </c>
      <c r="J217" s="42">
        <v>12</v>
      </c>
      <c r="K217" s="42"/>
      <c r="L217" s="35">
        <f t="shared" ref="L217:L224" si="57">SUM(G217:K217)</f>
        <v>39</v>
      </c>
      <c r="M217" s="35">
        <f t="shared" si="56"/>
        <v>10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23</v>
      </c>
      <c r="H218" s="42">
        <v>24</v>
      </c>
      <c r="I218" s="42">
        <v>19</v>
      </c>
      <c r="J218" s="42">
        <v>27</v>
      </c>
      <c r="K218" s="42"/>
      <c r="L218" s="35">
        <f t="shared" si="57"/>
        <v>93</v>
      </c>
      <c r="M218" s="35">
        <f t="shared" si="56"/>
        <v>23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53</v>
      </c>
      <c r="H219" s="43">
        <v>49</v>
      </c>
      <c r="I219" s="43">
        <v>48</v>
      </c>
      <c r="J219" s="43">
        <v>47</v>
      </c>
      <c r="K219" s="43"/>
      <c r="L219" s="31">
        <f t="shared" si="57"/>
        <v>197</v>
      </c>
      <c r="M219" s="31">
        <f t="shared" si="56"/>
        <v>49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>
        <f t="shared" si="56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3</v>
      </c>
      <c r="H222" s="42">
        <v>2</v>
      </c>
      <c r="I222" s="42">
        <v>2</v>
      </c>
      <c r="J222" s="42">
        <v>1</v>
      </c>
      <c r="K222" s="42"/>
      <c r="L222" s="35">
        <f t="shared" si="57"/>
        <v>8</v>
      </c>
      <c r="M222" s="35">
        <f t="shared" si="56"/>
        <v>2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30</v>
      </c>
      <c r="H223" s="42">
        <v>20</v>
      </c>
      <c r="I223" s="42">
        <v>288</v>
      </c>
      <c r="J223" s="42">
        <v>193</v>
      </c>
      <c r="K223" s="42"/>
      <c r="L223" s="35">
        <f t="shared" si="57"/>
        <v>531</v>
      </c>
      <c r="M223" s="35">
        <f t="shared" si="56"/>
        <v>133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2024</v>
      </c>
      <c r="H227" s="10">
        <f>+G227</f>
        <v>2024</v>
      </c>
      <c r="I227" s="10">
        <f t="shared" ref="I227:M228" si="58">+H227</f>
        <v>2024</v>
      </c>
      <c r="J227" s="10">
        <f t="shared" si="58"/>
        <v>2024</v>
      </c>
      <c r="K227" s="10">
        <f t="shared" si="58"/>
        <v>2024</v>
      </c>
      <c r="L227" s="10">
        <f t="shared" si="58"/>
        <v>2024</v>
      </c>
      <c r="M227" s="10">
        <f t="shared" si="58"/>
        <v>2024</v>
      </c>
      <c r="N227" s="11"/>
      <c r="O227" s="44"/>
      <c r="P227" s="44"/>
      <c r="Q227" s="44"/>
      <c r="S227" s="12" t="str">
        <f>+C227</f>
        <v>Lundzi</v>
      </c>
      <c r="T227" s="13">
        <f>+L231</f>
        <v>229</v>
      </c>
      <c r="U227" s="13">
        <f>+L232+L233</f>
        <v>90</v>
      </c>
      <c r="V227" s="13">
        <f>+L234+L235</f>
        <v>139</v>
      </c>
      <c r="W227" s="13">
        <f>+L238</f>
        <v>8</v>
      </c>
      <c r="X227" s="13">
        <f>+L236</f>
        <v>0</v>
      </c>
    </row>
    <row r="228" spans="1:24" x14ac:dyDescent="0.25">
      <c r="A228" s="14"/>
      <c r="B228" s="15"/>
      <c r="C228" s="41" t="str">
        <f>+$C212</f>
        <v>October 2024</v>
      </c>
      <c r="D228" s="18"/>
      <c r="E228" s="18"/>
      <c r="F228" s="18"/>
      <c r="G228" s="20" t="str">
        <f>+$G$4</f>
        <v>Oct</v>
      </c>
      <c r="H228" s="20" t="str">
        <f>+G228</f>
        <v>Oct</v>
      </c>
      <c r="I228" s="20" t="str">
        <f t="shared" si="58"/>
        <v>Oct</v>
      </c>
      <c r="J228" s="20" t="str">
        <f t="shared" si="58"/>
        <v>Oct</v>
      </c>
      <c r="K228" s="20" t="str">
        <f t="shared" si="58"/>
        <v>Oct</v>
      </c>
      <c r="L228" s="20" t="str">
        <f t="shared" si="58"/>
        <v>Oct</v>
      </c>
      <c r="M228" s="20" t="str">
        <f t="shared" si="58"/>
        <v>Oct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6</v>
      </c>
      <c r="H229" s="25">
        <f>+$H$5</f>
        <v>13</v>
      </c>
      <c r="I229" s="25">
        <f>+$I$5</f>
        <v>20</v>
      </c>
      <c r="J229" s="25">
        <f>+$J$5</f>
        <v>27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63</v>
      </c>
      <c r="H231" s="31">
        <f t="shared" ref="H231:L231" si="59">SUM(H232:H235)</f>
        <v>56</v>
      </c>
      <c r="I231" s="31">
        <f t="shared" si="59"/>
        <v>56</v>
      </c>
      <c r="J231" s="31">
        <f t="shared" si="59"/>
        <v>54</v>
      </c>
      <c r="K231" s="31">
        <f t="shared" si="59"/>
        <v>0</v>
      </c>
      <c r="L231" s="31">
        <f t="shared" si="59"/>
        <v>229</v>
      </c>
      <c r="M231" s="31">
        <f>ROUND((L231/$E$1),0)</f>
        <v>57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9</v>
      </c>
      <c r="H232" s="42">
        <v>8</v>
      </c>
      <c r="I232" s="42">
        <v>8</v>
      </c>
      <c r="J232" s="42">
        <v>9</v>
      </c>
      <c r="K232" s="42"/>
      <c r="L232" s="35">
        <f>SUM(G232:K232)</f>
        <v>34</v>
      </c>
      <c r="M232" s="35">
        <f t="shared" ref="M232:M240" si="60">ROUND((L232/$E$1),0)</f>
        <v>9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11</v>
      </c>
      <c r="H233" s="42">
        <v>15</v>
      </c>
      <c r="I233" s="42">
        <v>15</v>
      </c>
      <c r="J233" s="42">
        <v>15</v>
      </c>
      <c r="K233" s="42"/>
      <c r="L233" s="35">
        <f t="shared" ref="L233:L240" si="61">SUM(G233:K233)</f>
        <v>56</v>
      </c>
      <c r="M233" s="35">
        <f t="shared" si="60"/>
        <v>14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16</v>
      </c>
      <c r="H234" s="42">
        <v>10</v>
      </c>
      <c r="I234" s="42">
        <v>10</v>
      </c>
      <c r="J234" s="42">
        <v>10</v>
      </c>
      <c r="K234" s="42"/>
      <c r="L234" s="35">
        <f t="shared" si="61"/>
        <v>46</v>
      </c>
      <c r="M234" s="35">
        <f t="shared" si="60"/>
        <v>12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27</v>
      </c>
      <c r="H235" s="43">
        <v>23</v>
      </c>
      <c r="I235" s="43">
        <v>23</v>
      </c>
      <c r="J235" s="43">
        <v>20</v>
      </c>
      <c r="K235" s="43"/>
      <c r="L235" s="31">
        <f t="shared" si="61"/>
        <v>93</v>
      </c>
      <c r="M235" s="31">
        <f t="shared" si="60"/>
        <v>23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/>
      <c r="I236" s="42"/>
      <c r="J236" s="42"/>
      <c r="K236" s="42"/>
      <c r="L236" s="35">
        <f t="shared" si="61"/>
        <v>0</v>
      </c>
      <c r="M236" s="35">
        <f t="shared" si="60"/>
        <v>0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/>
      <c r="H238" s="42">
        <v>3</v>
      </c>
      <c r="I238" s="42">
        <v>3</v>
      </c>
      <c r="J238" s="42">
        <v>2</v>
      </c>
      <c r="K238" s="42"/>
      <c r="L238" s="35">
        <f t="shared" si="61"/>
        <v>8</v>
      </c>
      <c r="M238" s="35">
        <f t="shared" si="60"/>
        <v>2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>
        <f t="shared" si="60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2024</v>
      </c>
      <c r="H243" s="10">
        <f>+G243</f>
        <v>2024</v>
      </c>
      <c r="I243" s="10">
        <f t="shared" ref="I243:M244" si="62">+H243</f>
        <v>2024</v>
      </c>
      <c r="J243" s="10">
        <f t="shared" si="62"/>
        <v>2024</v>
      </c>
      <c r="K243" s="10">
        <f t="shared" si="62"/>
        <v>2024</v>
      </c>
      <c r="L243" s="10">
        <f t="shared" si="62"/>
        <v>2024</v>
      </c>
      <c r="M243" s="10">
        <f t="shared" si="62"/>
        <v>2024</v>
      </c>
      <c r="N243" s="11"/>
      <c r="O243" s="44"/>
      <c r="P243" s="44"/>
      <c r="Q243" s="44"/>
      <c r="S243" s="12" t="str">
        <f>+C243</f>
        <v>Esigcaweni</v>
      </c>
      <c r="T243" s="13">
        <f>+L247</f>
        <v>518</v>
      </c>
      <c r="U243" s="13">
        <f>+L248+L249</f>
        <v>67</v>
      </c>
      <c r="V243" s="13">
        <f>+L250+L251</f>
        <v>451</v>
      </c>
      <c r="W243" s="13">
        <f>+L254</f>
        <v>51</v>
      </c>
      <c r="X243" s="13">
        <f>+L252</f>
        <v>0</v>
      </c>
    </row>
    <row r="244" spans="1:24" x14ac:dyDescent="0.25">
      <c r="A244" s="14"/>
      <c r="B244" s="15"/>
      <c r="C244" s="41" t="str">
        <f>+$C228</f>
        <v>October 2024</v>
      </c>
      <c r="D244" s="18"/>
      <c r="E244" s="18"/>
      <c r="F244" s="18"/>
      <c r="G244" s="20" t="str">
        <f>+$G$4</f>
        <v>Oct</v>
      </c>
      <c r="H244" s="20" t="str">
        <f>+G244</f>
        <v>Oct</v>
      </c>
      <c r="I244" s="20" t="str">
        <f t="shared" si="62"/>
        <v>Oct</v>
      </c>
      <c r="J244" s="20" t="str">
        <f t="shared" si="62"/>
        <v>Oct</v>
      </c>
      <c r="K244" s="20" t="str">
        <f t="shared" si="62"/>
        <v>Oct</v>
      </c>
      <c r="L244" s="20" t="str">
        <f t="shared" si="62"/>
        <v>Oct</v>
      </c>
      <c r="M244" s="20" t="str">
        <f t="shared" si="62"/>
        <v>Oct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6</v>
      </c>
      <c r="H245" s="25">
        <f>+$H$5</f>
        <v>13</v>
      </c>
      <c r="I245" s="25">
        <f>+$I$5</f>
        <v>20</v>
      </c>
      <c r="J245" s="25">
        <f>+$J$5</f>
        <v>27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125</v>
      </c>
      <c r="H247" s="31">
        <f t="shared" ref="H247:L247" si="63">SUM(H248:H251)</f>
        <v>127</v>
      </c>
      <c r="I247" s="31">
        <f t="shared" si="63"/>
        <v>146</v>
      </c>
      <c r="J247" s="31">
        <f t="shared" si="63"/>
        <v>120</v>
      </c>
      <c r="K247" s="31">
        <f t="shared" si="63"/>
        <v>0</v>
      </c>
      <c r="L247" s="31">
        <f t="shared" si="63"/>
        <v>518</v>
      </c>
      <c r="M247" s="31">
        <f>ROUND((L247/$E$1),0)</f>
        <v>130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5</v>
      </c>
      <c r="H248" s="42">
        <v>6</v>
      </c>
      <c r="I248" s="42">
        <v>9</v>
      </c>
      <c r="J248" s="42">
        <v>5</v>
      </c>
      <c r="K248" s="42"/>
      <c r="L248" s="35">
        <f>SUM(G248:K248)</f>
        <v>25</v>
      </c>
      <c r="M248" s="35">
        <f t="shared" ref="M248:M256" si="64">ROUND((L248/$E$1),0)</f>
        <v>6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11</v>
      </c>
      <c r="H249" s="42">
        <v>9</v>
      </c>
      <c r="I249" s="42">
        <v>12</v>
      </c>
      <c r="J249" s="42">
        <v>10</v>
      </c>
      <c r="K249" s="42"/>
      <c r="L249" s="35">
        <f t="shared" ref="L249:L256" si="65">SUM(G249:K249)</f>
        <v>42</v>
      </c>
      <c r="M249" s="35">
        <f t="shared" si="64"/>
        <v>11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31</v>
      </c>
      <c r="H250" s="42">
        <v>32</v>
      </c>
      <c r="I250" s="42">
        <v>37</v>
      </c>
      <c r="J250" s="42">
        <v>30</v>
      </c>
      <c r="K250" s="42"/>
      <c r="L250" s="35">
        <f t="shared" si="65"/>
        <v>130</v>
      </c>
      <c r="M250" s="35">
        <f t="shared" si="64"/>
        <v>33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78</v>
      </c>
      <c r="H251" s="43">
        <v>80</v>
      </c>
      <c r="I251" s="43">
        <v>88</v>
      </c>
      <c r="J251" s="43">
        <v>75</v>
      </c>
      <c r="K251" s="43"/>
      <c r="L251" s="31">
        <f t="shared" si="65"/>
        <v>321</v>
      </c>
      <c r="M251" s="31">
        <f t="shared" si="64"/>
        <v>80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15</v>
      </c>
      <c r="H254" s="42">
        <v>15</v>
      </c>
      <c r="I254" s="42">
        <v>9</v>
      </c>
      <c r="J254" s="42">
        <v>12</v>
      </c>
      <c r="K254" s="42"/>
      <c r="L254" s="35">
        <f t="shared" si="65"/>
        <v>51</v>
      </c>
      <c r="M254" s="35">
        <f t="shared" si="64"/>
        <v>13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2024</v>
      </c>
      <c r="H259" s="10">
        <f>+G259</f>
        <v>2024</v>
      </c>
      <c r="I259" s="10">
        <f t="shared" ref="I259:M260" si="66">+H259</f>
        <v>2024</v>
      </c>
      <c r="J259" s="10">
        <f t="shared" si="66"/>
        <v>2024</v>
      </c>
      <c r="K259" s="10">
        <f t="shared" si="66"/>
        <v>2024</v>
      </c>
      <c r="L259" s="10">
        <f t="shared" si="66"/>
        <v>2024</v>
      </c>
      <c r="M259" s="10">
        <f t="shared" si="66"/>
        <v>2024</v>
      </c>
      <c r="N259" s="11"/>
      <c r="S259" s="12" t="str">
        <f>+C259</f>
        <v>Lonhlalane</v>
      </c>
      <c r="T259" s="13">
        <f>+L263</f>
        <v>137</v>
      </c>
      <c r="U259" s="13">
        <f>+L264+L265</f>
        <v>20</v>
      </c>
      <c r="V259" s="13">
        <f>+L266+L267</f>
        <v>117</v>
      </c>
      <c r="W259" s="13">
        <f>+L270</f>
        <v>0</v>
      </c>
      <c r="X259" s="13">
        <f>+L268</f>
        <v>0</v>
      </c>
    </row>
    <row r="260" spans="1:24" x14ac:dyDescent="0.25">
      <c r="A260" s="14"/>
      <c r="B260" s="15"/>
      <c r="C260" s="41" t="str">
        <f>+$C244</f>
        <v>October 2024</v>
      </c>
      <c r="D260" s="18"/>
      <c r="E260" s="18"/>
      <c r="F260" s="18"/>
      <c r="G260" s="20" t="str">
        <f>+$G$4</f>
        <v>Oct</v>
      </c>
      <c r="H260" s="20" t="str">
        <f>+G260</f>
        <v>Oct</v>
      </c>
      <c r="I260" s="20" t="str">
        <f t="shared" si="66"/>
        <v>Oct</v>
      </c>
      <c r="J260" s="20" t="str">
        <f t="shared" si="66"/>
        <v>Oct</v>
      </c>
      <c r="K260" s="20" t="str">
        <f t="shared" si="66"/>
        <v>Oct</v>
      </c>
      <c r="L260" s="20" t="str">
        <f t="shared" si="66"/>
        <v>Oct</v>
      </c>
      <c r="M260" s="20" t="str">
        <f t="shared" si="66"/>
        <v>Oct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6</v>
      </c>
      <c r="H261" s="25">
        <f>+$H$5</f>
        <v>13</v>
      </c>
      <c r="I261" s="25">
        <f>+$I$5</f>
        <v>20</v>
      </c>
      <c r="J261" s="25">
        <f>+$J$5</f>
        <v>27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34</v>
      </c>
      <c r="H263" s="31">
        <f t="shared" ref="H263:L263" si="67">SUM(H264:H267)</f>
        <v>19</v>
      </c>
      <c r="I263" s="31">
        <f t="shared" si="67"/>
        <v>49</v>
      </c>
      <c r="J263" s="31">
        <f t="shared" si="67"/>
        <v>35</v>
      </c>
      <c r="K263" s="31">
        <f t="shared" si="67"/>
        <v>0</v>
      </c>
      <c r="L263" s="31">
        <f t="shared" si="67"/>
        <v>137</v>
      </c>
      <c r="M263" s="31">
        <f>ROUND((L263/$E$1),0)</f>
        <v>34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2</v>
      </c>
      <c r="J264" s="42">
        <v>1</v>
      </c>
      <c r="K264" s="42"/>
      <c r="L264" s="35">
        <f>SUM(G264:K264)</f>
        <v>5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3</v>
      </c>
      <c r="H265" s="42">
        <v>4</v>
      </c>
      <c r="I265" s="42">
        <v>5</v>
      </c>
      <c r="J265" s="42">
        <v>3</v>
      </c>
      <c r="K265" s="42"/>
      <c r="L265" s="35">
        <f t="shared" ref="L265:L272" si="69">SUM(G265:K265)</f>
        <v>15</v>
      </c>
      <c r="M265" s="35">
        <f t="shared" si="68"/>
        <v>4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4</v>
      </c>
      <c r="H266" s="42">
        <v>6</v>
      </c>
      <c r="I266" s="42">
        <v>7</v>
      </c>
      <c r="J266" s="42">
        <v>4</v>
      </c>
      <c r="K266" s="42"/>
      <c r="L266" s="35">
        <f t="shared" si="69"/>
        <v>21</v>
      </c>
      <c r="M266" s="35">
        <f t="shared" si="68"/>
        <v>5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26</v>
      </c>
      <c r="H267" s="43">
        <v>8</v>
      </c>
      <c r="I267" s="43">
        <v>35</v>
      </c>
      <c r="J267" s="43">
        <v>27</v>
      </c>
      <c r="K267" s="43"/>
      <c r="L267" s="31">
        <f t="shared" si="69"/>
        <v>96</v>
      </c>
      <c r="M267" s="31">
        <f t="shared" si="68"/>
        <v>24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/>
      <c r="J270" s="42"/>
      <c r="K270" s="42"/>
      <c r="L270" s="35">
        <f t="shared" si="69"/>
        <v>0</v>
      </c>
      <c r="M270" s="35">
        <f t="shared" si="68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/>
      <c r="H271" s="42">
        <v>96</v>
      </c>
      <c r="I271" s="42">
        <v>96</v>
      </c>
      <c r="J271" s="42">
        <v>64</v>
      </c>
      <c r="K271" s="42"/>
      <c r="L271" s="35">
        <f t="shared" si="69"/>
        <v>256</v>
      </c>
      <c r="M271" s="35">
        <f t="shared" si="68"/>
        <v>64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2024</v>
      </c>
      <c r="H275" s="10">
        <f>+G275</f>
        <v>2024</v>
      </c>
      <c r="I275" s="10">
        <f t="shared" ref="I275:M276" si="70">+H275</f>
        <v>2024</v>
      </c>
      <c r="J275" s="10">
        <f t="shared" si="70"/>
        <v>2024</v>
      </c>
      <c r="K275" s="10">
        <f t="shared" si="70"/>
        <v>2024</v>
      </c>
      <c r="L275" s="10">
        <f t="shared" si="70"/>
        <v>2024</v>
      </c>
      <c r="M275" s="10">
        <f t="shared" si="70"/>
        <v>2024</v>
      </c>
      <c r="N275" s="11"/>
      <c r="S275" s="12" t="str">
        <f>+C275</f>
        <v>Zondwako</v>
      </c>
      <c r="T275" s="13">
        <f>+L279</f>
        <v>306</v>
      </c>
      <c r="U275" s="13">
        <f>+L280+L281</f>
        <v>33</v>
      </c>
      <c r="V275" s="13">
        <f>+L282+L283</f>
        <v>273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October 2024</v>
      </c>
      <c r="D276" s="18"/>
      <c r="E276" s="18"/>
      <c r="F276" s="18"/>
      <c r="G276" s="20" t="str">
        <f>+$G$4</f>
        <v>Oct</v>
      </c>
      <c r="H276" s="20" t="str">
        <f>+G276</f>
        <v>Oct</v>
      </c>
      <c r="I276" s="20" t="str">
        <f t="shared" si="70"/>
        <v>Oct</v>
      </c>
      <c r="J276" s="20" t="str">
        <f t="shared" si="70"/>
        <v>Oct</v>
      </c>
      <c r="K276" s="20" t="str">
        <f t="shared" si="70"/>
        <v>Oct</v>
      </c>
      <c r="L276" s="20" t="str">
        <f t="shared" si="70"/>
        <v>Oct</v>
      </c>
      <c r="M276" s="20" t="str">
        <f t="shared" si="70"/>
        <v>Oct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6</v>
      </c>
      <c r="H277" s="25">
        <f>+$H$5</f>
        <v>13</v>
      </c>
      <c r="I277" s="25">
        <f>+$I$5</f>
        <v>20</v>
      </c>
      <c r="J277" s="25">
        <f>+$J$5</f>
        <v>27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81</v>
      </c>
      <c r="H279" s="31">
        <f t="shared" ref="H279:L279" si="71">SUM(H280:H283)</f>
        <v>88</v>
      </c>
      <c r="I279" s="31">
        <f t="shared" si="71"/>
        <v>55</v>
      </c>
      <c r="J279" s="31">
        <f t="shared" si="71"/>
        <v>82</v>
      </c>
      <c r="K279" s="31">
        <f t="shared" si="71"/>
        <v>0</v>
      </c>
      <c r="L279" s="31">
        <f t="shared" si="71"/>
        <v>306</v>
      </c>
      <c r="M279" s="31">
        <f>ROUND((L279/$E$1),0)</f>
        <v>77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3</v>
      </c>
      <c r="H280" s="42">
        <v>2</v>
      </c>
      <c r="I280" s="42">
        <v>2</v>
      </c>
      <c r="J280" s="42">
        <v>3</v>
      </c>
      <c r="K280" s="42"/>
      <c r="L280" s="35">
        <f>SUM(G280:K280)</f>
        <v>10</v>
      </c>
      <c r="M280" s="35">
        <f t="shared" ref="M280:M288" si="72">ROUND((L280/$E$1),0)</f>
        <v>3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5</v>
      </c>
      <c r="H281" s="42">
        <v>7</v>
      </c>
      <c r="I281" s="42">
        <v>5</v>
      </c>
      <c r="J281" s="42">
        <v>6</v>
      </c>
      <c r="K281" s="42"/>
      <c r="L281" s="35">
        <f t="shared" ref="L281:L288" si="73">SUM(G281:K281)</f>
        <v>23</v>
      </c>
      <c r="M281" s="35">
        <f t="shared" si="72"/>
        <v>6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23</v>
      </c>
      <c r="H282" s="42">
        <v>26</v>
      </c>
      <c r="I282" s="42">
        <v>13</v>
      </c>
      <c r="J282" s="42">
        <v>21</v>
      </c>
      <c r="K282" s="42"/>
      <c r="L282" s="35">
        <f t="shared" si="73"/>
        <v>83</v>
      </c>
      <c r="M282" s="35">
        <f t="shared" si="72"/>
        <v>21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50</v>
      </c>
      <c r="H283" s="43">
        <v>53</v>
      </c>
      <c r="I283" s="43">
        <v>35</v>
      </c>
      <c r="J283" s="43">
        <v>52</v>
      </c>
      <c r="K283" s="43"/>
      <c r="L283" s="31">
        <f t="shared" si="73"/>
        <v>190</v>
      </c>
      <c r="M283" s="31">
        <f t="shared" si="72"/>
        <v>48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2024</v>
      </c>
      <c r="H291" s="10">
        <f>+G291</f>
        <v>2024</v>
      </c>
      <c r="I291" s="10">
        <f t="shared" ref="I291:M292" si="74">+H291</f>
        <v>2024</v>
      </c>
      <c r="J291" s="10">
        <f t="shared" si="74"/>
        <v>2024</v>
      </c>
      <c r="K291" s="10">
        <f t="shared" si="74"/>
        <v>2024</v>
      </c>
      <c r="L291" s="10">
        <f t="shared" si="74"/>
        <v>2024</v>
      </c>
      <c r="M291" s="10">
        <f t="shared" si="74"/>
        <v>2024</v>
      </c>
      <c r="N291" s="11"/>
      <c r="S291" s="12" t="str">
        <f>+C291</f>
        <v>Mangcongco</v>
      </c>
      <c r="T291" s="13">
        <f>+L295</f>
        <v>210</v>
      </c>
      <c r="U291" s="13">
        <f>+L296+L297</f>
        <v>28</v>
      </c>
      <c r="V291" s="13">
        <f>+L298+L299</f>
        <v>182</v>
      </c>
      <c r="W291" s="13">
        <f>+L302</f>
        <v>13</v>
      </c>
      <c r="X291" s="13">
        <f>+L300</f>
        <v>0</v>
      </c>
    </row>
    <row r="292" spans="1:24" x14ac:dyDescent="0.25">
      <c r="A292" s="14"/>
      <c r="B292" s="15"/>
      <c r="C292" s="41" t="str">
        <f>+$C276</f>
        <v>October 2024</v>
      </c>
      <c r="D292" s="18"/>
      <c r="E292" s="18"/>
      <c r="F292" s="18"/>
      <c r="G292" s="20" t="str">
        <f>+$G$4</f>
        <v>Oct</v>
      </c>
      <c r="H292" s="20" t="str">
        <f>+G292</f>
        <v>Oct</v>
      </c>
      <c r="I292" s="20" t="str">
        <f t="shared" si="74"/>
        <v>Oct</v>
      </c>
      <c r="J292" s="20" t="str">
        <f t="shared" si="74"/>
        <v>Oct</v>
      </c>
      <c r="K292" s="20" t="str">
        <f t="shared" si="74"/>
        <v>Oct</v>
      </c>
      <c r="L292" s="20" t="str">
        <f t="shared" si="74"/>
        <v>Oct</v>
      </c>
      <c r="M292" s="20" t="str">
        <f t="shared" si="74"/>
        <v>Oct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6</v>
      </c>
      <c r="H293" s="25">
        <f>+$H$5</f>
        <v>13</v>
      </c>
      <c r="I293" s="25">
        <f>+$I$5</f>
        <v>20</v>
      </c>
      <c r="J293" s="25">
        <f>+$J$5</f>
        <v>27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53</v>
      </c>
      <c r="H295" s="31">
        <f t="shared" ref="H295:L295" si="75">SUM(H296:H299)</f>
        <v>52</v>
      </c>
      <c r="I295" s="31">
        <f t="shared" si="75"/>
        <v>43</v>
      </c>
      <c r="J295" s="31">
        <f t="shared" si="75"/>
        <v>62</v>
      </c>
      <c r="K295" s="31">
        <f t="shared" si="75"/>
        <v>0</v>
      </c>
      <c r="L295" s="31">
        <f t="shared" si="75"/>
        <v>210</v>
      </c>
      <c r="M295" s="31">
        <f>ROUND((L295/$E$1),0)</f>
        <v>53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2</v>
      </c>
      <c r="H296" s="42">
        <v>2</v>
      </c>
      <c r="I296" s="42">
        <v>1</v>
      </c>
      <c r="J296" s="42">
        <v>2</v>
      </c>
      <c r="K296" s="42"/>
      <c r="L296" s="35">
        <f>SUM(G296:K296)</f>
        <v>7</v>
      </c>
      <c r="M296" s="35">
        <f t="shared" ref="M296:M304" si="76">ROUND((L296/$E$1),0)</f>
        <v>2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5</v>
      </c>
      <c r="H297" s="42">
        <v>6</v>
      </c>
      <c r="I297" s="42">
        <v>5</v>
      </c>
      <c r="J297" s="42">
        <v>5</v>
      </c>
      <c r="K297" s="42"/>
      <c r="L297" s="35">
        <f t="shared" ref="L297:L304" si="77">SUM(G297:K297)</f>
        <v>21</v>
      </c>
      <c r="M297" s="35">
        <f t="shared" si="76"/>
        <v>5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19</v>
      </c>
      <c r="H298" s="42">
        <v>18</v>
      </c>
      <c r="I298" s="42">
        <v>23</v>
      </c>
      <c r="J298" s="42">
        <v>19</v>
      </c>
      <c r="K298" s="42"/>
      <c r="L298" s="35">
        <f t="shared" si="77"/>
        <v>79</v>
      </c>
      <c r="M298" s="35">
        <f t="shared" si="76"/>
        <v>20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27</v>
      </c>
      <c r="H299" s="43">
        <v>26</v>
      </c>
      <c r="I299" s="43">
        <v>14</v>
      </c>
      <c r="J299" s="43">
        <v>36</v>
      </c>
      <c r="K299" s="43"/>
      <c r="L299" s="31">
        <f t="shared" si="77"/>
        <v>103</v>
      </c>
      <c r="M299" s="31">
        <f t="shared" si="76"/>
        <v>26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2</v>
      </c>
      <c r="H302" s="42">
        <v>3</v>
      </c>
      <c r="I302" s="42">
        <v>4</v>
      </c>
      <c r="J302" s="42">
        <v>4</v>
      </c>
      <c r="K302" s="42"/>
      <c r="L302" s="35">
        <f t="shared" si="77"/>
        <v>13</v>
      </c>
      <c r="M302" s="35">
        <f t="shared" si="76"/>
        <v>3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2024</v>
      </c>
      <c r="H307" s="10">
        <f>+G307</f>
        <v>2024</v>
      </c>
      <c r="I307" s="10">
        <f t="shared" ref="I307:M308" si="78">+H307</f>
        <v>2024</v>
      </c>
      <c r="J307" s="10">
        <f t="shared" si="78"/>
        <v>2024</v>
      </c>
      <c r="K307" s="10">
        <f t="shared" si="78"/>
        <v>2024</v>
      </c>
      <c r="L307" s="10">
        <f t="shared" si="78"/>
        <v>2024</v>
      </c>
      <c r="M307" s="10">
        <f t="shared" si="78"/>
        <v>2024</v>
      </c>
      <c r="N307" s="11"/>
      <c r="S307" s="12" t="str">
        <f>+C307</f>
        <v>Kaliba</v>
      </c>
      <c r="T307" s="13">
        <f>+L311</f>
        <v>309</v>
      </c>
      <c r="U307" s="13">
        <f>+L312+L313</f>
        <v>65</v>
      </c>
      <c r="V307" s="13">
        <f>+L314+L315</f>
        <v>244</v>
      </c>
      <c r="W307" s="13">
        <f>+L318</f>
        <v>0</v>
      </c>
      <c r="X307" s="13">
        <f>+L316</f>
        <v>1</v>
      </c>
    </row>
    <row r="308" spans="1:24" x14ac:dyDescent="0.25">
      <c r="A308" s="14"/>
      <c r="B308" s="15"/>
      <c r="C308" s="41" t="str">
        <f>+$C292</f>
        <v>October 2024</v>
      </c>
      <c r="D308" s="18"/>
      <c r="E308" s="18"/>
      <c r="F308" s="18"/>
      <c r="G308" s="20" t="str">
        <f>+$G$4</f>
        <v>Oct</v>
      </c>
      <c r="H308" s="20" t="str">
        <f>+G308</f>
        <v>Oct</v>
      </c>
      <c r="I308" s="20" t="str">
        <f t="shared" si="78"/>
        <v>Oct</v>
      </c>
      <c r="J308" s="20" t="str">
        <f t="shared" si="78"/>
        <v>Oct</v>
      </c>
      <c r="K308" s="20" t="str">
        <f t="shared" si="78"/>
        <v>Oct</v>
      </c>
      <c r="L308" s="20" t="str">
        <f t="shared" si="78"/>
        <v>Oct</v>
      </c>
      <c r="M308" s="20" t="str">
        <f t="shared" si="78"/>
        <v>Oct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6</v>
      </c>
      <c r="H309" s="25">
        <f>+$H$5</f>
        <v>13</v>
      </c>
      <c r="I309" s="25">
        <f>+$I$5</f>
        <v>20</v>
      </c>
      <c r="J309" s="25">
        <f>+$J$5</f>
        <v>27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81</v>
      </c>
      <c r="H311" s="31">
        <f t="shared" ref="H311:L311" si="79">SUM(H312:H315)</f>
        <v>94</v>
      </c>
      <c r="I311" s="31">
        <f t="shared" si="79"/>
        <v>64</v>
      </c>
      <c r="J311" s="31">
        <f t="shared" si="79"/>
        <v>70</v>
      </c>
      <c r="K311" s="31">
        <f t="shared" si="79"/>
        <v>0</v>
      </c>
      <c r="L311" s="31">
        <f t="shared" si="79"/>
        <v>309</v>
      </c>
      <c r="M311" s="31">
        <f>ROUND((L311/$E$1),0)</f>
        <v>77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5</v>
      </c>
      <c r="H312" s="42">
        <v>6</v>
      </c>
      <c r="I312" s="42">
        <v>3</v>
      </c>
      <c r="J312" s="42">
        <v>5</v>
      </c>
      <c r="K312" s="42"/>
      <c r="L312" s="35">
        <f>SUM(G312:K312)</f>
        <v>19</v>
      </c>
      <c r="M312" s="35">
        <f t="shared" ref="M312:M320" si="80">ROUND((L312/$E$1),0)</f>
        <v>5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13</v>
      </c>
      <c r="H313" s="42">
        <v>13</v>
      </c>
      <c r="I313" s="42">
        <v>10</v>
      </c>
      <c r="J313" s="42">
        <v>10</v>
      </c>
      <c r="K313" s="42"/>
      <c r="L313" s="35">
        <f t="shared" ref="L313:L320" si="81">SUM(G313:K313)</f>
        <v>46</v>
      </c>
      <c r="M313" s="35">
        <f t="shared" si="80"/>
        <v>12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26</v>
      </c>
      <c r="H314" s="42">
        <v>28</v>
      </c>
      <c r="I314" s="42">
        <v>20</v>
      </c>
      <c r="J314" s="42">
        <v>24</v>
      </c>
      <c r="K314" s="42"/>
      <c r="L314" s="35">
        <f t="shared" si="81"/>
        <v>98</v>
      </c>
      <c r="M314" s="35">
        <f t="shared" si="80"/>
        <v>25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37</v>
      </c>
      <c r="H315" s="43">
        <v>47</v>
      </c>
      <c r="I315" s="43">
        <v>31</v>
      </c>
      <c r="J315" s="43">
        <v>31</v>
      </c>
      <c r="K315" s="43"/>
      <c r="L315" s="31">
        <f t="shared" si="81"/>
        <v>146</v>
      </c>
      <c r="M315" s="31">
        <f t="shared" si="80"/>
        <v>37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>
        <v>1</v>
      </c>
      <c r="I316" s="42"/>
      <c r="J316" s="42"/>
      <c r="K316" s="42"/>
      <c r="L316" s="35">
        <f t="shared" si="81"/>
        <v>1</v>
      </c>
      <c r="M316" s="35">
        <f t="shared" si="80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/>
      <c r="I318" s="42"/>
      <c r="J318" s="42"/>
      <c r="K318" s="42"/>
      <c r="L318" s="35">
        <f t="shared" si="81"/>
        <v>0</v>
      </c>
      <c r="M318" s="35">
        <f t="shared" si="80"/>
        <v>0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128</v>
      </c>
      <c r="H319" s="42">
        <v>128</v>
      </c>
      <c r="I319" s="42">
        <v>94</v>
      </c>
      <c r="J319" s="42">
        <v>33</v>
      </c>
      <c r="K319" s="42"/>
      <c r="L319" s="35">
        <f t="shared" si="81"/>
        <v>383</v>
      </c>
      <c r="M319" s="35">
        <f t="shared" si="80"/>
        <v>96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2024</v>
      </c>
      <c r="H323" s="10">
        <f>+G323</f>
        <v>2024</v>
      </c>
      <c r="I323" s="10">
        <f t="shared" ref="I323:M324" si="82">+H323</f>
        <v>2024</v>
      </c>
      <c r="J323" s="10">
        <f t="shared" si="82"/>
        <v>2024</v>
      </c>
      <c r="K323" s="10">
        <f t="shared" si="82"/>
        <v>2024</v>
      </c>
      <c r="L323" s="10">
        <f t="shared" si="82"/>
        <v>2024</v>
      </c>
      <c r="M323" s="10">
        <f t="shared" si="82"/>
        <v>2024</v>
      </c>
      <c r="N323" s="11"/>
      <c r="S323" s="12" t="str">
        <f>+C323</f>
        <v>Kancesi</v>
      </c>
      <c r="T323" s="13">
        <f>+L327</f>
        <v>201</v>
      </c>
      <c r="U323" s="13">
        <f>+L328+L329</f>
        <v>69</v>
      </c>
      <c r="V323" s="13">
        <f>+L330+L331</f>
        <v>132</v>
      </c>
      <c r="W323" s="13">
        <f>+L334</f>
        <v>43</v>
      </c>
      <c r="X323" s="13">
        <f>+L332</f>
        <v>10</v>
      </c>
    </row>
    <row r="324" spans="1:24" x14ac:dyDescent="0.25">
      <c r="A324" s="14"/>
      <c r="B324" s="15"/>
      <c r="C324" s="41" t="str">
        <f>+$C308</f>
        <v>October 2024</v>
      </c>
      <c r="D324" s="18"/>
      <c r="E324" s="18"/>
      <c r="F324" s="18"/>
      <c r="G324" s="20" t="str">
        <f>+$G$4</f>
        <v>Oct</v>
      </c>
      <c r="H324" s="20" t="str">
        <f>+G324</f>
        <v>Oct</v>
      </c>
      <c r="I324" s="20" t="str">
        <f t="shared" si="82"/>
        <v>Oct</v>
      </c>
      <c r="J324" s="20" t="str">
        <f t="shared" si="82"/>
        <v>Oct</v>
      </c>
      <c r="K324" s="20" t="str">
        <f t="shared" si="82"/>
        <v>Oct</v>
      </c>
      <c r="L324" s="20" t="str">
        <f t="shared" si="82"/>
        <v>Oct</v>
      </c>
      <c r="M324" s="20" t="str">
        <f t="shared" si="82"/>
        <v>Oct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6</v>
      </c>
      <c r="H325" s="25">
        <f>+$H$5</f>
        <v>13</v>
      </c>
      <c r="I325" s="25">
        <f>+$I$5</f>
        <v>20</v>
      </c>
      <c r="J325" s="25">
        <f>+$J$5</f>
        <v>27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46</v>
      </c>
      <c r="H327" s="31">
        <f t="shared" ref="H327:L327" si="83">SUM(H328:H331)</f>
        <v>51</v>
      </c>
      <c r="I327" s="31">
        <f t="shared" si="83"/>
        <v>52</v>
      </c>
      <c r="J327" s="31">
        <f t="shared" si="83"/>
        <v>52</v>
      </c>
      <c r="K327" s="31">
        <f t="shared" si="83"/>
        <v>0</v>
      </c>
      <c r="L327" s="31">
        <f t="shared" si="83"/>
        <v>201</v>
      </c>
      <c r="M327" s="31">
        <f>ROUND((L327/$E$1),0)</f>
        <v>50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5</v>
      </c>
      <c r="H328" s="42">
        <v>5</v>
      </c>
      <c r="I328" s="42">
        <v>6</v>
      </c>
      <c r="J328" s="42">
        <v>5</v>
      </c>
      <c r="K328" s="42"/>
      <c r="L328" s="35">
        <f>SUM(G328:K328)</f>
        <v>21</v>
      </c>
      <c r="M328" s="35">
        <f t="shared" ref="M328:M336" si="84">ROUND((L328/$E$1),0)</f>
        <v>5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10</v>
      </c>
      <c r="H329" s="42">
        <v>12</v>
      </c>
      <c r="I329" s="42">
        <v>15</v>
      </c>
      <c r="J329" s="42">
        <v>11</v>
      </c>
      <c r="K329" s="42"/>
      <c r="L329" s="35">
        <f t="shared" ref="L329:L336" si="85">SUM(G329:K329)</f>
        <v>48</v>
      </c>
      <c r="M329" s="35">
        <f t="shared" si="84"/>
        <v>12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13</v>
      </c>
      <c r="H330" s="42">
        <v>15</v>
      </c>
      <c r="I330" s="42">
        <v>10</v>
      </c>
      <c r="J330" s="42">
        <v>15</v>
      </c>
      <c r="K330" s="42"/>
      <c r="L330" s="35">
        <f t="shared" si="85"/>
        <v>53</v>
      </c>
      <c r="M330" s="35">
        <f t="shared" si="84"/>
        <v>13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18</v>
      </c>
      <c r="H331" s="43">
        <v>19</v>
      </c>
      <c r="I331" s="43">
        <v>21</v>
      </c>
      <c r="J331" s="43">
        <v>21</v>
      </c>
      <c r="K331" s="43"/>
      <c r="L331" s="31">
        <f t="shared" si="85"/>
        <v>79</v>
      </c>
      <c r="M331" s="31">
        <f t="shared" si="84"/>
        <v>20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>
        <v>1</v>
      </c>
      <c r="H332" s="42"/>
      <c r="I332" s="42">
        <v>6</v>
      </c>
      <c r="J332" s="42">
        <v>3</v>
      </c>
      <c r="K332" s="42"/>
      <c r="L332" s="35">
        <f t="shared" si="85"/>
        <v>10</v>
      </c>
      <c r="M332" s="35">
        <f t="shared" si="84"/>
        <v>3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9</v>
      </c>
      <c r="H334" s="42">
        <v>12</v>
      </c>
      <c r="I334" s="42">
        <v>11</v>
      </c>
      <c r="J334" s="42">
        <v>11</v>
      </c>
      <c r="K334" s="42"/>
      <c r="L334" s="35">
        <f t="shared" si="85"/>
        <v>43</v>
      </c>
      <c r="M334" s="35">
        <f t="shared" si="84"/>
        <v>11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160</v>
      </c>
      <c r="H335" s="42">
        <v>128</v>
      </c>
      <c r="I335" s="42">
        <v>128</v>
      </c>
      <c r="J335" s="42"/>
      <c r="K335" s="42"/>
      <c r="L335" s="35">
        <f t="shared" si="85"/>
        <v>416</v>
      </c>
      <c r="M335" s="35">
        <f t="shared" si="84"/>
        <v>104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2024</v>
      </c>
      <c r="H339" s="10">
        <f>+G339</f>
        <v>2024</v>
      </c>
      <c r="I339" s="10">
        <f t="shared" ref="I339:M340" si="86">+H339</f>
        <v>2024</v>
      </c>
      <c r="J339" s="10">
        <f t="shared" si="86"/>
        <v>2024</v>
      </c>
      <c r="K339" s="10">
        <f t="shared" si="86"/>
        <v>2024</v>
      </c>
      <c r="L339" s="10">
        <f t="shared" si="86"/>
        <v>2024</v>
      </c>
      <c r="M339" s="10">
        <f t="shared" si="86"/>
        <v>2024</v>
      </c>
      <c r="N339" s="11"/>
      <c r="S339" s="12" t="str">
        <f>+C339</f>
        <v>Mpuluzi</v>
      </c>
      <c r="T339" s="13">
        <f>+L343</f>
        <v>534</v>
      </c>
      <c r="U339" s="13">
        <f>+L344+L345</f>
        <v>189</v>
      </c>
      <c r="V339" s="13">
        <f>+L346+L347</f>
        <v>345</v>
      </c>
      <c r="W339" s="13">
        <f>+L350</f>
        <v>32</v>
      </c>
      <c r="X339" s="13">
        <f>+L348</f>
        <v>55</v>
      </c>
    </row>
    <row r="340" spans="1:24" x14ac:dyDescent="0.25">
      <c r="A340" s="14"/>
      <c r="B340" s="15"/>
      <c r="C340" s="41" t="str">
        <f>+$C324</f>
        <v>October 2024</v>
      </c>
      <c r="D340" s="18"/>
      <c r="E340" s="18"/>
      <c r="F340" s="18"/>
      <c r="G340" s="20" t="str">
        <f>+$G$4</f>
        <v>Oct</v>
      </c>
      <c r="H340" s="20" t="str">
        <f>+G340</f>
        <v>Oct</v>
      </c>
      <c r="I340" s="20" t="str">
        <f t="shared" si="86"/>
        <v>Oct</v>
      </c>
      <c r="J340" s="20" t="str">
        <f t="shared" si="86"/>
        <v>Oct</v>
      </c>
      <c r="K340" s="20" t="str">
        <f t="shared" si="86"/>
        <v>Oct</v>
      </c>
      <c r="L340" s="20" t="str">
        <f t="shared" si="86"/>
        <v>Oct</v>
      </c>
      <c r="M340" s="20" t="str">
        <f t="shared" si="86"/>
        <v>Oct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6</v>
      </c>
      <c r="H341" s="25">
        <f>+$H$5</f>
        <v>13</v>
      </c>
      <c r="I341" s="25">
        <f>+$I$5</f>
        <v>20</v>
      </c>
      <c r="J341" s="25">
        <f>+$J$5</f>
        <v>27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225</v>
      </c>
      <c r="H343" s="31">
        <f t="shared" ref="H343:L343" si="87">SUM(H344:H347)</f>
        <v>132</v>
      </c>
      <c r="I343" s="31">
        <f t="shared" si="87"/>
        <v>125</v>
      </c>
      <c r="J343" s="31">
        <f t="shared" si="87"/>
        <v>52</v>
      </c>
      <c r="K343" s="31">
        <f t="shared" si="87"/>
        <v>0</v>
      </c>
      <c r="L343" s="31">
        <f t="shared" si="87"/>
        <v>534</v>
      </c>
      <c r="M343" s="31">
        <f>ROUND((L343/$E$1),0)</f>
        <v>134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21</v>
      </c>
      <c r="H344" s="42">
        <v>11</v>
      </c>
      <c r="I344" s="42">
        <v>16</v>
      </c>
      <c r="J344" s="42">
        <v>5</v>
      </c>
      <c r="K344" s="42"/>
      <c r="L344" s="35">
        <f>SUM(G344:K344)</f>
        <v>53</v>
      </c>
      <c r="M344" s="35">
        <f t="shared" ref="M344:M352" si="88">ROUND((L344/$E$1),0)</f>
        <v>13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64</v>
      </c>
      <c r="H345" s="42">
        <v>29</v>
      </c>
      <c r="I345" s="42">
        <v>32</v>
      </c>
      <c r="J345" s="42">
        <v>11</v>
      </c>
      <c r="K345" s="42"/>
      <c r="L345" s="35">
        <f t="shared" ref="L345:L352" si="89">SUM(G345:K345)</f>
        <v>136</v>
      </c>
      <c r="M345" s="35">
        <f t="shared" si="88"/>
        <v>34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44</v>
      </c>
      <c r="H346" s="42">
        <v>24</v>
      </c>
      <c r="I346" s="42">
        <v>18</v>
      </c>
      <c r="J346" s="42">
        <v>15</v>
      </c>
      <c r="K346" s="42"/>
      <c r="L346" s="35">
        <f t="shared" si="89"/>
        <v>101</v>
      </c>
      <c r="M346" s="35">
        <f t="shared" si="88"/>
        <v>25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96</v>
      </c>
      <c r="H347" s="43">
        <v>68</v>
      </c>
      <c r="I347" s="43">
        <v>59</v>
      </c>
      <c r="J347" s="43">
        <v>21</v>
      </c>
      <c r="K347" s="43"/>
      <c r="L347" s="31">
        <f t="shared" si="89"/>
        <v>244</v>
      </c>
      <c r="M347" s="31">
        <f t="shared" si="88"/>
        <v>61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39</v>
      </c>
      <c r="H348" s="42">
        <v>8</v>
      </c>
      <c r="I348" s="42">
        <v>5</v>
      </c>
      <c r="J348" s="42">
        <v>3</v>
      </c>
      <c r="K348" s="42"/>
      <c r="L348" s="35">
        <f t="shared" si="89"/>
        <v>55</v>
      </c>
      <c r="M348" s="35">
        <f t="shared" si="88"/>
        <v>14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8</v>
      </c>
      <c r="H350" s="42">
        <v>6</v>
      </c>
      <c r="I350" s="42">
        <v>7</v>
      </c>
      <c r="J350" s="42">
        <v>11</v>
      </c>
      <c r="K350" s="42"/>
      <c r="L350" s="35">
        <f t="shared" si="89"/>
        <v>32</v>
      </c>
      <c r="M350" s="35">
        <f t="shared" si="88"/>
        <v>8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/>
      <c r="H351" s="42"/>
      <c r="I351" s="42"/>
      <c r="J351" s="42"/>
      <c r="K351" s="42"/>
      <c r="L351" s="35">
        <f t="shared" si="89"/>
        <v>0</v>
      </c>
      <c r="M351" s="35">
        <f t="shared" si="88"/>
        <v>0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2024</v>
      </c>
      <c r="H355" s="10">
        <f>+G355</f>
        <v>2024</v>
      </c>
      <c r="I355" s="10">
        <f t="shared" ref="I355:M356" si="90">+H355</f>
        <v>2024</v>
      </c>
      <c r="J355" s="10">
        <f t="shared" si="90"/>
        <v>2024</v>
      </c>
      <c r="K355" s="10">
        <f t="shared" si="90"/>
        <v>2024</v>
      </c>
      <c r="L355" s="10">
        <f t="shared" si="90"/>
        <v>2024</v>
      </c>
      <c r="M355" s="10">
        <f t="shared" si="90"/>
        <v>2024</v>
      </c>
      <c r="N355" s="11"/>
      <c r="S355" s="12" t="str">
        <f>+C355</f>
        <v>Bulunga</v>
      </c>
      <c r="T355" s="13">
        <f>+L359</f>
        <v>131</v>
      </c>
      <c r="U355" s="13">
        <f>+L360+L361</f>
        <v>16</v>
      </c>
      <c r="V355" s="13">
        <f>+L362+L363</f>
        <v>115</v>
      </c>
      <c r="W355" s="13">
        <f>+L366</f>
        <v>18</v>
      </c>
      <c r="X355" s="13">
        <f>+L364</f>
        <v>0</v>
      </c>
    </row>
    <row r="356" spans="1:24" x14ac:dyDescent="0.25">
      <c r="A356" s="14"/>
      <c r="B356" s="15"/>
      <c r="C356" s="41" t="str">
        <f>+$C340</f>
        <v>October 2024</v>
      </c>
      <c r="D356" s="18"/>
      <c r="E356" s="18"/>
      <c r="F356" s="18"/>
      <c r="G356" s="20" t="str">
        <f>+$G$4</f>
        <v>Oct</v>
      </c>
      <c r="H356" s="20" t="str">
        <f>+G356</f>
        <v>Oct</v>
      </c>
      <c r="I356" s="20" t="str">
        <f t="shared" si="90"/>
        <v>Oct</v>
      </c>
      <c r="J356" s="20" t="str">
        <f t="shared" si="90"/>
        <v>Oct</v>
      </c>
      <c r="K356" s="20" t="str">
        <f t="shared" si="90"/>
        <v>Oct</v>
      </c>
      <c r="L356" s="20" t="str">
        <f t="shared" si="90"/>
        <v>Oct</v>
      </c>
      <c r="M356" s="20" t="str">
        <f t="shared" si="90"/>
        <v>Oct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6</v>
      </c>
      <c r="H357" s="25">
        <f>+$H$5</f>
        <v>13</v>
      </c>
      <c r="I357" s="25">
        <f>+$I$5</f>
        <v>20</v>
      </c>
      <c r="J357" s="25">
        <f>+$J$5</f>
        <v>27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32</v>
      </c>
      <c r="H359" s="31">
        <f t="shared" ref="H359:L359" si="91">SUM(H360:H363)</f>
        <v>28</v>
      </c>
      <c r="I359" s="31">
        <f t="shared" si="91"/>
        <v>35</v>
      </c>
      <c r="J359" s="31">
        <f t="shared" si="91"/>
        <v>36</v>
      </c>
      <c r="K359" s="31">
        <f t="shared" si="91"/>
        <v>0</v>
      </c>
      <c r="L359" s="31">
        <f t="shared" si="91"/>
        <v>131</v>
      </c>
      <c r="M359" s="31">
        <f>ROUND((L359/$E$1),0)</f>
        <v>33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2</v>
      </c>
      <c r="H360" s="42">
        <v>2</v>
      </c>
      <c r="I360" s="42">
        <v>2</v>
      </c>
      <c r="J360" s="42">
        <v>2</v>
      </c>
      <c r="K360" s="42"/>
      <c r="L360" s="35">
        <f>SUM(G360:K360)</f>
        <v>8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2</v>
      </c>
      <c r="H361" s="42">
        <v>2</v>
      </c>
      <c r="I361" s="42">
        <v>2</v>
      </c>
      <c r="J361" s="42">
        <v>2</v>
      </c>
      <c r="K361" s="42"/>
      <c r="L361" s="35">
        <f t="shared" ref="L361:L368" si="93">SUM(G361:K361)</f>
        <v>8</v>
      </c>
      <c r="M361" s="35">
        <f t="shared" si="92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15</v>
      </c>
      <c r="H362" s="42">
        <v>10</v>
      </c>
      <c r="I362" s="42">
        <v>13</v>
      </c>
      <c r="J362" s="42">
        <v>16</v>
      </c>
      <c r="K362" s="42"/>
      <c r="L362" s="35">
        <f t="shared" si="93"/>
        <v>54</v>
      </c>
      <c r="M362" s="35">
        <f t="shared" si="92"/>
        <v>14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13</v>
      </c>
      <c r="H363" s="43">
        <v>14</v>
      </c>
      <c r="I363" s="43">
        <v>18</v>
      </c>
      <c r="J363" s="43">
        <v>16</v>
      </c>
      <c r="K363" s="43"/>
      <c r="L363" s="31">
        <f t="shared" si="93"/>
        <v>61</v>
      </c>
      <c r="M363" s="31">
        <f t="shared" si="92"/>
        <v>15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/>
      <c r="H364" s="42"/>
      <c r="I364" s="42"/>
      <c r="J364" s="42"/>
      <c r="K364" s="42"/>
      <c r="L364" s="35">
        <f t="shared" si="93"/>
        <v>0</v>
      </c>
      <c r="M364" s="35">
        <f t="shared" si="92"/>
        <v>0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3</v>
      </c>
      <c r="H366" s="42">
        <v>4</v>
      </c>
      <c r="I366" s="42">
        <v>6</v>
      </c>
      <c r="J366" s="42">
        <v>5</v>
      </c>
      <c r="K366" s="42"/>
      <c r="L366" s="35">
        <f t="shared" si="93"/>
        <v>18</v>
      </c>
      <c r="M366" s="35">
        <f t="shared" si="92"/>
        <v>5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/>
      <c r="I367" s="42"/>
      <c r="J367" s="42">
        <v>320</v>
      </c>
      <c r="K367" s="42"/>
      <c r="L367" s="35">
        <f t="shared" si="93"/>
        <v>320</v>
      </c>
      <c r="M367" s="35">
        <f t="shared" si="92"/>
        <v>80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2024</v>
      </c>
      <c r="H371" s="10">
        <f>+G371</f>
        <v>2024</v>
      </c>
      <c r="I371" s="10">
        <f t="shared" ref="I371:M372" si="94">+H371</f>
        <v>2024</v>
      </c>
      <c r="J371" s="10">
        <f t="shared" si="94"/>
        <v>2024</v>
      </c>
      <c r="K371" s="10">
        <f t="shared" si="94"/>
        <v>2024</v>
      </c>
      <c r="L371" s="10">
        <f t="shared" si="94"/>
        <v>2024</v>
      </c>
      <c r="M371" s="10">
        <f t="shared" si="94"/>
        <v>2024</v>
      </c>
      <c r="N371" s="11"/>
      <c r="P371" s="44"/>
      <c r="S371" s="12" t="str">
        <f>+C371</f>
        <v>Mbowane</v>
      </c>
      <c r="T371" s="13">
        <f>+L375</f>
        <v>88</v>
      </c>
      <c r="U371" s="13">
        <f>+L376+L377</f>
        <v>17</v>
      </c>
      <c r="V371" s="13">
        <f>+L378+L379</f>
        <v>71</v>
      </c>
      <c r="W371" s="13">
        <f>+L382</f>
        <v>16</v>
      </c>
      <c r="X371" s="13">
        <f>+L380</f>
        <v>1</v>
      </c>
    </row>
    <row r="372" spans="1:24" x14ac:dyDescent="0.25">
      <c r="A372" s="14"/>
      <c r="B372" s="15"/>
      <c r="C372" s="41" t="str">
        <f>+$C356</f>
        <v>October 2024</v>
      </c>
      <c r="D372" s="18"/>
      <c r="E372" s="18"/>
      <c r="F372" s="18"/>
      <c r="G372" s="20" t="str">
        <f>+$G$4</f>
        <v>Oct</v>
      </c>
      <c r="H372" s="20" t="str">
        <f>+G372</f>
        <v>Oct</v>
      </c>
      <c r="I372" s="20" t="str">
        <f t="shared" si="94"/>
        <v>Oct</v>
      </c>
      <c r="J372" s="20" t="str">
        <f t="shared" si="94"/>
        <v>Oct</v>
      </c>
      <c r="K372" s="20" t="str">
        <f t="shared" si="94"/>
        <v>Oct</v>
      </c>
      <c r="L372" s="20" t="str">
        <f t="shared" si="94"/>
        <v>Oct</v>
      </c>
      <c r="M372" s="20" t="str">
        <f t="shared" si="94"/>
        <v>Oct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6</v>
      </c>
      <c r="H373" s="25">
        <f>+$H$5</f>
        <v>13</v>
      </c>
      <c r="I373" s="25">
        <f>+$I$5</f>
        <v>20</v>
      </c>
      <c r="J373" s="25">
        <f>+$J$5</f>
        <v>27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19</v>
      </c>
      <c r="H375" s="31">
        <f t="shared" ref="H375:L375" si="95">SUM(H376:H379)</f>
        <v>27</v>
      </c>
      <c r="I375" s="31">
        <f t="shared" si="95"/>
        <v>23</v>
      </c>
      <c r="J375" s="31">
        <f t="shared" si="95"/>
        <v>19</v>
      </c>
      <c r="K375" s="31">
        <f t="shared" si="95"/>
        <v>0</v>
      </c>
      <c r="L375" s="31">
        <f t="shared" si="95"/>
        <v>88</v>
      </c>
      <c r="M375" s="31">
        <f>ROUND((L375/$E$1),0)</f>
        <v>22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1</v>
      </c>
      <c r="H376" s="42">
        <v>1</v>
      </c>
      <c r="I376" s="42">
        <v>2</v>
      </c>
      <c r="J376" s="42">
        <v>1</v>
      </c>
      <c r="K376" s="42"/>
      <c r="L376" s="35">
        <f>SUM(G376:K376)</f>
        <v>5</v>
      </c>
      <c r="M376" s="35">
        <f t="shared" ref="M376:M384" si="96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3</v>
      </c>
      <c r="H377" s="42">
        <v>2</v>
      </c>
      <c r="I377" s="42">
        <v>4</v>
      </c>
      <c r="J377" s="42">
        <v>3</v>
      </c>
      <c r="K377" s="42"/>
      <c r="L377" s="35">
        <f t="shared" ref="L377:L384" si="97">SUM(G377:K377)</f>
        <v>12</v>
      </c>
      <c r="M377" s="35">
        <f t="shared" si="96"/>
        <v>3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7</v>
      </c>
      <c r="H378" s="42">
        <v>11</v>
      </c>
      <c r="I378" s="42">
        <v>7</v>
      </c>
      <c r="J378" s="42">
        <v>6</v>
      </c>
      <c r="K378" s="42"/>
      <c r="L378" s="35">
        <f t="shared" si="97"/>
        <v>31</v>
      </c>
      <c r="M378" s="35">
        <f t="shared" si="96"/>
        <v>8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8</v>
      </c>
      <c r="H379" s="43">
        <v>13</v>
      </c>
      <c r="I379" s="43">
        <v>10</v>
      </c>
      <c r="J379" s="43">
        <v>9</v>
      </c>
      <c r="K379" s="43"/>
      <c r="L379" s="31">
        <f t="shared" si="97"/>
        <v>40</v>
      </c>
      <c r="M379" s="31">
        <f t="shared" si="96"/>
        <v>10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>
        <v>1</v>
      </c>
      <c r="I380" s="42"/>
      <c r="J380" s="42"/>
      <c r="K380" s="42"/>
      <c r="L380" s="35">
        <f t="shared" si="97"/>
        <v>1</v>
      </c>
      <c r="M380" s="35">
        <f t="shared" si="96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2</v>
      </c>
      <c r="H382" s="42">
        <v>4</v>
      </c>
      <c r="I382" s="42">
        <v>5</v>
      </c>
      <c r="J382" s="42">
        <v>5</v>
      </c>
      <c r="K382" s="42"/>
      <c r="L382" s="35">
        <f t="shared" si="97"/>
        <v>16</v>
      </c>
      <c r="M382" s="35">
        <f t="shared" si="96"/>
        <v>4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/>
      <c r="H383" s="42"/>
      <c r="I383" s="42">
        <v>96</v>
      </c>
      <c r="J383" s="42">
        <v>36</v>
      </c>
      <c r="K383" s="42"/>
      <c r="L383" s="35">
        <f t="shared" si="97"/>
        <v>132</v>
      </c>
      <c r="M383" s="35">
        <f t="shared" si="96"/>
        <v>33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2024</v>
      </c>
      <c r="H387" s="10">
        <f>+G387</f>
        <v>2024</v>
      </c>
      <c r="I387" s="10">
        <f t="shared" ref="I387:M388" si="98">+H387</f>
        <v>2024</v>
      </c>
      <c r="J387" s="10">
        <f t="shared" si="98"/>
        <v>2024</v>
      </c>
      <c r="K387" s="10">
        <f t="shared" si="98"/>
        <v>2024</v>
      </c>
      <c r="L387" s="10">
        <f t="shared" si="98"/>
        <v>2024</v>
      </c>
      <c r="M387" s="10">
        <f t="shared" si="98"/>
        <v>2024</v>
      </c>
      <c r="N387" s="11"/>
      <c r="P387" s="44"/>
      <c r="S387" s="12" t="str">
        <f>+C387</f>
        <v>Sibovini</v>
      </c>
      <c r="T387" s="13">
        <f>+L391</f>
        <v>234</v>
      </c>
      <c r="U387" s="13">
        <f>+L392+L393</f>
        <v>55</v>
      </c>
      <c r="V387" s="13">
        <f>+L394+L395</f>
        <v>179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October 2024</v>
      </c>
      <c r="D388" s="18"/>
      <c r="E388" s="18"/>
      <c r="F388" s="18"/>
      <c r="G388" s="20" t="str">
        <f>+$G$4</f>
        <v>Oct</v>
      </c>
      <c r="H388" s="20" t="str">
        <f>+G388</f>
        <v>Oct</v>
      </c>
      <c r="I388" s="20" t="str">
        <f t="shared" si="98"/>
        <v>Oct</v>
      </c>
      <c r="J388" s="20" t="str">
        <f t="shared" si="98"/>
        <v>Oct</v>
      </c>
      <c r="K388" s="20" t="str">
        <f t="shared" si="98"/>
        <v>Oct</v>
      </c>
      <c r="L388" s="20" t="str">
        <f t="shared" si="98"/>
        <v>Oct</v>
      </c>
      <c r="M388" s="20" t="str">
        <f t="shared" si="98"/>
        <v>Oct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6</v>
      </c>
      <c r="H389" s="25">
        <f>+$H$5</f>
        <v>13</v>
      </c>
      <c r="I389" s="25">
        <f>+$I$5</f>
        <v>20</v>
      </c>
      <c r="J389" s="25">
        <f>+$J$5</f>
        <v>27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30</v>
      </c>
      <c r="H391" s="31">
        <f t="shared" ref="H391:L391" si="99">SUM(H392:H395)</f>
        <v>67</v>
      </c>
      <c r="I391" s="31">
        <f t="shared" si="99"/>
        <v>54</v>
      </c>
      <c r="J391" s="31">
        <f t="shared" si="99"/>
        <v>83</v>
      </c>
      <c r="K391" s="31">
        <f t="shared" si="99"/>
        <v>0</v>
      </c>
      <c r="L391" s="31">
        <f t="shared" si="99"/>
        <v>234</v>
      </c>
      <c r="M391" s="31">
        <f>ROUND((L391/$E$1),0)</f>
        <v>59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2</v>
      </c>
      <c r="H392" s="42">
        <v>5</v>
      </c>
      <c r="I392" s="42">
        <v>4</v>
      </c>
      <c r="J392" s="42">
        <v>5</v>
      </c>
      <c r="K392" s="42"/>
      <c r="L392" s="35">
        <f>SUM(G392:K392)</f>
        <v>16</v>
      </c>
      <c r="M392" s="35">
        <f t="shared" ref="M392:M400" si="100">ROUND((L392/$E$1),0)</f>
        <v>4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6</v>
      </c>
      <c r="H393" s="42">
        <v>11</v>
      </c>
      <c r="I393" s="42">
        <v>13</v>
      </c>
      <c r="J393" s="42">
        <v>9</v>
      </c>
      <c r="K393" s="42"/>
      <c r="L393" s="35">
        <f t="shared" ref="L393:L400" si="101">SUM(G393:K393)</f>
        <v>39</v>
      </c>
      <c r="M393" s="35">
        <f t="shared" si="100"/>
        <v>10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7</v>
      </c>
      <c r="H394" s="42">
        <v>14</v>
      </c>
      <c r="I394" s="42">
        <v>10</v>
      </c>
      <c r="J394" s="42">
        <v>16</v>
      </c>
      <c r="K394" s="42"/>
      <c r="L394" s="35">
        <f t="shared" si="101"/>
        <v>47</v>
      </c>
      <c r="M394" s="35">
        <f t="shared" si="100"/>
        <v>12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15</v>
      </c>
      <c r="H395" s="43">
        <v>37</v>
      </c>
      <c r="I395" s="43">
        <v>27</v>
      </c>
      <c r="J395" s="43">
        <v>53</v>
      </c>
      <c r="K395" s="43"/>
      <c r="L395" s="31">
        <f t="shared" si="101"/>
        <v>132</v>
      </c>
      <c r="M395" s="31">
        <f t="shared" si="100"/>
        <v>33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2024</v>
      </c>
      <c r="H403" s="10">
        <f>+G403</f>
        <v>2024</v>
      </c>
      <c r="I403" s="10">
        <f t="shared" ref="I403:M404" si="102">+H403</f>
        <v>2024</v>
      </c>
      <c r="J403" s="10">
        <f t="shared" si="102"/>
        <v>2024</v>
      </c>
      <c r="K403" s="10">
        <f t="shared" si="102"/>
        <v>2024</v>
      </c>
      <c r="L403" s="10">
        <f t="shared" si="102"/>
        <v>2024</v>
      </c>
      <c r="M403" s="10">
        <f t="shared" si="102"/>
        <v>2024</v>
      </c>
      <c r="N403" s="11"/>
      <c r="P403" s="44"/>
      <c r="S403" s="12" t="str">
        <f>+C403</f>
        <v>Nsubani</v>
      </c>
      <c r="T403" s="13">
        <f>+L407</f>
        <v>256</v>
      </c>
      <c r="U403" s="13">
        <f>+L408+L409</f>
        <v>56</v>
      </c>
      <c r="V403" s="13">
        <f>+L410+L411</f>
        <v>200</v>
      </c>
      <c r="W403" s="13">
        <f>+L414</f>
        <v>36</v>
      </c>
      <c r="X403" s="13">
        <f>+L412</f>
        <v>0</v>
      </c>
    </row>
    <row r="404" spans="1:24" x14ac:dyDescent="0.25">
      <c r="A404" s="14"/>
      <c r="B404" s="15"/>
      <c r="C404" s="41" t="str">
        <f>+$C388</f>
        <v>October 2024</v>
      </c>
      <c r="D404" s="18"/>
      <c r="E404" s="18"/>
      <c r="F404" s="18"/>
      <c r="G404" s="20" t="str">
        <f>+$G$4</f>
        <v>Oct</v>
      </c>
      <c r="H404" s="20" t="str">
        <f>+G404</f>
        <v>Oct</v>
      </c>
      <c r="I404" s="20" t="str">
        <f t="shared" si="102"/>
        <v>Oct</v>
      </c>
      <c r="J404" s="20" t="str">
        <f t="shared" si="102"/>
        <v>Oct</v>
      </c>
      <c r="K404" s="20" t="str">
        <f t="shared" si="102"/>
        <v>Oct</v>
      </c>
      <c r="L404" s="20" t="str">
        <f t="shared" si="102"/>
        <v>Oct</v>
      </c>
      <c r="M404" s="20" t="str">
        <f t="shared" si="102"/>
        <v>Oct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6</v>
      </c>
      <c r="H405" s="25">
        <f>+$H$5</f>
        <v>13</v>
      </c>
      <c r="I405" s="25">
        <f>+$I$5</f>
        <v>20</v>
      </c>
      <c r="J405" s="25">
        <f>+$J$5</f>
        <v>27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66</v>
      </c>
      <c r="H407" s="31">
        <f t="shared" ref="H407:L407" si="103">SUM(H408:H411)</f>
        <v>60</v>
      </c>
      <c r="I407" s="31">
        <f t="shared" si="103"/>
        <v>65</v>
      </c>
      <c r="J407" s="31">
        <f t="shared" si="103"/>
        <v>65</v>
      </c>
      <c r="K407" s="31">
        <f t="shared" si="103"/>
        <v>0</v>
      </c>
      <c r="L407" s="31">
        <f t="shared" si="103"/>
        <v>256</v>
      </c>
      <c r="M407" s="31">
        <f>ROUND((L407/$E$1),0)</f>
        <v>64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4</v>
      </c>
      <c r="H408" s="42">
        <v>4</v>
      </c>
      <c r="I408" s="42">
        <v>2</v>
      </c>
      <c r="J408" s="42">
        <v>2</v>
      </c>
      <c r="K408" s="42"/>
      <c r="L408" s="35">
        <f>SUM(G408:K408)</f>
        <v>12</v>
      </c>
      <c r="M408" s="35">
        <f t="shared" ref="M408:M416" si="104">ROUND((L408/$E$1),0)</f>
        <v>3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12</v>
      </c>
      <c r="H409" s="42">
        <v>10</v>
      </c>
      <c r="I409" s="42">
        <v>11</v>
      </c>
      <c r="J409" s="42">
        <v>11</v>
      </c>
      <c r="K409" s="42"/>
      <c r="L409" s="35">
        <f t="shared" ref="L409:L416" si="105">SUM(G409:K409)</f>
        <v>44</v>
      </c>
      <c r="M409" s="35">
        <f t="shared" si="104"/>
        <v>11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12</v>
      </c>
      <c r="H410" s="42">
        <v>13</v>
      </c>
      <c r="I410" s="42">
        <v>14</v>
      </c>
      <c r="J410" s="42">
        <v>14</v>
      </c>
      <c r="K410" s="42"/>
      <c r="L410" s="35">
        <f t="shared" si="105"/>
        <v>53</v>
      </c>
      <c r="M410" s="35">
        <f t="shared" si="104"/>
        <v>13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38</v>
      </c>
      <c r="H411" s="43">
        <v>33</v>
      </c>
      <c r="I411" s="43">
        <v>38</v>
      </c>
      <c r="J411" s="43">
        <v>38</v>
      </c>
      <c r="K411" s="43"/>
      <c r="L411" s="31">
        <f t="shared" si="105"/>
        <v>147</v>
      </c>
      <c r="M411" s="31">
        <f t="shared" si="104"/>
        <v>37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11</v>
      </c>
      <c r="H414" s="42">
        <v>9</v>
      </c>
      <c r="I414" s="42">
        <v>8</v>
      </c>
      <c r="J414" s="42">
        <v>8</v>
      </c>
      <c r="K414" s="42"/>
      <c r="L414" s="35">
        <f t="shared" si="105"/>
        <v>36</v>
      </c>
      <c r="M414" s="35">
        <f t="shared" si="104"/>
        <v>9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128</v>
      </c>
      <c r="H415" s="42">
        <v>96</v>
      </c>
      <c r="I415" s="42">
        <v>128</v>
      </c>
      <c r="J415" s="42">
        <v>128</v>
      </c>
      <c r="K415" s="42"/>
      <c r="L415" s="35">
        <f t="shared" si="105"/>
        <v>480</v>
      </c>
      <c r="M415" s="35">
        <f t="shared" si="104"/>
        <v>120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2024</v>
      </c>
      <c r="H419" s="10">
        <f>+G419</f>
        <v>2024</v>
      </c>
      <c r="I419" s="10">
        <f t="shared" ref="I419:M420" si="106">+H419</f>
        <v>2024</v>
      </c>
      <c r="J419" s="10">
        <f t="shared" si="106"/>
        <v>2024</v>
      </c>
      <c r="K419" s="10">
        <f t="shared" si="106"/>
        <v>2024</v>
      </c>
      <c r="L419" s="10">
        <f t="shared" si="106"/>
        <v>2024</v>
      </c>
      <c r="M419" s="10">
        <f t="shared" si="106"/>
        <v>2024</v>
      </c>
      <c r="N419" s="11"/>
      <c r="P419" s="44"/>
      <c r="S419" s="12" t="str">
        <f>+C419</f>
        <v>Mhlabubovu</v>
      </c>
      <c r="T419" s="13">
        <f>+L423</f>
        <v>239</v>
      </c>
      <c r="U419" s="13">
        <f>+L424+L425</f>
        <v>46</v>
      </c>
      <c r="V419" s="13">
        <f>+L426+L427</f>
        <v>193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October 2024</v>
      </c>
      <c r="D420" s="18"/>
      <c r="E420" s="18"/>
      <c r="F420" s="18"/>
      <c r="G420" s="20" t="str">
        <f>+$G$4</f>
        <v>Oct</v>
      </c>
      <c r="H420" s="20" t="str">
        <f>+G420</f>
        <v>Oct</v>
      </c>
      <c r="I420" s="20" t="str">
        <f t="shared" si="106"/>
        <v>Oct</v>
      </c>
      <c r="J420" s="20" t="str">
        <f t="shared" si="106"/>
        <v>Oct</v>
      </c>
      <c r="K420" s="20" t="str">
        <f t="shared" si="106"/>
        <v>Oct</v>
      </c>
      <c r="L420" s="20" t="str">
        <f t="shared" si="106"/>
        <v>Oct</v>
      </c>
      <c r="M420" s="20" t="str">
        <f t="shared" si="106"/>
        <v>Oct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6</v>
      </c>
      <c r="H421" s="25">
        <f>+$H$5</f>
        <v>13</v>
      </c>
      <c r="I421" s="25">
        <f>+$I$5</f>
        <v>20</v>
      </c>
      <c r="J421" s="25">
        <f>+$J$5</f>
        <v>27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48</v>
      </c>
      <c r="H423" s="31">
        <f t="shared" ref="H423:L423" si="107">SUM(H424:H427)</f>
        <v>54</v>
      </c>
      <c r="I423" s="31">
        <f t="shared" si="107"/>
        <v>70</v>
      </c>
      <c r="J423" s="31">
        <f t="shared" si="107"/>
        <v>67</v>
      </c>
      <c r="K423" s="31">
        <f t="shared" si="107"/>
        <v>0</v>
      </c>
      <c r="L423" s="31">
        <f t="shared" si="107"/>
        <v>239</v>
      </c>
      <c r="M423" s="31">
        <f>ROUND((L423/$E$1),0)</f>
        <v>60</v>
      </c>
      <c r="N423" s="32"/>
      <c r="AA423" s="46">
        <v>48</v>
      </c>
      <c r="AB423" s="46">
        <v>54</v>
      </c>
      <c r="AC423" s="46">
        <v>70</v>
      </c>
      <c r="AD423" s="46">
        <v>67</v>
      </c>
      <c r="AE423" s="46">
        <v>0</v>
      </c>
      <c r="AF423" s="46">
        <v>239</v>
      </c>
      <c r="AG423" s="46">
        <v>60</v>
      </c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>
        <v>0</v>
      </c>
      <c r="H424" s="42">
        <v>2</v>
      </c>
      <c r="I424" s="42">
        <v>1</v>
      </c>
      <c r="J424" s="42">
        <v>2</v>
      </c>
      <c r="K424" s="42"/>
      <c r="L424" s="35">
        <f>SUM(G424:K424)</f>
        <v>5</v>
      </c>
      <c r="M424" s="35">
        <f t="shared" ref="M424:M432" si="108">ROUND((L424/$E$1),0)</f>
        <v>1</v>
      </c>
      <c r="N424" s="32"/>
      <c r="AA424" s="46">
        <v>0</v>
      </c>
      <c r="AB424" s="46">
        <v>2</v>
      </c>
      <c r="AC424" s="46">
        <v>1</v>
      </c>
      <c r="AD424" s="46">
        <v>2</v>
      </c>
      <c r="AE424" s="46"/>
      <c r="AF424" s="46">
        <v>5</v>
      </c>
      <c r="AG424" s="46">
        <v>1</v>
      </c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9</v>
      </c>
      <c r="H425" s="42">
        <v>10</v>
      </c>
      <c r="I425" s="42">
        <v>9</v>
      </c>
      <c r="J425" s="42">
        <v>13</v>
      </c>
      <c r="K425" s="42"/>
      <c r="L425" s="35">
        <f t="shared" ref="L425:L432" si="109">SUM(G425:K425)</f>
        <v>41</v>
      </c>
      <c r="M425" s="35">
        <f t="shared" si="108"/>
        <v>10</v>
      </c>
      <c r="N425" s="32"/>
      <c r="AA425" s="46">
        <v>9</v>
      </c>
      <c r="AB425" s="46">
        <v>10</v>
      </c>
      <c r="AC425" s="46">
        <v>9</v>
      </c>
      <c r="AD425" s="46">
        <v>13</v>
      </c>
      <c r="AE425" s="46"/>
      <c r="AF425" s="46">
        <v>41</v>
      </c>
      <c r="AG425" s="46">
        <v>10</v>
      </c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14</v>
      </c>
      <c r="H426" s="42">
        <v>14</v>
      </c>
      <c r="I426" s="42">
        <v>18</v>
      </c>
      <c r="J426" s="42">
        <v>17</v>
      </c>
      <c r="K426" s="42"/>
      <c r="L426" s="35">
        <f t="shared" si="109"/>
        <v>63</v>
      </c>
      <c r="M426" s="35">
        <f t="shared" si="108"/>
        <v>16</v>
      </c>
      <c r="N426" s="32"/>
      <c r="AA426" s="46">
        <v>14</v>
      </c>
      <c r="AB426" s="46">
        <v>14</v>
      </c>
      <c r="AC426" s="46">
        <v>18</v>
      </c>
      <c r="AD426" s="46">
        <v>17</v>
      </c>
      <c r="AE426" s="46"/>
      <c r="AF426" s="46">
        <v>63</v>
      </c>
      <c r="AG426" s="46">
        <v>16</v>
      </c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25</v>
      </c>
      <c r="H427" s="43">
        <v>28</v>
      </c>
      <c r="I427" s="43">
        <v>42</v>
      </c>
      <c r="J427" s="43">
        <v>35</v>
      </c>
      <c r="K427" s="43"/>
      <c r="L427" s="31">
        <f t="shared" si="109"/>
        <v>130</v>
      </c>
      <c r="M427" s="31">
        <f t="shared" si="108"/>
        <v>33</v>
      </c>
      <c r="N427" s="32"/>
      <c r="AA427" s="46">
        <v>25</v>
      </c>
      <c r="AB427" s="46">
        <v>28</v>
      </c>
      <c r="AC427" s="46">
        <v>42</v>
      </c>
      <c r="AD427" s="46">
        <v>35</v>
      </c>
      <c r="AE427" s="46"/>
      <c r="AF427" s="46">
        <v>130</v>
      </c>
      <c r="AG427" s="46">
        <v>33</v>
      </c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>
        <v>0</v>
      </c>
      <c r="AG428" s="46">
        <v>0</v>
      </c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>
        <v>0</v>
      </c>
      <c r="AG429" s="46">
        <v>0</v>
      </c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>
        <v>0</v>
      </c>
      <c r="AG430" s="46">
        <v>0</v>
      </c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>
        <v>0</v>
      </c>
      <c r="AG431" s="46">
        <v>0</v>
      </c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>
        <v>0</v>
      </c>
      <c r="AG432" s="46">
        <v>0</v>
      </c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2024</v>
      </c>
      <c r="H435" s="10">
        <f>+G435</f>
        <v>2024</v>
      </c>
      <c r="I435" s="10">
        <f t="shared" ref="I435:M436" si="110">+H435</f>
        <v>2024</v>
      </c>
      <c r="J435" s="10">
        <f t="shared" si="110"/>
        <v>2024</v>
      </c>
      <c r="K435" s="10">
        <f t="shared" si="110"/>
        <v>2024</v>
      </c>
      <c r="L435" s="10">
        <f t="shared" si="110"/>
        <v>2024</v>
      </c>
      <c r="M435" s="10">
        <f t="shared" si="110"/>
        <v>2024</v>
      </c>
      <c r="N435" s="11"/>
      <c r="S435" s="12" t="str">
        <f>+C435</f>
        <v>Jubukweni</v>
      </c>
      <c r="T435" s="13">
        <f>+L439</f>
        <v>71</v>
      </c>
      <c r="U435" s="13">
        <f>+L440+L441</f>
        <v>20</v>
      </c>
      <c r="V435" s="13">
        <f>+L442+L443</f>
        <v>51</v>
      </c>
      <c r="W435" s="13">
        <f>+L446</f>
        <v>7</v>
      </c>
      <c r="X435" s="13">
        <f>+L444</f>
        <v>0</v>
      </c>
    </row>
    <row r="436" spans="1:24" x14ac:dyDescent="0.25">
      <c r="A436" s="14"/>
      <c r="B436" s="15"/>
      <c r="C436" s="41" t="str">
        <f>+$C420</f>
        <v>October 2024</v>
      </c>
      <c r="D436" s="18"/>
      <c r="E436" s="18"/>
      <c r="F436" s="18"/>
      <c r="G436" s="20" t="str">
        <f>+$G$4</f>
        <v>Oct</v>
      </c>
      <c r="H436" s="20" t="str">
        <f>+G436</f>
        <v>Oct</v>
      </c>
      <c r="I436" s="20" t="str">
        <f t="shared" si="110"/>
        <v>Oct</v>
      </c>
      <c r="J436" s="20" t="str">
        <f t="shared" si="110"/>
        <v>Oct</v>
      </c>
      <c r="K436" s="20" t="str">
        <f t="shared" si="110"/>
        <v>Oct</v>
      </c>
      <c r="L436" s="20" t="str">
        <f t="shared" si="110"/>
        <v>Oct</v>
      </c>
      <c r="M436" s="20" t="str">
        <f t="shared" si="110"/>
        <v>Oct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6</v>
      </c>
      <c r="H437" s="25">
        <f>+$H$5</f>
        <v>13</v>
      </c>
      <c r="I437" s="25">
        <f>+$I$5</f>
        <v>20</v>
      </c>
      <c r="J437" s="25">
        <f>+$J$5</f>
        <v>27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21</v>
      </c>
      <c r="H439" s="31">
        <f t="shared" ref="H439:L439" si="111">SUM(H440:H443)</f>
        <v>24</v>
      </c>
      <c r="I439" s="31">
        <f t="shared" si="111"/>
        <v>13</v>
      </c>
      <c r="J439" s="31">
        <f t="shared" si="111"/>
        <v>13</v>
      </c>
      <c r="K439" s="31">
        <f t="shared" si="111"/>
        <v>0</v>
      </c>
      <c r="L439" s="31">
        <f t="shared" si="111"/>
        <v>71</v>
      </c>
      <c r="M439" s="31">
        <f>ROUND((L439/$E$1),0)</f>
        <v>18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4</v>
      </c>
      <c r="I440" s="42">
        <v>1</v>
      </c>
      <c r="J440" s="42">
        <v>1</v>
      </c>
      <c r="K440" s="42"/>
      <c r="L440" s="35">
        <f>SUM(G440:K440)</f>
        <v>8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4</v>
      </c>
      <c r="H441" s="42">
        <v>4</v>
      </c>
      <c r="I441" s="42">
        <v>2</v>
      </c>
      <c r="J441" s="42">
        <v>2</v>
      </c>
      <c r="K441" s="42"/>
      <c r="L441" s="35">
        <f t="shared" ref="L441:L448" si="113">SUM(G441:K441)</f>
        <v>12</v>
      </c>
      <c r="M441" s="35">
        <f t="shared" si="112"/>
        <v>3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5</v>
      </c>
      <c r="H442" s="42">
        <v>6</v>
      </c>
      <c r="I442" s="42">
        <v>5</v>
      </c>
      <c r="J442" s="42">
        <v>5</v>
      </c>
      <c r="K442" s="42"/>
      <c r="L442" s="35">
        <f t="shared" si="113"/>
        <v>21</v>
      </c>
      <c r="M442" s="35">
        <f t="shared" si="112"/>
        <v>5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10</v>
      </c>
      <c r="I443" s="43">
        <v>5</v>
      </c>
      <c r="J443" s="43">
        <v>5</v>
      </c>
      <c r="K443" s="43"/>
      <c r="L443" s="31">
        <f t="shared" si="113"/>
        <v>30</v>
      </c>
      <c r="M443" s="31">
        <f t="shared" si="112"/>
        <v>8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>
        <v>3</v>
      </c>
      <c r="I446" s="42">
        <v>2</v>
      </c>
      <c r="J446" s="42">
        <v>2</v>
      </c>
      <c r="K446" s="42"/>
      <c r="L446" s="35">
        <f t="shared" si="113"/>
        <v>7</v>
      </c>
      <c r="M446" s="35">
        <f t="shared" si="112"/>
        <v>2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>
        <v>96</v>
      </c>
      <c r="I447" s="42">
        <v>96</v>
      </c>
      <c r="J447" s="42">
        <v>64</v>
      </c>
      <c r="K447" s="42"/>
      <c r="L447" s="35">
        <f t="shared" si="113"/>
        <v>256</v>
      </c>
      <c r="M447" s="35">
        <f t="shared" si="112"/>
        <v>64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2024</v>
      </c>
      <c r="H451" s="10">
        <f>+G451</f>
        <v>2024</v>
      </c>
      <c r="I451" s="10">
        <f t="shared" ref="I451:M452" si="114">+H451</f>
        <v>2024</v>
      </c>
      <c r="J451" s="10">
        <f t="shared" si="114"/>
        <v>2024</v>
      </c>
      <c r="K451" s="10">
        <f t="shared" si="114"/>
        <v>2024</v>
      </c>
      <c r="L451" s="10">
        <f t="shared" si="114"/>
        <v>2024</v>
      </c>
      <c r="M451" s="10">
        <f t="shared" si="114"/>
        <v>2024</v>
      </c>
      <c r="N451" s="11"/>
      <c r="S451" s="12" t="str">
        <f>+C451</f>
        <v>Sigangeni</v>
      </c>
      <c r="T451" s="13">
        <f>+L455</f>
        <v>324</v>
      </c>
      <c r="U451" s="13">
        <f>+L456+L457</f>
        <v>57</v>
      </c>
      <c r="V451" s="13">
        <f>+L458+L459</f>
        <v>267</v>
      </c>
      <c r="W451" s="13">
        <f>+L462</f>
        <v>22</v>
      </c>
      <c r="X451" s="13">
        <f>+L460</f>
        <v>0</v>
      </c>
    </row>
    <row r="452" spans="1:24" x14ac:dyDescent="0.25">
      <c r="A452" s="14"/>
      <c r="B452" s="15"/>
      <c r="C452" s="41" t="str">
        <f>+$C436</f>
        <v>October 2024</v>
      </c>
      <c r="D452" s="18"/>
      <c r="E452" s="18"/>
      <c r="F452" s="18"/>
      <c r="G452" s="20" t="str">
        <f>+$G$4</f>
        <v>Oct</v>
      </c>
      <c r="H452" s="20" t="str">
        <f>+G452</f>
        <v>Oct</v>
      </c>
      <c r="I452" s="20" t="str">
        <f t="shared" si="114"/>
        <v>Oct</v>
      </c>
      <c r="J452" s="20" t="str">
        <f t="shared" si="114"/>
        <v>Oct</v>
      </c>
      <c r="K452" s="20" t="str">
        <f t="shared" si="114"/>
        <v>Oct</v>
      </c>
      <c r="L452" s="20" t="str">
        <f t="shared" si="114"/>
        <v>Oct</v>
      </c>
      <c r="M452" s="20" t="str">
        <f t="shared" si="114"/>
        <v>Oct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6</v>
      </c>
      <c r="H453" s="25">
        <f>+$H$5</f>
        <v>13</v>
      </c>
      <c r="I453" s="25">
        <f>+$I$5</f>
        <v>20</v>
      </c>
      <c r="J453" s="25">
        <f>+$J$5</f>
        <v>27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74</v>
      </c>
      <c r="H455" s="31">
        <f t="shared" ref="H455:L455" si="115">SUM(H456:H459)</f>
        <v>95</v>
      </c>
      <c r="I455" s="31">
        <f t="shared" si="115"/>
        <v>89</v>
      </c>
      <c r="J455" s="31">
        <f t="shared" si="115"/>
        <v>66</v>
      </c>
      <c r="K455" s="31">
        <f t="shared" si="115"/>
        <v>0</v>
      </c>
      <c r="L455" s="31">
        <f t="shared" si="115"/>
        <v>324</v>
      </c>
      <c r="M455" s="31">
        <f>ROUND((L455/$E$1),0)</f>
        <v>81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9</v>
      </c>
      <c r="H456" s="42">
        <v>9</v>
      </c>
      <c r="I456" s="42">
        <v>8</v>
      </c>
      <c r="J456" s="42">
        <v>6</v>
      </c>
      <c r="K456" s="42"/>
      <c r="L456" s="35">
        <f>SUM(G456:K456)</f>
        <v>32</v>
      </c>
      <c r="M456" s="35">
        <f t="shared" ref="M456:M464" si="116">ROUND((L456/$E$1),0)</f>
        <v>8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5</v>
      </c>
      <c r="H457" s="42">
        <v>11</v>
      </c>
      <c r="I457" s="42">
        <v>5</v>
      </c>
      <c r="J457" s="42">
        <v>4</v>
      </c>
      <c r="K457" s="42"/>
      <c r="L457" s="35">
        <f t="shared" ref="L457:L464" si="117">SUM(G457:K457)</f>
        <v>25</v>
      </c>
      <c r="M457" s="35">
        <f t="shared" si="116"/>
        <v>6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11</v>
      </c>
      <c r="H458" s="42">
        <v>22</v>
      </c>
      <c r="I458" s="42">
        <v>14</v>
      </c>
      <c r="J458" s="42">
        <v>13</v>
      </c>
      <c r="K458" s="42"/>
      <c r="L458" s="35">
        <f t="shared" si="117"/>
        <v>60</v>
      </c>
      <c r="M458" s="35">
        <f t="shared" si="116"/>
        <v>15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49</v>
      </c>
      <c r="H459" s="43">
        <v>53</v>
      </c>
      <c r="I459" s="43">
        <v>62</v>
      </c>
      <c r="J459" s="43">
        <v>43</v>
      </c>
      <c r="K459" s="43"/>
      <c r="L459" s="31">
        <f t="shared" si="117"/>
        <v>207</v>
      </c>
      <c r="M459" s="31">
        <f t="shared" si="116"/>
        <v>52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>
        <v>0</v>
      </c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3</v>
      </c>
      <c r="H462" s="42">
        <v>7</v>
      </c>
      <c r="I462" s="42">
        <v>5</v>
      </c>
      <c r="J462" s="42">
        <v>7</v>
      </c>
      <c r="K462" s="42"/>
      <c r="L462" s="35">
        <f t="shared" si="117"/>
        <v>22</v>
      </c>
      <c r="M462" s="35">
        <f t="shared" si="116"/>
        <v>6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2024</v>
      </c>
      <c r="H467" s="10">
        <f>+G467</f>
        <v>2024</v>
      </c>
      <c r="I467" s="10">
        <f t="shared" ref="I467:M468" si="118">+H467</f>
        <v>2024</v>
      </c>
      <c r="J467" s="10">
        <f t="shared" si="118"/>
        <v>2024</v>
      </c>
      <c r="K467" s="10">
        <f t="shared" si="118"/>
        <v>2024</v>
      </c>
      <c r="L467" s="10">
        <f t="shared" si="118"/>
        <v>2024</v>
      </c>
      <c r="M467" s="10">
        <f t="shared" si="118"/>
        <v>2024</v>
      </c>
      <c r="N467" s="11"/>
      <c r="S467" s="12" t="str">
        <f>+C467</f>
        <v>Sgombeni</v>
      </c>
      <c r="T467" s="13">
        <f>+L471</f>
        <v>283</v>
      </c>
      <c r="U467" s="13">
        <f>+L472+L473</f>
        <v>86</v>
      </c>
      <c r="V467" s="13">
        <f>+L474+L475</f>
        <v>197</v>
      </c>
      <c r="W467" s="13">
        <f>+L478</f>
        <v>17</v>
      </c>
      <c r="X467" s="13">
        <f>+L476</f>
        <v>0</v>
      </c>
    </row>
    <row r="468" spans="1:24" x14ac:dyDescent="0.25">
      <c r="A468" s="14"/>
      <c r="B468" s="15"/>
      <c r="C468" s="41" t="str">
        <f>+$C452</f>
        <v>October 2024</v>
      </c>
      <c r="D468" s="18"/>
      <c r="E468" s="18"/>
      <c r="F468" s="18"/>
      <c r="G468" s="20" t="str">
        <f>+$G$4</f>
        <v>Oct</v>
      </c>
      <c r="H468" s="20" t="str">
        <f>+G468</f>
        <v>Oct</v>
      </c>
      <c r="I468" s="20" t="str">
        <f t="shared" si="118"/>
        <v>Oct</v>
      </c>
      <c r="J468" s="20" t="str">
        <f t="shared" si="118"/>
        <v>Oct</v>
      </c>
      <c r="K468" s="20" t="str">
        <f t="shared" si="118"/>
        <v>Oct</v>
      </c>
      <c r="L468" s="20" t="str">
        <f t="shared" si="118"/>
        <v>Oct</v>
      </c>
      <c r="M468" s="20" t="str">
        <f t="shared" si="118"/>
        <v>Oct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6</v>
      </c>
      <c r="H469" s="25">
        <f>+$H$5</f>
        <v>13</v>
      </c>
      <c r="I469" s="25">
        <f>+$I$5</f>
        <v>20</v>
      </c>
      <c r="J469" s="25">
        <f>+$J$5</f>
        <v>27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93</v>
      </c>
      <c r="H471" s="31">
        <f t="shared" ref="H471:L471" si="119">SUM(H472:H475)</f>
        <v>88</v>
      </c>
      <c r="I471" s="31">
        <f t="shared" si="119"/>
        <v>52</v>
      </c>
      <c r="J471" s="31">
        <f t="shared" si="119"/>
        <v>50</v>
      </c>
      <c r="K471" s="31">
        <f t="shared" si="119"/>
        <v>0</v>
      </c>
      <c r="L471" s="31">
        <f t="shared" si="119"/>
        <v>283</v>
      </c>
      <c r="M471" s="31">
        <f>ROUND((L471/$E$1),0)</f>
        <v>71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10</v>
      </c>
      <c r="H472" s="42">
        <v>8</v>
      </c>
      <c r="I472" s="42">
        <v>4</v>
      </c>
      <c r="J472" s="42">
        <v>7</v>
      </c>
      <c r="K472" s="42"/>
      <c r="L472" s="35">
        <f>SUM(G472:K472)</f>
        <v>29</v>
      </c>
      <c r="M472" s="35">
        <f t="shared" ref="M472:M480" si="120">ROUND((L472/$E$1),0)</f>
        <v>7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16</v>
      </c>
      <c r="H473" s="42">
        <v>20</v>
      </c>
      <c r="I473" s="42">
        <v>11</v>
      </c>
      <c r="J473" s="42">
        <v>10</v>
      </c>
      <c r="K473" s="42"/>
      <c r="L473" s="35">
        <f t="shared" ref="L473:L480" si="121">SUM(G473:K473)</f>
        <v>57</v>
      </c>
      <c r="M473" s="35">
        <f t="shared" si="120"/>
        <v>14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21</v>
      </c>
      <c r="H474" s="42">
        <v>22</v>
      </c>
      <c r="I474" s="42">
        <v>14</v>
      </c>
      <c r="J474" s="42">
        <v>12</v>
      </c>
      <c r="K474" s="42"/>
      <c r="L474" s="35">
        <f t="shared" si="121"/>
        <v>69</v>
      </c>
      <c r="M474" s="35">
        <f t="shared" si="120"/>
        <v>17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46</v>
      </c>
      <c r="H475" s="43">
        <v>38</v>
      </c>
      <c r="I475" s="43">
        <v>23</v>
      </c>
      <c r="J475" s="43">
        <v>21</v>
      </c>
      <c r="K475" s="43"/>
      <c r="L475" s="31">
        <f t="shared" si="121"/>
        <v>128</v>
      </c>
      <c r="M475" s="31">
        <f t="shared" si="120"/>
        <v>32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4</v>
      </c>
      <c r="H478" s="42">
        <v>5</v>
      </c>
      <c r="I478" s="42">
        <v>4</v>
      </c>
      <c r="J478" s="42">
        <v>4</v>
      </c>
      <c r="K478" s="42"/>
      <c r="L478" s="35">
        <f t="shared" si="121"/>
        <v>17</v>
      </c>
      <c r="M478" s="35">
        <f t="shared" si="120"/>
        <v>4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>
        <v>45</v>
      </c>
      <c r="H479" s="42">
        <v>40</v>
      </c>
      <c r="I479" s="42">
        <v>25</v>
      </c>
      <c r="J479" s="42">
        <v>20</v>
      </c>
      <c r="K479" s="42"/>
      <c r="L479" s="35">
        <f t="shared" si="121"/>
        <v>130</v>
      </c>
      <c r="M479" s="35">
        <f t="shared" si="120"/>
        <v>33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2024</v>
      </c>
      <c r="H483" s="10">
        <f>+G483</f>
        <v>2024</v>
      </c>
      <c r="I483" s="10">
        <f t="shared" ref="I483:M484" si="122">+H483</f>
        <v>2024</v>
      </c>
      <c r="J483" s="10">
        <f t="shared" si="122"/>
        <v>2024</v>
      </c>
      <c r="K483" s="10">
        <f t="shared" si="122"/>
        <v>2024</v>
      </c>
      <c r="L483" s="10">
        <f t="shared" si="122"/>
        <v>2024</v>
      </c>
      <c r="M483" s="10">
        <f t="shared" si="122"/>
        <v>2024</v>
      </c>
      <c r="N483" s="11"/>
      <c r="S483" s="12" t="str">
        <f>+C483</f>
        <v>Lushikishini</v>
      </c>
      <c r="T483" s="13">
        <f>+L487</f>
        <v>199</v>
      </c>
      <c r="U483" s="13">
        <f>+L488+L489</f>
        <v>70</v>
      </c>
      <c r="V483" s="13">
        <f>+L490+L491</f>
        <v>129</v>
      </c>
      <c r="W483" s="13">
        <f>+L494</f>
        <v>66</v>
      </c>
      <c r="X483" s="13">
        <f>+L492</f>
        <v>2</v>
      </c>
    </row>
    <row r="484" spans="1:24" x14ac:dyDescent="0.25">
      <c r="A484" s="14"/>
      <c r="B484" s="15"/>
      <c r="C484" s="41" t="str">
        <f>+$C468</f>
        <v>October 2024</v>
      </c>
      <c r="D484" s="18"/>
      <c r="E484" s="18"/>
      <c r="F484" s="18"/>
      <c r="G484" s="20" t="str">
        <f>+$G$4</f>
        <v>Oct</v>
      </c>
      <c r="H484" s="20" t="str">
        <f>+G484</f>
        <v>Oct</v>
      </c>
      <c r="I484" s="20" t="str">
        <f t="shared" si="122"/>
        <v>Oct</v>
      </c>
      <c r="J484" s="20" t="str">
        <f t="shared" si="122"/>
        <v>Oct</v>
      </c>
      <c r="K484" s="20" t="str">
        <f t="shared" si="122"/>
        <v>Oct</v>
      </c>
      <c r="L484" s="20" t="str">
        <f t="shared" si="122"/>
        <v>Oct</v>
      </c>
      <c r="M484" s="20" t="str">
        <f t="shared" si="122"/>
        <v>Oct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6</v>
      </c>
      <c r="H485" s="25">
        <f>+$H$5</f>
        <v>13</v>
      </c>
      <c r="I485" s="25">
        <f>+$I$5</f>
        <v>20</v>
      </c>
      <c r="J485" s="25">
        <f>+$J$5</f>
        <v>27</v>
      </c>
      <c r="K485" s="25">
        <f>+$K$5</f>
        <v>0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66</v>
      </c>
      <c r="H487" s="31">
        <f t="shared" ref="H487:L487" si="123">SUM(H488:H491)</f>
        <v>51</v>
      </c>
      <c r="I487" s="31">
        <f t="shared" si="123"/>
        <v>39</v>
      </c>
      <c r="J487" s="31">
        <f t="shared" si="123"/>
        <v>43</v>
      </c>
      <c r="K487" s="31">
        <f t="shared" si="123"/>
        <v>0</v>
      </c>
      <c r="L487" s="31">
        <f t="shared" si="123"/>
        <v>199</v>
      </c>
      <c r="M487" s="31">
        <f>ROUND((L487/$E$1),0)</f>
        <v>50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4</v>
      </c>
      <c r="H488" s="42">
        <v>5</v>
      </c>
      <c r="I488" s="42">
        <v>3</v>
      </c>
      <c r="J488" s="42">
        <v>4</v>
      </c>
      <c r="K488" s="42"/>
      <c r="L488" s="35">
        <f>SUM(G488:K488)</f>
        <v>16</v>
      </c>
      <c r="M488" s="35">
        <f t="shared" ref="M488:M496" si="124">ROUND((L488/$E$1),0)</f>
        <v>4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14</v>
      </c>
      <c r="H489" s="42">
        <v>13</v>
      </c>
      <c r="I489" s="42">
        <v>14</v>
      </c>
      <c r="J489" s="42">
        <v>13</v>
      </c>
      <c r="K489" s="42"/>
      <c r="L489" s="35">
        <f t="shared" ref="L489:L496" si="125">SUM(G489:K489)</f>
        <v>54</v>
      </c>
      <c r="M489" s="35">
        <f t="shared" si="124"/>
        <v>14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13</v>
      </c>
      <c r="H490" s="42">
        <v>10</v>
      </c>
      <c r="I490" s="42">
        <v>7</v>
      </c>
      <c r="J490" s="42">
        <v>11</v>
      </c>
      <c r="K490" s="42"/>
      <c r="L490" s="35">
        <f t="shared" si="125"/>
        <v>41</v>
      </c>
      <c r="M490" s="35">
        <f t="shared" si="124"/>
        <v>10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35</v>
      </c>
      <c r="H491" s="43">
        <v>23</v>
      </c>
      <c r="I491" s="43">
        <v>15</v>
      </c>
      <c r="J491" s="43">
        <v>15</v>
      </c>
      <c r="K491" s="43"/>
      <c r="L491" s="31">
        <f t="shared" si="125"/>
        <v>88</v>
      </c>
      <c r="M491" s="31">
        <f t="shared" si="124"/>
        <v>22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>
        <v>2</v>
      </c>
      <c r="H492" s="42"/>
      <c r="I492" s="42"/>
      <c r="J492" s="42"/>
      <c r="K492" s="42"/>
      <c r="L492" s="35">
        <f t="shared" si="125"/>
        <v>2</v>
      </c>
      <c r="M492" s="35">
        <f t="shared" si="124"/>
        <v>1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>
        <v>64</v>
      </c>
      <c r="I494" s="42"/>
      <c r="J494" s="42">
        <v>2</v>
      </c>
      <c r="K494" s="42"/>
      <c r="L494" s="35">
        <f t="shared" si="125"/>
        <v>66</v>
      </c>
      <c r="M494" s="35">
        <f t="shared" si="124"/>
        <v>17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>
        <v>352</v>
      </c>
      <c r="H495" s="42"/>
      <c r="I495" s="42"/>
      <c r="J495" s="42"/>
      <c r="K495" s="42"/>
      <c r="L495" s="35">
        <f t="shared" si="125"/>
        <v>352</v>
      </c>
      <c r="M495" s="35">
        <f t="shared" si="124"/>
        <v>88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2024</v>
      </c>
      <c r="H499" s="10">
        <f>+G499</f>
        <v>2024</v>
      </c>
      <c r="I499" s="10">
        <f t="shared" ref="I499:M500" si="126">+H499</f>
        <v>2024</v>
      </c>
      <c r="J499" s="10">
        <f t="shared" si="126"/>
        <v>2024</v>
      </c>
      <c r="K499" s="10">
        <f t="shared" si="126"/>
        <v>2024</v>
      </c>
      <c r="L499" s="10">
        <f t="shared" si="126"/>
        <v>2024</v>
      </c>
      <c r="M499" s="10">
        <f t="shared" si="126"/>
        <v>2024</v>
      </c>
      <c r="N499" s="11"/>
      <c r="S499" s="12" t="str">
        <f>+C499</f>
        <v>Sigengeni (Shiselweni)</v>
      </c>
      <c r="T499" s="13">
        <f>+L503</f>
        <v>383</v>
      </c>
      <c r="U499" s="13">
        <f>+L504+L505</f>
        <v>63</v>
      </c>
      <c r="V499" s="13">
        <f>+L506+L507</f>
        <v>320</v>
      </c>
      <c r="W499" s="13">
        <f>+L510</f>
        <v>8</v>
      </c>
      <c r="X499" s="13">
        <f>+L508</f>
        <v>12</v>
      </c>
    </row>
    <row r="500" spans="1:24" x14ac:dyDescent="0.25">
      <c r="A500" s="14"/>
      <c r="B500" s="15"/>
      <c r="C500" s="41" t="str">
        <f>+$C484</f>
        <v>October 2024</v>
      </c>
      <c r="D500" s="18"/>
      <c r="E500" s="18"/>
      <c r="F500" s="18"/>
      <c r="G500" s="20" t="str">
        <f>+$G$4</f>
        <v>Oct</v>
      </c>
      <c r="H500" s="20" t="str">
        <f>+G500</f>
        <v>Oct</v>
      </c>
      <c r="I500" s="20" t="str">
        <f t="shared" si="126"/>
        <v>Oct</v>
      </c>
      <c r="J500" s="20" t="str">
        <f t="shared" si="126"/>
        <v>Oct</v>
      </c>
      <c r="K500" s="20" t="str">
        <f t="shared" si="126"/>
        <v>Oct</v>
      </c>
      <c r="L500" s="20" t="str">
        <f t="shared" si="126"/>
        <v>Oct</v>
      </c>
      <c r="M500" s="20" t="str">
        <f t="shared" si="126"/>
        <v>Oct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6</v>
      </c>
      <c r="H501" s="25">
        <f>+$H$5</f>
        <v>13</v>
      </c>
      <c r="I501" s="25">
        <f>+$I$5</f>
        <v>20</v>
      </c>
      <c r="J501" s="25">
        <f>+$J$5</f>
        <v>27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131</v>
      </c>
      <c r="H503" s="31">
        <f t="shared" ref="H503:L503" si="127">SUM(H504:H507)</f>
        <v>113</v>
      </c>
      <c r="I503" s="31">
        <f t="shared" si="127"/>
        <v>54</v>
      </c>
      <c r="J503" s="31">
        <f t="shared" si="127"/>
        <v>85</v>
      </c>
      <c r="K503" s="31">
        <f t="shared" si="127"/>
        <v>0</v>
      </c>
      <c r="L503" s="31">
        <f t="shared" si="127"/>
        <v>383</v>
      </c>
      <c r="M503" s="31">
        <f>ROUND((L503/$E$1),0)</f>
        <v>96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7</v>
      </c>
      <c r="H504" s="42">
        <v>3</v>
      </c>
      <c r="I504" s="42">
        <v>3</v>
      </c>
      <c r="J504" s="42">
        <v>2</v>
      </c>
      <c r="K504" s="42"/>
      <c r="L504" s="35">
        <f>SUM(G504:K504)</f>
        <v>15</v>
      </c>
      <c r="M504" s="35">
        <f t="shared" ref="M504:M512" si="128">ROUND((L504/$E$1),0)</f>
        <v>4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15</v>
      </c>
      <c r="H505" s="42">
        <v>14</v>
      </c>
      <c r="I505" s="42">
        <v>9</v>
      </c>
      <c r="J505" s="42">
        <v>10</v>
      </c>
      <c r="K505" s="42"/>
      <c r="L505" s="35">
        <f t="shared" ref="L505:L512" si="129">SUM(G505:K505)</f>
        <v>48</v>
      </c>
      <c r="M505" s="35">
        <f t="shared" si="128"/>
        <v>12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26</v>
      </c>
      <c r="H506" s="42">
        <v>20</v>
      </c>
      <c r="I506" s="42">
        <v>16</v>
      </c>
      <c r="J506" s="42">
        <v>15</v>
      </c>
      <c r="K506" s="42"/>
      <c r="L506" s="35">
        <f t="shared" si="129"/>
        <v>77</v>
      </c>
      <c r="M506" s="35">
        <f t="shared" si="128"/>
        <v>19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83</v>
      </c>
      <c r="H507" s="43">
        <v>76</v>
      </c>
      <c r="I507" s="43">
        <v>26</v>
      </c>
      <c r="J507" s="43">
        <v>58</v>
      </c>
      <c r="K507" s="43"/>
      <c r="L507" s="31">
        <f t="shared" si="129"/>
        <v>243</v>
      </c>
      <c r="M507" s="31">
        <f t="shared" si="128"/>
        <v>61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>
        <v>8</v>
      </c>
      <c r="H508" s="42">
        <v>1</v>
      </c>
      <c r="I508" s="42"/>
      <c r="J508" s="42">
        <v>3</v>
      </c>
      <c r="K508" s="42"/>
      <c r="L508" s="35">
        <f t="shared" si="129"/>
        <v>12</v>
      </c>
      <c r="M508" s="35">
        <f t="shared" si="128"/>
        <v>3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2</v>
      </c>
      <c r="H510" s="42">
        <v>2</v>
      </c>
      <c r="I510" s="42">
        <v>2</v>
      </c>
      <c r="J510" s="42">
        <v>2</v>
      </c>
      <c r="K510" s="42"/>
      <c r="L510" s="35">
        <f t="shared" si="129"/>
        <v>8</v>
      </c>
      <c r="M510" s="35">
        <f t="shared" si="128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32</v>
      </c>
      <c r="H511" s="42">
        <v>160</v>
      </c>
      <c r="I511" s="42">
        <v>64</v>
      </c>
      <c r="J511" s="42">
        <v>96</v>
      </c>
      <c r="K511" s="42"/>
      <c r="L511" s="35">
        <f t="shared" si="129"/>
        <v>352</v>
      </c>
      <c r="M511" s="35">
        <f t="shared" si="128"/>
        <v>88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2024</v>
      </c>
      <c r="H515" s="10">
        <f>+G515</f>
        <v>2024</v>
      </c>
      <c r="I515" s="10">
        <f t="shared" ref="I515:M516" si="130">+H515</f>
        <v>2024</v>
      </c>
      <c r="J515" s="10">
        <f t="shared" si="130"/>
        <v>2024</v>
      </c>
      <c r="K515" s="10">
        <f t="shared" si="130"/>
        <v>2024</v>
      </c>
      <c r="L515" s="10">
        <f t="shared" si="130"/>
        <v>2024</v>
      </c>
      <c r="M515" s="10">
        <f t="shared" si="130"/>
        <v>2024</v>
      </c>
      <c r="N515" s="11"/>
      <c r="S515" s="12" t="str">
        <f>+C515</f>
        <v>Gundviwini</v>
      </c>
      <c r="T515" s="13">
        <f>+L519</f>
        <v>197</v>
      </c>
      <c r="U515" s="13">
        <f>+L520+L521</f>
        <v>61</v>
      </c>
      <c r="V515" s="13">
        <f>+L522+L523</f>
        <v>136</v>
      </c>
      <c r="W515" s="13">
        <f>+L526</f>
        <v>6</v>
      </c>
      <c r="X515" s="13">
        <f>+L524</f>
        <v>7</v>
      </c>
    </row>
    <row r="516" spans="1:24" x14ac:dyDescent="0.25">
      <c r="A516" s="14"/>
      <c r="B516" s="15"/>
      <c r="C516" s="41" t="str">
        <f>+$C500</f>
        <v>October 2024</v>
      </c>
      <c r="D516" s="18"/>
      <c r="E516" s="18"/>
      <c r="F516" s="18"/>
      <c r="G516" s="20" t="str">
        <f>+$G$4</f>
        <v>Oct</v>
      </c>
      <c r="H516" s="20" t="str">
        <f>+G516</f>
        <v>Oct</v>
      </c>
      <c r="I516" s="20" t="str">
        <f t="shared" si="130"/>
        <v>Oct</v>
      </c>
      <c r="J516" s="20" t="str">
        <f t="shared" si="130"/>
        <v>Oct</v>
      </c>
      <c r="K516" s="20" t="str">
        <f t="shared" si="130"/>
        <v>Oct</v>
      </c>
      <c r="L516" s="20" t="str">
        <f t="shared" si="130"/>
        <v>Oct</v>
      </c>
      <c r="M516" s="20" t="str">
        <f t="shared" si="130"/>
        <v>Oct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6</v>
      </c>
      <c r="H517" s="25">
        <f>+$H$5</f>
        <v>13</v>
      </c>
      <c r="I517" s="25">
        <f>+$I$5</f>
        <v>20</v>
      </c>
      <c r="J517" s="25">
        <f>+$J$5</f>
        <v>27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42</v>
      </c>
      <c r="H519" s="31">
        <f t="shared" ref="H519:L519" si="131">SUM(H520:H523)</f>
        <v>47</v>
      </c>
      <c r="I519" s="31">
        <f t="shared" si="131"/>
        <v>53</v>
      </c>
      <c r="J519" s="31">
        <f t="shared" si="131"/>
        <v>55</v>
      </c>
      <c r="K519" s="31">
        <f t="shared" si="131"/>
        <v>0</v>
      </c>
      <c r="L519" s="31">
        <f t="shared" si="131"/>
        <v>197</v>
      </c>
      <c r="M519" s="31">
        <f>ROUND((L519/$E$1),0)</f>
        <v>49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4</v>
      </c>
      <c r="H520" s="42">
        <v>5</v>
      </c>
      <c r="I520" s="42">
        <v>8</v>
      </c>
      <c r="J520" s="42">
        <v>10</v>
      </c>
      <c r="K520" s="42"/>
      <c r="L520" s="35">
        <f>SUM(G520:K520)</f>
        <v>27</v>
      </c>
      <c r="M520" s="35">
        <f t="shared" ref="M520:M528" si="132">ROUND((L520/$E$1),0)</f>
        <v>7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8</v>
      </c>
      <c r="H521" s="42">
        <v>11</v>
      </c>
      <c r="I521" s="42">
        <v>10</v>
      </c>
      <c r="J521" s="42">
        <v>5</v>
      </c>
      <c r="K521" s="42"/>
      <c r="L521" s="35">
        <f t="shared" ref="L521:L528" si="133">SUM(G521:K521)</f>
        <v>34</v>
      </c>
      <c r="M521" s="35">
        <f t="shared" si="132"/>
        <v>9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10</v>
      </c>
      <c r="H522" s="42">
        <v>8</v>
      </c>
      <c r="I522" s="42">
        <v>10</v>
      </c>
      <c r="J522" s="42">
        <v>8</v>
      </c>
      <c r="K522" s="42"/>
      <c r="L522" s="35">
        <f t="shared" si="133"/>
        <v>36</v>
      </c>
      <c r="M522" s="35">
        <f t="shared" si="132"/>
        <v>9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20</v>
      </c>
      <c r="H523" s="43">
        <v>23</v>
      </c>
      <c r="I523" s="43">
        <v>25</v>
      </c>
      <c r="J523" s="43">
        <v>32</v>
      </c>
      <c r="K523" s="43"/>
      <c r="L523" s="31">
        <f t="shared" si="133"/>
        <v>100</v>
      </c>
      <c r="M523" s="31">
        <f t="shared" si="132"/>
        <v>25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/>
      <c r="I524" s="42">
        <v>6</v>
      </c>
      <c r="J524" s="42">
        <v>1</v>
      </c>
      <c r="K524" s="42"/>
      <c r="L524" s="35">
        <f t="shared" si="133"/>
        <v>7</v>
      </c>
      <c r="M524" s="35">
        <f t="shared" si="132"/>
        <v>2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/>
      <c r="I526" s="42">
        <v>4</v>
      </c>
      <c r="J526" s="42">
        <v>2</v>
      </c>
      <c r="K526" s="42"/>
      <c r="L526" s="35">
        <f t="shared" si="133"/>
        <v>6</v>
      </c>
      <c r="M526" s="35">
        <f t="shared" si="132"/>
        <v>2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>
        <v>128</v>
      </c>
      <c r="I527" s="42"/>
      <c r="J527" s="42"/>
      <c r="K527" s="42"/>
      <c r="L527" s="35">
        <f t="shared" si="133"/>
        <v>128</v>
      </c>
      <c r="M527" s="35">
        <f t="shared" si="132"/>
        <v>32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2024</v>
      </c>
      <c r="H531" s="10">
        <f>+G531</f>
        <v>2024</v>
      </c>
      <c r="I531" s="10">
        <f t="shared" ref="I531:M532" si="134">+H531</f>
        <v>2024</v>
      </c>
      <c r="J531" s="10">
        <f t="shared" si="134"/>
        <v>2024</v>
      </c>
      <c r="K531" s="10">
        <f t="shared" si="134"/>
        <v>2024</v>
      </c>
      <c r="L531" s="10">
        <f t="shared" si="134"/>
        <v>2024</v>
      </c>
      <c r="M531" s="10">
        <f t="shared" si="134"/>
        <v>2024</v>
      </c>
      <c r="N531" s="11"/>
      <c r="P531" s="44"/>
      <c r="S531" s="12" t="str">
        <f>+C531</f>
        <v>Mcuba</v>
      </c>
      <c r="T531" s="13">
        <f>+L535</f>
        <v>187</v>
      </c>
      <c r="U531" s="13">
        <f>+L536+L537</f>
        <v>42</v>
      </c>
      <c r="V531" s="13">
        <f>+L538+L539</f>
        <v>145</v>
      </c>
      <c r="W531" s="13">
        <f>+L542</f>
        <v>0</v>
      </c>
      <c r="X531" s="13">
        <f>+L540</f>
        <v>0</v>
      </c>
    </row>
    <row r="532" spans="1:24" x14ac:dyDescent="0.25">
      <c r="A532" s="14"/>
      <c r="B532" s="15"/>
      <c r="C532" s="41" t="str">
        <f>+$C516</f>
        <v>October 2024</v>
      </c>
      <c r="D532" s="18"/>
      <c r="E532" s="18"/>
      <c r="F532" s="18"/>
      <c r="G532" s="20" t="str">
        <f>+$G$4</f>
        <v>Oct</v>
      </c>
      <c r="H532" s="20" t="str">
        <f>+G532</f>
        <v>Oct</v>
      </c>
      <c r="I532" s="20" t="str">
        <f t="shared" si="134"/>
        <v>Oct</v>
      </c>
      <c r="J532" s="20" t="str">
        <f t="shared" si="134"/>
        <v>Oct</v>
      </c>
      <c r="K532" s="20" t="str">
        <f t="shared" si="134"/>
        <v>Oct</v>
      </c>
      <c r="L532" s="20" t="str">
        <f t="shared" si="134"/>
        <v>Oct</v>
      </c>
      <c r="M532" s="20" t="str">
        <f t="shared" si="134"/>
        <v>Oct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6</v>
      </c>
      <c r="H533" s="25">
        <f>+$H$5</f>
        <v>13</v>
      </c>
      <c r="I533" s="25">
        <f>+$I$5</f>
        <v>20</v>
      </c>
      <c r="J533" s="25">
        <f>+$J$5</f>
        <v>27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53</v>
      </c>
      <c r="H535" s="31">
        <f t="shared" ref="H535:L535" si="135">SUM(H536:H539)</f>
        <v>14</v>
      </c>
      <c r="I535" s="31">
        <f t="shared" si="135"/>
        <v>71</v>
      </c>
      <c r="J535" s="31">
        <f t="shared" si="135"/>
        <v>49</v>
      </c>
      <c r="K535" s="31">
        <f t="shared" si="135"/>
        <v>0</v>
      </c>
      <c r="L535" s="31">
        <f t="shared" si="135"/>
        <v>187</v>
      </c>
      <c r="M535" s="31">
        <f>ROUND((L535/$E$1),0)</f>
        <v>47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3</v>
      </c>
      <c r="H536" s="42">
        <v>1</v>
      </c>
      <c r="I536" s="42">
        <v>3</v>
      </c>
      <c r="J536" s="42">
        <v>3</v>
      </c>
      <c r="K536" s="42"/>
      <c r="L536" s="35">
        <f>SUM(G536:K536)</f>
        <v>10</v>
      </c>
      <c r="M536" s="35">
        <f t="shared" ref="M536:M544" si="136">ROUND((L536/$E$1),0)</f>
        <v>3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8</v>
      </c>
      <c r="H537" s="42">
        <v>3</v>
      </c>
      <c r="I537" s="42">
        <v>13</v>
      </c>
      <c r="J537" s="42">
        <v>8</v>
      </c>
      <c r="K537" s="42"/>
      <c r="L537" s="35">
        <f t="shared" ref="L537:L544" si="137">SUM(G537:K537)</f>
        <v>32</v>
      </c>
      <c r="M537" s="35">
        <f t="shared" si="136"/>
        <v>8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8</v>
      </c>
      <c r="H538" s="42">
        <v>4</v>
      </c>
      <c r="I538" s="42">
        <v>20</v>
      </c>
      <c r="J538" s="42">
        <v>16</v>
      </c>
      <c r="K538" s="42"/>
      <c r="L538" s="35">
        <f t="shared" si="137"/>
        <v>48</v>
      </c>
      <c r="M538" s="35">
        <f t="shared" si="136"/>
        <v>12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34</v>
      </c>
      <c r="H539" s="43">
        <v>6</v>
      </c>
      <c r="I539" s="43">
        <v>35</v>
      </c>
      <c r="J539" s="43">
        <v>22</v>
      </c>
      <c r="K539" s="43"/>
      <c r="L539" s="31">
        <f t="shared" si="137"/>
        <v>97</v>
      </c>
      <c r="M539" s="31">
        <f t="shared" si="136"/>
        <v>24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/>
      <c r="J542" s="42"/>
      <c r="K542" s="42"/>
      <c r="L542" s="35">
        <f t="shared" si="137"/>
        <v>0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/>
      <c r="H543" s="42">
        <v>96</v>
      </c>
      <c r="I543" s="42">
        <v>96</v>
      </c>
      <c r="J543" s="42">
        <v>128</v>
      </c>
      <c r="K543" s="42"/>
      <c r="L543" s="35">
        <f t="shared" si="137"/>
        <v>320</v>
      </c>
      <c r="M543" s="35">
        <f t="shared" si="136"/>
        <v>80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2024</v>
      </c>
      <c r="H547" s="10">
        <f>+G547</f>
        <v>2024</v>
      </c>
      <c r="I547" s="10">
        <f t="shared" ref="I547:M548" si="138">+H547</f>
        <v>2024</v>
      </c>
      <c r="J547" s="10">
        <f t="shared" si="138"/>
        <v>2024</v>
      </c>
      <c r="K547" s="10">
        <f t="shared" si="138"/>
        <v>2024</v>
      </c>
      <c r="L547" s="10">
        <f t="shared" si="138"/>
        <v>2024</v>
      </c>
      <c r="M547" s="10">
        <f t="shared" si="138"/>
        <v>2024</v>
      </c>
      <c r="N547" s="11"/>
      <c r="P547" s="44"/>
      <c r="S547" s="12" t="str">
        <f>+C547</f>
        <v>Phonjwane</v>
      </c>
      <c r="T547" s="13">
        <f>+L551</f>
        <v>374</v>
      </c>
      <c r="U547" s="13">
        <f>+L552+L553</f>
        <v>64</v>
      </c>
      <c r="V547" s="13">
        <f>+L554+L555</f>
        <v>310</v>
      </c>
      <c r="W547" s="13">
        <f>+L558</f>
        <v>10</v>
      </c>
      <c r="X547" s="13">
        <f>+L556</f>
        <v>8</v>
      </c>
    </row>
    <row r="548" spans="1:24" x14ac:dyDescent="0.25">
      <c r="A548" s="14"/>
      <c r="B548" s="15"/>
      <c r="C548" s="41" t="str">
        <f>+$C532</f>
        <v>October 2024</v>
      </c>
      <c r="D548" s="18"/>
      <c r="E548" s="18"/>
      <c r="F548" s="18"/>
      <c r="G548" s="20" t="str">
        <f>+$G$4</f>
        <v>Oct</v>
      </c>
      <c r="H548" s="20" t="str">
        <f>+G548</f>
        <v>Oct</v>
      </c>
      <c r="I548" s="20" t="str">
        <f t="shared" si="138"/>
        <v>Oct</v>
      </c>
      <c r="J548" s="20" t="str">
        <f t="shared" si="138"/>
        <v>Oct</v>
      </c>
      <c r="K548" s="20" t="str">
        <f t="shared" si="138"/>
        <v>Oct</v>
      </c>
      <c r="L548" s="20" t="str">
        <f t="shared" si="138"/>
        <v>Oct</v>
      </c>
      <c r="M548" s="20" t="str">
        <f t="shared" si="138"/>
        <v>Oct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6</v>
      </c>
      <c r="H549" s="25">
        <f>+$H$5</f>
        <v>13</v>
      </c>
      <c r="I549" s="25">
        <f>+$I$5</f>
        <v>20</v>
      </c>
      <c r="J549" s="25">
        <f>+$J$5</f>
        <v>27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91</v>
      </c>
      <c r="H551" s="31">
        <f t="shared" ref="H551:L551" si="139">SUM(H552:H555)</f>
        <v>103</v>
      </c>
      <c r="I551" s="31">
        <f t="shared" si="139"/>
        <v>77</v>
      </c>
      <c r="J551" s="31">
        <f t="shared" si="139"/>
        <v>103</v>
      </c>
      <c r="K551" s="31">
        <f t="shared" si="139"/>
        <v>0</v>
      </c>
      <c r="L551" s="31">
        <f t="shared" si="139"/>
        <v>374</v>
      </c>
      <c r="M551" s="31">
        <f>ROUND((L551/$E$1),0)</f>
        <v>94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5</v>
      </c>
      <c r="H552" s="42">
        <v>4</v>
      </c>
      <c r="I552" s="42">
        <v>2</v>
      </c>
      <c r="J552" s="42">
        <v>4</v>
      </c>
      <c r="K552" s="42"/>
      <c r="L552" s="35">
        <f>SUM(G552:K552)</f>
        <v>15</v>
      </c>
      <c r="M552" s="35">
        <f t="shared" ref="M552:M560" si="140">ROUND((L552/$E$1),0)</f>
        <v>4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11</v>
      </c>
      <c r="H553" s="42">
        <v>11</v>
      </c>
      <c r="I553" s="42">
        <v>13</v>
      </c>
      <c r="J553" s="42">
        <v>14</v>
      </c>
      <c r="K553" s="42"/>
      <c r="L553" s="35">
        <f t="shared" ref="L553:L560" si="141">SUM(G553:K553)</f>
        <v>49</v>
      </c>
      <c r="M553" s="35">
        <f t="shared" si="140"/>
        <v>12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17</v>
      </c>
      <c r="H554" s="42">
        <v>19</v>
      </c>
      <c r="I554" s="42">
        <v>18</v>
      </c>
      <c r="J554" s="42">
        <v>17</v>
      </c>
      <c r="K554" s="42"/>
      <c r="L554" s="35">
        <f t="shared" si="141"/>
        <v>71</v>
      </c>
      <c r="M554" s="35">
        <f t="shared" si="140"/>
        <v>18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58</v>
      </c>
      <c r="H555" s="43">
        <v>69</v>
      </c>
      <c r="I555" s="43">
        <v>44</v>
      </c>
      <c r="J555" s="43">
        <v>68</v>
      </c>
      <c r="K555" s="43"/>
      <c r="L555" s="31">
        <f t="shared" si="141"/>
        <v>239</v>
      </c>
      <c r="M555" s="31">
        <f t="shared" si="140"/>
        <v>60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>
        <v>5</v>
      </c>
      <c r="I556" s="42"/>
      <c r="J556" s="42">
        <v>3</v>
      </c>
      <c r="K556" s="42"/>
      <c r="L556" s="35">
        <f t="shared" si="141"/>
        <v>8</v>
      </c>
      <c r="M556" s="35">
        <f t="shared" si="140"/>
        <v>2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3</v>
      </c>
      <c r="H558" s="42">
        <v>2</v>
      </c>
      <c r="I558" s="42">
        <v>3</v>
      </c>
      <c r="J558" s="42">
        <v>2</v>
      </c>
      <c r="K558" s="42"/>
      <c r="L558" s="35">
        <f t="shared" si="141"/>
        <v>10</v>
      </c>
      <c r="M558" s="35">
        <f t="shared" si="140"/>
        <v>3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2024</v>
      </c>
      <c r="H563" s="10">
        <f>+G563</f>
        <v>2024</v>
      </c>
      <c r="I563" s="10">
        <f t="shared" ref="I563:M564" si="142">+H563</f>
        <v>2024</v>
      </c>
      <c r="J563" s="10">
        <f t="shared" si="142"/>
        <v>2024</v>
      </c>
      <c r="K563" s="10">
        <f t="shared" si="142"/>
        <v>2024</v>
      </c>
      <c r="L563" s="10">
        <f t="shared" si="142"/>
        <v>2024</v>
      </c>
      <c r="M563" s="10">
        <f t="shared" si="142"/>
        <v>2024</v>
      </c>
      <c r="N563" s="11"/>
      <c r="P563" s="44"/>
      <c r="S563" s="12" t="str">
        <f>+C563</f>
        <v>Njakeni</v>
      </c>
      <c r="T563" s="13">
        <f>+L567</f>
        <v>184</v>
      </c>
      <c r="U563" s="13">
        <f>+L568+L569</f>
        <v>46</v>
      </c>
      <c r="V563" s="13">
        <f>+L570+L571</f>
        <v>138</v>
      </c>
      <c r="W563" s="13">
        <f>+L574</f>
        <v>12</v>
      </c>
      <c r="X563" s="13">
        <f>+L572</f>
        <v>4</v>
      </c>
    </row>
    <row r="564" spans="1:24" x14ac:dyDescent="0.25">
      <c r="A564" s="14"/>
      <c r="B564" s="15"/>
      <c r="C564" s="41" t="str">
        <f>+$C548</f>
        <v>October 2024</v>
      </c>
      <c r="D564" s="18"/>
      <c r="E564" s="18"/>
      <c r="F564" s="18"/>
      <c r="G564" s="20" t="str">
        <f>+$G$4</f>
        <v>Oct</v>
      </c>
      <c r="H564" s="20" t="str">
        <f>+G564</f>
        <v>Oct</v>
      </c>
      <c r="I564" s="20" t="str">
        <f t="shared" si="142"/>
        <v>Oct</v>
      </c>
      <c r="J564" s="20" t="str">
        <f t="shared" si="142"/>
        <v>Oct</v>
      </c>
      <c r="K564" s="20" t="str">
        <f t="shared" si="142"/>
        <v>Oct</v>
      </c>
      <c r="L564" s="20" t="str">
        <f t="shared" si="142"/>
        <v>Oct</v>
      </c>
      <c r="M564" s="20" t="str">
        <f t="shared" si="142"/>
        <v>Oct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6</v>
      </c>
      <c r="H565" s="25">
        <f>+$H$5</f>
        <v>13</v>
      </c>
      <c r="I565" s="25">
        <f>+$I$5</f>
        <v>20</v>
      </c>
      <c r="J565" s="25">
        <f>+$J$5</f>
        <v>27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48</v>
      </c>
      <c r="H567" s="31">
        <f t="shared" ref="H567:L567" si="143">SUM(H568:H571)</f>
        <v>56</v>
      </c>
      <c r="I567" s="31">
        <f t="shared" si="143"/>
        <v>44</v>
      </c>
      <c r="J567" s="31">
        <f t="shared" si="143"/>
        <v>36</v>
      </c>
      <c r="K567" s="31">
        <f t="shared" si="143"/>
        <v>0</v>
      </c>
      <c r="L567" s="31">
        <f t="shared" si="143"/>
        <v>184</v>
      </c>
      <c r="M567" s="31">
        <f>ROUND((L567/$E$1),0)</f>
        <v>46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1</v>
      </c>
      <c r="H568" s="42">
        <v>2</v>
      </c>
      <c r="I568" s="42">
        <v>2</v>
      </c>
      <c r="J568" s="42">
        <v>2</v>
      </c>
      <c r="K568" s="42"/>
      <c r="L568" s="35">
        <f>SUM(G568:K568)</f>
        <v>7</v>
      </c>
      <c r="M568" s="35">
        <f t="shared" ref="M568:M576" si="144">ROUND((L568/$E$1),0)</f>
        <v>2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13</v>
      </c>
      <c r="H569" s="42">
        <v>8</v>
      </c>
      <c r="I569" s="42">
        <v>8</v>
      </c>
      <c r="J569" s="42">
        <v>10</v>
      </c>
      <c r="K569" s="42"/>
      <c r="L569" s="35">
        <f t="shared" ref="L569:L576" si="145">SUM(G569:K569)</f>
        <v>39</v>
      </c>
      <c r="M569" s="35">
        <f t="shared" si="144"/>
        <v>10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7</v>
      </c>
      <c r="H570" s="42">
        <v>14</v>
      </c>
      <c r="I570" s="42">
        <v>17</v>
      </c>
      <c r="J570" s="42">
        <v>11</v>
      </c>
      <c r="K570" s="42"/>
      <c r="L570" s="35">
        <f t="shared" si="145"/>
        <v>49</v>
      </c>
      <c r="M570" s="35">
        <f t="shared" si="144"/>
        <v>12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27</v>
      </c>
      <c r="H571" s="43">
        <v>32</v>
      </c>
      <c r="I571" s="43">
        <v>17</v>
      </c>
      <c r="J571" s="43">
        <v>13</v>
      </c>
      <c r="K571" s="43"/>
      <c r="L571" s="31">
        <f t="shared" si="145"/>
        <v>89</v>
      </c>
      <c r="M571" s="31">
        <f t="shared" si="144"/>
        <v>22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>
        <v>4</v>
      </c>
      <c r="H572" s="42"/>
      <c r="I572" s="42"/>
      <c r="J572" s="42"/>
      <c r="K572" s="42"/>
      <c r="L572" s="35">
        <f t="shared" si="145"/>
        <v>4</v>
      </c>
      <c r="M572" s="35">
        <f t="shared" si="144"/>
        <v>1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4</v>
      </c>
      <c r="H574" s="42">
        <v>2</v>
      </c>
      <c r="I574" s="42">
        <v>1</v>
      </c>
      <c r="J574" s="42">
        <v>5</v>
      </c>
      <c r="K574" s="42"/>
      <c r="L574" s="35">
        <f t="shared" si="145"/>
        <v>12</v>
      </c>
      <c r="M574" s="35">
        <f t="shared" si="144"/>
        <v>3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144</v>
      </c>
      <c r="H575" s="42">
        <v>108</v>
      </c>
      <c r="I575" s="42">
        <v>180</v>
      </c>
      <c r="J575" s="42">
        <v>54</v>
      </c>
      <c r="K575" s="42"/>
      <c r="L575" s="35">
        <f t="shared" si="145"/>
        <v>486</v>
      </c>
      <c r="M575" s="35">
        <f t="shared" si="144"/>
        <v>122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2024</v>
      </c>
      <c r="H579" s="10">
        <f>+G579</f>
        <v>2024</v>
      </c>
      <c r="I579" s="10">
        <f t="shared" ref="I579:M580" si="146">+H579</f>
        <v>2024</v>
      </c>
      <c r="J579" s="10">
        <f t="shared" si="146"/>
        <v>2024</v>
      </c>
      <c r="K579" s="10">
        <f t="shared" si="146"/>
        <v>2024</v>
      </c>
      <c r="L579" s="10">
        <f t="shared" si="146"/>
        <v>2024</v>
      </c>
      <c r="M579" s="10">
        <f t="shared" si="146"/>
        <v>2024</v>
      </c>
      <c r="N579" s="11"/>
      <c r="P579" s="44"/>
      <c r="S579" s="12" t="str">
        <f>+C579</f>
        <v>Mantabeni</v>
      </c>
      <c r="T579" s="13">
        <f>+L583</f>
        <v>230</v>
      </c>
      <c r="U579" s="13">
        <f>+L584+L585</f>
        <v>50</v>
      </c>
      <c r="V579" s="13">
        <f>+L586+L587</f>
        <v>180</v>
      </c>
      <c r="W579" s="13">
        <f>+L590</f>
        <v>8</v>
      </c>
      <c r="X579" s="13">
        <f>+L588</f>
        <v>0</v>
      </c>
    </row>
    <row r="580" spans="1:24" x14ac:dyDescent="0.25">
      <c r="A580" s="14"/>
      <c r="B580" s="15"/>
      <c r="C580" s="41" t="str">
        <f>+$C564</f>
        <v>October 2024</v>
      </c>
      <c r="D580" s="18"/>
      <c r="E580" s="18"/>
      <c r="F580" s="18"/>
      <c r="G580" s="20" t="str">
        <f>+$G$4</f>
        <v>Oct</v>
      </c>
      <c r="H580" s="20" t="str">
        <f>+G580</f>
        <v>Oct</v>
      </c>
      <c r="I580" s="20" t="str">
        <f t="shared" si="146"/>
        <v>Oct</v>
      </c>
      <c r="J580" s="20" t="str">
        <f t="shared" si="146"/>
        <v>Oct</v>
      </c>
      <c r="K580" s="20" t="str">
        <f t="shared" si="146"/>
        <v>Oct</v>
      </c>
      <c r="L580" s="20" t="str">
        <f t="shared" si="146"/>
        <v>Oct</v>
      </c>
      <c r="M580" s="20" t="str">
        <f t="shared" si="146"/>
        <v>Oct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6</v>
      </c>
      <c r="H581" s="25">
        <f>+$H$5</f>
        <v>13</v>
      </c>
      <c r="I581" s="25">
        <f>+$I$5</f>
        <v>20</v>
      </c>
      <c r="J581" s="25">
        <f>+$J$5</f>
        <v>27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39</v>
      </c>
      <c r="H583" s="31">
        <f t="shared" ref="H583:L583" si="147">SUM(H584:H587)</f>
        <v>57</v>
      </c>
      <c r="I583" s="31">
        <f t="shared" si="147"/>
        <v>60</v>
      </c>
      <c r="J583" s="31">
        <f t="shared" si="147"/>
        <v>74</v>
      </c>
      <c r="K583" s="31">
        <f t="shared" si="147"/>
        <v>0</v>
      </c>
      <c r="L583" s="31">
        <f t="shared" si="147"/>
        <v>230</v>
      </c>
      <c r="M583" s="31">
        <f>ROUND((L583/$E$1),0)</f>
        <v>58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3</v>
      </c>
      <c r="H584" s="42">
        <v>3</v>
      </c>
      <c r="I584" s="42">
        <v>3</v>
      </c>
      <c r="J584" s="42">
        <v>1</v>
      </c>
      <c r="K584" s="42"/>
      <c r="L584" s="35">
        <f>SUM(G584:K584)</f>
        <v>10</v>
      </c>
      <c r="M584" s="35">
        <f t="shared" ref="M584:M592" si="148">ROUND((L584/$E$1),0)</f>
        <v>3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5</v>
      </c>
      <c r="H585" s="42">
        <v>11</v>
      </c>
      <c r="I585" s="42">
        <v>13</v>
      </c>
      <c r="J585" s="42">
        <v>11</v>
      </c>
      <c r="K585" s="42"/>
      <c r="L585" s="35">
        <f t="shared" ref="L585:L592" si="149">SUM(G585:K585)</f>
        <v>40</v>
      </c>
      <c r="M585" s="35">
        <f t="shared" si="148"/>
        <v>10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6</v>
      </c>
      <c r="H586" s="42">
        <v>8</v>
      </c>
      <c r="I586" s="42">
        <v>8</v>
      </c>
      <c r="J586" s="42">
        <v>13</v>
      </c>
      <c r="K586" s="42"/>
      <c r="L586" s="35">
        <f t="shared" si="149"/>
        <v>35</v>
      </c>
      <c r="M586" s="35">
        <f t="shared" si="148"/>
        <v>9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25</v>
      </c>
      <c r="H587" s="43">
        <v>35</v>
      </c>
      <c r="I587" s="43">
        <v>36</v>
      </c>
      <c r="J587" s="43">
        <v>49</v>
      </c>
      <c r="K587" s="43"/>
      <c r="L587" s="31">
        <f t="shared" si="149"/>
        <v>145</v>
      </c>
      <c r="M587" s="31">
        <f t="shared" si="148"/>
        <v>36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/>
      <c r="H590" s="42">
        <v>2</v>
      </c>
      <c r="I590" s="42">
        <v>4</v>
      </c>
      <c r="J590" s="42">
        <v>2</v>
      </c>
      <c r="K590" s="42"/>
      <c r="L590" s="35">
        <f t="shared" si="149"/>
        <v>8</v>
      </c>
      <c r="M590" s="35">
        <f t="shared" si="148"/>
        <v>2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80</v>
      </c>
      <c r="H591" s="42">
        <v>143</v>
      </c>
      <c r="I591" s="42">
        <v>192</v>
      </c>
      <c r="J591" s="42">
        <v>128</v>
      </c>
      <c r="K591" s="42"/>
      <c r="L591" s="35">
        <f t="shared" si="149"/>
        <v>543</v>
      </c>
      <c r="M591" s="35">
        <f t="shared" si="148"/>
        <v>136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2024</v>
      </c>
      <c r="H595" s="10">
        <f>+G595</f>
        <v>2024</v>
      </c>
      <c r="I595" s="10">
        <f t="shared" ref="I595:M596" si="150">+H595</f>
        <v>2024</v>
      </c>
      <c r="J595" s="10">
        <f t="shared" si="150"/>
        <v>2024</v>
      </c>
      <c r="K595" s="10">
        <f t="shared" si="150"/>
        <v>2024</v>
      </c>
      <c r="L595" s="10">
        <f t="shared" si="150"/>
        <v>2024</v>
      </c>
      <c r="M595" s="10">
        <f t="shared" si="150"/>
        <v>2024</v>
      </c>
      <c r="N595" s="11"/>
      <c r="S595" s="12" t="str">
        <f>+C595</f>
        <v>Makhungutja</v>
      </c>
      <c r="T595" s="13">
        <f>+L599</f>
        <v>332</v>
      </c>
      <c r="U595" s="13">
        <f>+L600+L601</f>
        <v>74</v>
      </c>
      <c r="V595" s="13">
        <f>+L602+L603</f>
        <v>258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October 2024</v>
      </c>
      <c r="D596" s="18"/>
      <c r="E596" s="18"/>
      <c r="F596" s="18"/>
      <c r="G596" s="20" t="str">
        <f>+$G$4</f>
        <v>Oct</v>
      </c>
      <c r="H596" s="20" t="str">
        <f>+G596</f>
        <v>Oct</v>
      </c>
      <c r="I596" s="20" t="str">
        <f t="shared" si="150"/>
        <v>Oct</v>
      </c>
      <c r="J596" s="20" t="str">
        <f t="shared" si="150"/>
        <v>Oct</v>
      </c>
      <c r="K596" s="20" t="str">
        <f t="shared" si="150"/>
        <v>Oct</v>
      </c>
      <c r="L596" s="20" t="str">
        <f t="shared" si="150"/>
        <v>Oct</v>
      </c>
      <c r="M596" s="20" t="str">
        <f t="shared" si="150"/>
        <v>Oct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6</v>
      </c>
      <c r="H597" s="25">
        <f>+$H$5</f>
        <v>13</v>
      </c>
      <c r="I597" s="25">
        <f>+$I$5</f>
        <v>20</v>
      </c>
      <c r="J597" s="25">
        <f>+$J$5</f>
        <v>27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83</v>
      </c>
      <c r="H599" s="31">
        <f t="shared" ref="H599:L599" si="151">SUM(H600:H603)</f>
        <v>83</v>
      </c>
      <c r="I599" s="31">
        <f t="shared" si="151"/>
        <v>91</v>
      </c>
      <c r="J599" s="31">
        <f t="shared" si="151"/>
        <v>75</v>
      </c>
      <c r="K599" s="31">
        <f t="shared" si="151"/>
        <v>0</v>
      </c>
      <c r="L599" s="31">
        <f t="shared" si="151"/>
        <v>332</v>
      </c>
      <c r="M599" s="31">
        <f>ROUND((L599/$E$1),0)</f>
        <v>83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>
        <v>6</v>
      </c>
      <c r="H600" s="42">
        <v>6</v>
      </c>
      <c r="I600" s="42">
        <v>8</v>
      </c>
      <c r="J600" s="42">
        <v>8</v>
      </c>
      <c r="K600" s="42"/>
      <c r="L600" s="35">
        <f>SUM(G600:K600)</f>
        <v>28</v>
      </c>
      <c r="M600" s="35">
        <f t="shared" ref="M600:M608" si="152">ROUND((L600/$E$1),0)</f>
        <v>7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>
        <v>10</v>
      </c>
      <c r="H601" s="42">
        <v>12</v>
      </c>
      <c r="I601" s="42">
        <v>10</v>
      </c>
      <c r="J601" s="42">
        <v>14</v>
      </c>
      <c r="K601" s="42"/>
      <c r="L601" s="35">
        <f t="shared" ref="L601:L608" si="153">SUM(G601:K601)</f>
        <v>46</v>
      </c>
      <c r="M601" s="35">
        <f t="shared" si="152"/>
        <v>12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>
        <v>18</v>
      </c>
      <c r="H602" s="42">
        <v>15</v>
      </c>
      <c r="I602" s="42">
        <v>23</v>
      </c>
      <c r="J602" s="42">
        <v>18</v>
      </c>
      <c r="K602" s="42"/>
      <c r="L602" s="35">
        <f t="shared" si="153"/>
        <v>74</v>
      </c>
      <c r="M602" s="35">
        <f t="shared" si="152"/>
        <v>19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>
        <v>49</v>
      </c>
      <c r="H603" s="43">
        <v>50</v>
      </c>
      <c r="I603" s="43">
        <v>50</v>
      </c>
      <c r="J603" s="43">
        <v>35</v>
      </c>
      <c r="K603" s="43"/>
      <c r="L603" s="31">
        <f t="shared" si="153"/>
        <v>184</v>
      </c>
      <c r="M603" s="31">
        <f t="shared" si="152"/>
        <v>46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2024</v>
      </c>
      <c r="H611" s="10">
        <f>+G611</f>
        <v>2024</v>
      </c>
      <c r="I611" s="10">
        <f t="shared" ref="I611:M612" si="154">+H611</f>
        <v>2024</v>
      </c>
      <c r="J611" s="10">
        <f t="shared" si="154"/>
        <v>2024</v>
      </c>
      <c r="K611" s="10">
        <f t="shared" si="154"/>
        <v>2024</v>
      </c>
      <c r="L611" s="10">
        <f t="shared" si="154"/>
        <v>2024</v>
      </c>
      <c r="M611" s="10">
        <f t="shared" si="154"/>
        <v>2024</v>
      </c>
      <c r="N611" s="11"/>
      <c r="S611" s="12" t="str">
        <f>+C611</f>
        <v>Moneni</v>
      </c>
      <c r="T611" s="13">
        <f>+L615</f>
        <v>445</v>
      </c>
      <c r="U611" s="13">
        <f>+L616+L617</f>
        <v>88</v>
      </c>
      <c r="V611" s="13">
        <f>+L618+L619</f>
        <v>357</v>
      </c>
      <c r="W611" s="13">
        <f>+L622</f>
        <v>17</v>
      </c>
      <c r="X611" s="13">
        <f>+L620</f>
        <v>0</v>
      </c>
    </row>
    <row r="612" spans="1:24" x14ac:dyDescent="0.25">
      <c r="A612" s="14"/>
      <c r="B612" s="15"/>
      <c r="C612" s="41" t="str">
        <f>+$C596</f>
        <v>October 2024</v>
      </c>
      <c r="D612" s="18"/>
      <c r="E612" s="18"/>
      <c r="F612" s="18"/>
      <c r="G612" s="20" t="str">
        <f>+$G$4</f>
        <v>Oct</v>
      </c>
      <c r="H612" s="20" t="str">
        <f>+G612</f>
        <v>Oct</v>
      </c>
      <c r="I612" s="20" t="str">
        <f t="shared" si="154"/>
        <v>Oct</v>
      </c>
      <c r="J612" s="20" t="str">
        <f t="shared" si="154"/>
        <v>Oct</v>
      </c>
      <c r="K612" s="20" t="str">
        <f t="shared" si="154"/>
        <v>Oct</v>
      </c>
      <c r="L612" s="20" t="str">
        <f t="shared" si="154"/>
        <v>Oct</v>
      </c>
      <c r="M612" s="20" t="str">
        <f t="shared" si="154"/>
        <v>Oct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6</v>
      </c>
      <c r="H613" s="25">
        <f>+$H$5</f>
        <v>13</v>
      </c>
      <c r="I613" s="25">
        <f>+$I$5</f>
        <v>20</v>
      </c>
      <c r="J613" s="25">
        <f>+$J$5</f>
        <v>27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107</v>
      </c>
      <c r="H615" s="31">
        <f t="shared" ref="H615:L615" si="155">SUM(H616:H619)</f>
        <v>117</v>
      </c>
      <c r="I615" s="31">
        <f t="shared" si="155"/>
        <v>106</v>
      </c>
      <c r="J615" s="31">
        <f t="shared" si="155"/>
        <v>115</v>
      </c>
      <c r="K615" s="31">
        <f t="shared" si="155"/>
        <v>0</v>
      </c>
      <c r="L615" s="31">
        <f t="shared" si="155"/>
        <v>445</v>
      </c>
      <c r="M615" s="31">
        <f>ROUND((L615/$E$1),0)</f>
        <v>111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8</v>
      </c>
      <c r="H616" s="42">
        <v>5</v>
      </c>
      <c r="I616" s="42">
        <v>5</v>
      </c>
      <c r="J616" s="42">
        <v>5</v>
      </c>
      <c r="K616" s="42"/>
      <c r="L616" s="35">
        <f>SUM(G616:K616)</f>
        <v>23</v>
      </c>
      <c r="M616" s="35">
        <f t="shared" ref="M616:M624" si="156">ROUND((L616/$E$1),0)</f>
        <v>6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11</v>
      </c>
      <c r="H617" s="42">
        <v>17</v>
      </c>
      <c r="I617" s="42">
        <v>17</v>
      </c>
      <c r="J617" s="42">
        <v>20</v>
      </c>
      <c r="K617" s="42"/>
      <c r="L617" s="35">
        <f t="shared" ref="L617:L624" si="157">SUM(G617:K617)</f>
        <v>65</v>
      </c>
      <c r="M617" s="35">
        <f t="shared" si="156"/>
        <v>16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34</v>
      </c>
      <c r="H618" s="42">
        <v>30</v>
      </c>
      <c r="I618" s="42">
        <v>26</v>
      </c>
      <c r="J618" s="42">
        <v>23</v>
      </c>
      <c r="K618" s="42"/>
      <c r="L618" s="35">
        <f t="shared" si="157"/>
        <v>113</v>
      </c>
      <c r="M618" s="35">
        <f t="shared" si="156"/>
        <v>28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54</v>
      </c>
      <c r="H619" s="43">
        <v>65</v>
      </c>
      <c r="I619" s="43">
        <v>58</v>
      </c>
      <c r="J619" s="43">
        <v>67</v>
      </c>
      <c r="K619" s="43"/>
      <c r="L619" s="31">
        <f t="shared" si="157"/>
        <v>244</v>
      </c>
      <c r="M619" s="31">
        <f t="shared" si="156"/>
        <v>61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/>
      <c r="J620" s="42"/>
      <c r="K620" s="42"/>
      <c r="L620" s="35">
        <f t="shared" si="157"/>
        <v>0</v>
      </c>
      <c r="M620" s="35">
        <f t="shared" si="156"/>
        <v>0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1</v>
      </c>
      <c r="H622" s="42">
        <v>1</v>
      </c>
      <c r="I622" s="42">
        <v>9</v>
      </c>
      <c r="J622" s="42">
        <v>6</v>
      </c>
      <c r="K622" s="42"/>
      <c r="L622" s="35">
        <f t="shared" si="157"/>
        <v>17</v>
      </c>
      <c r="M622" s="35">
        <f t="shared" si="156"/>
        <v>4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2024</v>
      </c>
      <c r="H627" s="10">
        <f>+G627</f>
        <v>2024</v>
      </c>
      <c r="I627" s="10">
        <f t="shared" ref="I627:M628" si="158">+H627</f>
        <v>2024</v>
      </c>
      <c r="J627" s="10">
        <f t="shared" si="158"/>
        <v>2024</v>
      </c>
      <c r="K627" s="10">
        <f t="shared" si="158"/>
        <v>2024</v>
      </c>
      <c r="L627" s="10">
        <f t="shared" si="158"/>
        <v>2024</v>
      </c>
      <c r="M627" s="10">
        <f t="shared" si="158"/>
        <v>2024</v>
      </c>
      <c r="N627" s="11"/>
      <c r="S627" s="12" t="str">
        <f>+C627</f>
        <v>Mabhukwini</v>
      </c>
      <c r="T627" s="13">
        <f>+L631</f>
        <v>293</v>
      </c>
      <c r="U627" s="13">
        <f>+L632+L633</f>
        <v>82</v>
      </c>
      <c r="V627" s="13">
        <f>+L634+L635</f>
        <v>211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October 2024</v>
      </c>
      <c r="D628" s="18"/>
      <c r="E628" s="18"/>
      <c r="F628" s="18"/>
      <c r="G628" s="20" t="str">
        <f>+$G$4</f>
        <v>Oct</v>
      </c>
      <c r="H628" s="20" t="str">
        <f>+G628</f>
        <v>Oct</v>
      </c>
      <c r="I628" s="20" t="str">
        <f t="shared" si="158"/>
        <v>Oct</v>
      </c>
      <c r="J628" s="20" t="str">
        <f t="shared" si="158"/>
        <v>Oct</v>
      </c>
      <c r="K628" s="20" t="str">
        <f t="shared" si="158"/>
        <v>Oct</v>
      </c>
      <c r="L628" s="20" t="str">
        <f t="shared" si="158"/>
        <v>Oct</v>
      </c>
      <c r="M628" s="20" t="str">
        <f t="shared" si="158"/>
        <v>Oct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6</v>
      </c>
      <c r="H629" s="25">
        <f>+$H$5</f>
        <v>13</v>
      </c>
      <c r="I629" s="25">
        <f>+$I$5</f>
        <v>20</v>
      </c>
      <c r="J629" s="25">
        <f>+$J$5</f>
        <v>27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73</v>
      </c>
      <c r="H631" s="31">
        <f t="shared" ref="H631:L631" si="159">SUM(H632:H635)</f>
        <v>58</v>
      </c>
      <c r="I631" s="31">
        <f t="shared" si="159"/>
        <v>62</v>
      </c>
      <c r="J631" s="31">
        <f t="shared" si="159"/>
        <v>100</v>
      </c>
      <c r="K631" s="31">
        <f t="shared" si="159"/>
        <v>0</v>
      </c>
      <c r="L631" s="31">
        <f t="shared" si="159"/>
        <v>293</v>
      </c>
      <c r="M631" s="31">
        <f>ROUND((L631/$E$1),0)</f>
        <v>73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3</v>
      </c>
      <c r="H632" s="42">
        <v>3</v>
      </c>
      <c r="I632" s="42">
        <v>3</v>
      </c>
      <c r="J632" s="42">
        <v>5</v>
      </c>
      <c r="K632" s="42"/>
      <c r="L632" s="35">
        <f>SUM(G632:K632)</f>
        <v>14</v>
      </c>
      <c r="M632" s="35">
        <f t="shared" ref="M632:M640" si="160">ROUND((L632/$E$1),0)</f>
        <v>4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17</v>
      </c>
      <c r="H633" s="42">
        <v>16</v>
      </c>
      <c r="I633" s="42">
        <v>13</v>
      </c>
      <c r="J633" s="42">
        <v>22</v>
      </c>
      <c r="K633" s="42"/>
      <c r="L633" s="35">
        <f t="shared" ref="L633:L640" si="161">SUM(G633:K633)</f>
        <v>68</v>
      </c>
      <c r="M633" s="35">
        <f t="shared" si="160"/>
        <v>17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16</v>
      </c>
      <c r="H634" s="42">
        <v>7</v>
      </c>
      <c r="I634" s="42">
        <v>9</v>
      </c>
      <c r="J634" s="42">
        <v>13</v>
      </c>
      <c r="K634" s="42"/>
      <c r="L634" s="35">
        <f t="shared" si="161"/>
        <v>45</v>
      </c>
      <c r="M634" s="35">
        <f t="shared" si="160"/>
        <v>11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37</v>
      </c>
      <c r="H635" s="43">
        <v>32</v>
      </c>
      <c r="I635" s="43">
        <v>37</v>
      </c>
      <c r="J635" s="43">
        <v>60</v>
      </c>
      <c r="K635" s="43"/>
      <c r="L635" s="31">
        <f t="shared" si="161"/>
        <v>166</v>
      </c>
      <c r="M635" s="31">
        <f t="shared" si="160"/>
        <v>42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>
        <f>+$G$3</f>
        <v>2024</v>
      </c>
      <c r="H643" s="10">
        <f>+G643</f>
        <v>2024</v>
      </c>
      <c r="I643" s="10">
        <f t="shared" ref="I643:M644" si="162">+H643</f>
        <v>2024</v>
      </c>
      <c r="J643" s="10">
        <f t="shared" si="162"/>
        <v>2024</v>
      </c>
      <c r="K643" s="10">
        <f t="shared" si="162"/>
        <v>2024</v>
      </c>
      <c r="L643" s="10">
        <f t="shared" si="162"/>
        <v>2024</v>
      </c>
      <c r="M643" s="10">
        <f t="shared" si="162"/>
        <v>2024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October 2024</v>
      </c>
      <c r="D644" s="18"/>
      <c r="E644" s="18"/>
      <c r="F644" s="18"/>
      <c r="G644" s="20" t="str">
        <f>+$G$4</f>
        <v>Oct</v>
      </c>
      <c r="H644" s="20" t="str">
        <f>+G644</f>
        <v>Oct</v>
      </c>
      <c r="I644" s="20" t="str">
        <f t="shared" si="162"/>
        <v>Oct</v>
      </c>
      <c r="J644" s="20" t="str">
        <f t="shared" si="162"/>
        <v>Oct</v>
      </c>
      <c r="K644" s="20" t="str">
        <f t="shared" si="162"/>
        <v>Oct</v>
      </c>
      <c r="L644" s="20" t="str">
        <f t="shared" si="162"/>
        <v>Oct</v>
      </c>
      <c r="M644" s="20" t="str">
        <f t="shared" si="162"/>
        <v>Oct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6</v>
      </c>
      <c r="H645" s="25">
        <f>+$H$5</f>
        <v>13</v>
      </c>
      <c r="I645" s="25">
        <f>+$I$5</f>
        <v>20</v>
      </c>
      <c r="J645" s="25">
        <f>+$J$5</f>
        <v>27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64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>
        <f t="shared" si="164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>
        <f t="shared" si="164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>
        <f t="shared" si="164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>
        <f>+$G$3</f>
        <v>2024</v>
      </c>
      <c r="H659" s="10">
        <f>+G659</f>
        <v>2024</v>
      </c>
      <c r="I659" s="10">
        <f t="shared" ref="I659:M660" si="166">+H659</f>
        <v>2024</v>
      </c>
      <c r="J659" s="10">
        <f t="shared" si="166"/>
        <v>2024</v>
      </c>
      <c r="K659" s="10">
        <f t="shared" si="166"/>
        <v>2024</v>
      </c>
      <c r="L659" s="10">
        <f t="shared" si="166"/>
        <v>2024</v>
      </c>
      <c r="M659" s="10">
        <f t="shared" si="166"/>
        <v>2024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October 2024</v>
      </c>
      <c r="D660" s="18"/>
      <c r="E660" s="18"/>
      <c r="F660" s="18"/>
      <c r="G660" s="20" t="str">
        <f>+$G$4</f>
        <v>Oct</v>
      </c>
      <c r="H660" s="20" t="str">
        <f>+G660</f>
        <v>Oct</v>
      </c>
      <c r="I660" s="20" t="str">
        <f t="shared" si="166"/>
        <v>Oct</v>
      </c>
      <c r="J660" s="20" t="str">
        <f t="shared" si="166"/>
        <v>Oct</v>
      </c>
      <c r="K660" s="20" t="str">
        <f t="shared" si="166"/>
        <v>Oct</v>
      </c>
      <c r="L660" s="20" t="str">
        <f t="shared" si="166"/>
        <v>Oct</v>
      </c>
      <c r="M660" s="20" t="str">
        <f t="shared" si="166"/>
        <v>Oct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6</v>
      </c>
      <c r="H661" s="25">
        <f>+$H$5</f>
        <v>13</v>
      </c>
      <c r="I661" s="25">
        <f>+$I$5</f>
        <v>20</v>
      </c>
      <c r="J661" s="25">
        <f>+$J$5</f>
        <v>27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>
        <f>+$G$3</f>
        <v>2024</v>
      </c>
      <c r="H675" s="10">
        <f>+G675</f>
        <v>2024</v>
      </c>
      <c r="I675" s="10">
        <f t="shared" ref="I675:M676" si="170">+H675</f>
        <v>2024</v>
      </c>
      <c r="J675" s="10">
        <f t="shared" si="170"/>
        <v>2024</v>
      </c>
      <c r="K675" s="10">
        <f t="shared" si="170"/>
        <v>2024</v>
      </c>
      <c r="L675" s="10">
        <f t="shared" si="170"/>
        <v>2024</v>
      </c>
      <c r="M675" s="10">
        <f t="shared" si="170"/>
        <v>2024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October 2024</v>
      </c>
      <c r="D676" s="18"/>
      <c r="E676" s="18"/>
      <c r="F676" s="18"/>
      <c r="G676" s="20" t="str">
        <f>+$G$4</f>
        <v>Oct</v>
      </c>
      <c r="H676" s="20" t="str">
        <f>+G676</f>
        <v>Oct</v>
      </c>
      <c r="I676" s="20" t="str">
        <f t="shared" si="170"/>
        <v>Oct</v>
      </c>
      <c r="J676" s="20" t="str">
        <f t="shared" si="170"/>
        <v>Oct</v>
      </c>
      <c r="K676" s="20" t="str">
        <f t="shared" si="170"/>
        <v>Oct</v>
      </c>
      <c r="L676" s="20" t="str">
        <f t="shared" si="170"/>
        <v>Oct</v>
      </c>
      <c r="M676" s="20" t="str">
        <f t="shared" si="170"/>
        <v>Oct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6</v>
      </c>
      <c r="H677" s="25">
        <f>+$H$5</f>
        <v>13</v>
      </c>
      <c r="I677" s="25">
        <f>+$I$5</f>
        <v>20</v>
      </c>
      <c r="J677" s="25">
        <f>+$J$5</f>
        <v>27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>
        <f>+$G$3</f>
        <v>2024</v>
      </c>
      <c r="H691" s="10">
        <f>+G691</f>
        <v>2024</v>
      </c>
      <c r="I691" s="10">
        <f t="shared" ref="I691:M692" si="174">+H691</f>
        <v>2024</v>
      </c>
      <c r="J691" s="10">
        <f t="shared" si="174"/>
        <v>2024</v>
      </c>
      <c r="K691" s="10">
        <f t="shared" si="174"/>
        <v>2024</v>
      </c>
      <c r="L691" s="10">
        <f t="shared" si="174"/>
        <v>2024</v>
      </c>
      <c r="M691" s="10">
        <f t="shared" si="174"/>
        <v>2024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October 2024</v>
      </c>
      <c r="D692" s="18"/>
      <c r="E692" s="18"/>
      <c r="F692" s="18"/>
      <c r="G692" s="20" t="str">
        <f>+$G$4</f>
        <v>Oct</v>
      </c>
      <c r="H692" s="20" t="str">
        <f>+G692</f>
        <v>Oct</v>
      </c>
      <c r="I692" s="20" t="str">
        <f t="shared" si="174"/>
        <v>Oct</v>
      </c>
      <c r="J692" s="20" t="str">
        <f t="shared" si="174"/>
        <v>Oct</v>
      </c>
      <c r="K692" s="20" t="str">
        <f t="shared" si="174"/>
        <v>Oct</v>
      </c>
      <c r="L692" s="20" t="str">
        <f t="shared" si="174"/>
        <v>Oct</v>
      </c>
      <c r="M692" s="20" t="str">
        <f t="shared" si="174"/>
        <v>Oct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6</v>
      </c>
      <c r="H693" s="25">
        <f>+$H$5</f>
        <v>13</v>
      </c>
      <c r="I693" s="25">
        <f>+$I$5</f>
        <v>20</v>
      </c>
      <c r="J693" s="25">
        <f>+$J$5</f>
        <v>27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>
        <f>+$G$3</f>
        <v>2024</v>
      </c>
      <c r="H707" s="10">
        <f>+G707</f>
        <v>2024</v>
      </c>
      <c r="I707" s="10">
        <f t="shared" ref="I707:M708" si="178">+H707</f>
        <v>2024</v>
      </c>
      <c r="J707" s="10">
        <f t="shared" si="178"/>
        <v>2024</v>
      </c>
      <c r="K707" s="10">
        <f t="shared" si="178"/>
        <v>2024</v>
      </c>
      <c r="L707" s="10">
        <f t="shared" si="178"/>
        <v>2024</v>
      </c>
      <c r="M707" s="10">
        <f t="shared" si="178"/>
        <v>2024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October 2024</v>
      </c>
      <c r="D708" s="18"/>
      <c r="E708" s="18"/>
      <c r="F708" s="18"/>
      <c r="G708" s="20" t="str">
        <f>+$G$4</f>
        <v>Oct</v>
      </c>
      <c r="H708" s="20" t="str">
        <f>+G708</f>
        <v>Oct</v>
      </c>
      <c r="I708" s="20" t="str">
        <f t="shared" si="178"/>
        <v>Oct</v>
      </c>
      <c r="J708" s="20" t="str">
        <f t="shared" si="178"/>
        <v>Oct</v>
      </c>
      <c r="K708" s="20" t="str">
        <f t="shared" si="178"/>
        <v>Oct</v>
      </c>
      <c r="L708" s="20" t="str">
        <f t="shared" si="178"/>
        <v>Oct</v>
      </c>
      <c r="M708" s="20" t="str">
        <f t="shared" si="178"/>
        <v>Oct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6</v>
      </c>
      <c r="H709" s="25">
        <f>+$H$5</f>
        <v>13</v>
      </c>
      <c r="I709" s="25">
        <f>+$I$5</f>
        <v>20</v>
      </c>
      <c r="J709" s="25">
        <f>+$J$5</f>
        <v>27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2024</v>
      </c>
      <c r="H723" s="10">
        <f>+G723</f>
        <v>2024</v>
      </c>
      <c r="I723" s="10">
        <f t="shared" ref="I723:M724" si="182">+H723</f>
        <v>2024</v>
      </c>
      <c r="J723" s="10">
        <f t="shared" si="182"/>
        <v>2024</v>
      </c>
      <c r="K723" s="10">
        <f t="shared" si="182"/>
        <v>2024</v>
      </c>
      <c r="L723" s="10">
        <f t="shared" si="182"/>
        <v>2024</v>
      </c>
      <c r="M723" s="10">
        <f t="shared" si="182"/>
        <v>2024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October 2024</v>
      </c>
      <c r="D724" s="18"/>
      <c r="E724" s="18"/>
      <c r="F724" s="18"/>
      <c r="G724" s="20" t="str">
        <f>+$G$4</f>
        <v>Oct</v>
      </c>
      <c r="H724" s="20" t="str">
        <f>+G724</f>
        <v>Oct</v>
      </c>
      <c r="I724" s="20" t="str">
        <f t="shared" si="182"/>
        <v>Oct</v>
      </c>
      <c r="J724" s="20" t="str">
        <f t="shared" si="182"/>
        <v>Oct</v>
      </c>
      <c r="K724" s="20" t="str">
        <f t="shared" si="182"/>
        <v>Oct</v>
      </c>
      <c r="L724" s="20" t="str">
        <f t="shared" si="182"/>
        <v>Oct</v>
      </c>
      <c r="M724" s="20" t="str">
        <f t="shared" si="182"/>
        <v>Oct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6</v>
      </c>
      <c r="H725" s="25">
        <f>+$H$5</f>
        <v>13</v>
      </c>
      <c r="I725" s="25">
        <f>+$I$5</f>
        <v>20</v>
      </c>
      <c r="J725" s="25">
        <f>+$J$5</f>
        <v>27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2024</v>
      </c>
      <c r="H739" s="10">
        <f>+G739</f>
        <v>2024</v>
      </c>
      <c r="I739" s="10">
        <f t="shared" ref="I739:M740" si="186">+H739</f>
        <v>2024</v>
      </c>
      <c r="J739" s="10">
        <f t="shared" si="186"/>
        <v>2024</v>
      </c>
      <c r="K739" s="10">
        <f t="shared" si="186"/>
        <v>2024</v>
      </c>
      <c r="L739" s="10">
        <f t="shared" si="186"/>
        <v>2024</v>
      </c>
      <c r="M739" s="10">
        <f t="shared" si="186"/>
        <v>2024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October 2024</v>
      </c>
      <c r="D740" s="18"/>
      <c r="E740" s="18"/>
      <c r="F740" s="18"/>
      <c r="G740" s="20" t="str">
        <f>+$G$4</f>
        <v>Oct</v>
      </c>
      <c r="H740" s="20" t="str">
        <f>+G740</f>
        <v>Oct</v>
      </c>
      <c r="I740" s="20" t="str">
        <f t="shared" si="186"/>
        <v>Oct</v>
      </c>
      <c r="J740" s="20" t="str">
        <f t="shared" si="186"/>
        <v>Oct</v>
      </c>
      <c r="K740" s="20" t="str">
        <f t="shared" si="186"/>
        <v>Oct</v>
      </c>
      <c r="L740" s="20" t="str">
        <f t="shared" si="186"/>
        <v>Oct</v>
      </c>
      <c r="M740" s="20" t="str">
        <f t="shared" si="186"/>
        <v>Oct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6</v>
      </c>
      <c r="H741" s="25">
        <f>+$H$5</f>
        <v>13</v>
      </c>
      <c r="I741" s="25">
        <f>+$I$5</f>
        <v>20</v>
      </c>
      <c r="J741" s="25">
        <f>+$J$5</f>
        <v>27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2024</v>
      </c>
      <c r="H755" s="10">
        <f>+G755</f>
        <v>2024</v>
      </c>
      <c r="I755" s="10">
        <f t="shared" ref="I755:M756" si="190">+H755</f>
        <v>2024</v>
      </c>
      <c r="J755" s="10">
        <f t="shared" si="190"/>
        <v>2024</v>
      </c>
      <c r="K755" s="10">
        <f t="shared" si="190"/>
        <v>2024</v>
      </c>
      <c r="L755" s="10">
        <f t="shared" si="190"/>
        <v>2024</v>
      </c>
      <c r="M755" s="10">
        <f t="shared" si="190"/>
        <v>2024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October 2024</v>
      </c>
      <c r="D756" s="18"/>
      <c r="E756" s="18"/>
      <c r="F756" s="18"/>
      <c r="G756" s="20" t="str">
        <f>+$G$4</f>
        <v>Oct</v>
      </c>
      <c r="H756" s="20" t="str">
        <f>+G756</f>
        <v>Oct</v>
      </c>
      <c r="I756" s="20" t="str">
        <f t="shared" si="190"/>
        <v>Oct</v>
      </c>
      <c r="J756" s="20" t="str">
        <f t="shared" si="190"/>
        <v>Oct</v>
      </c>
      <c r="K756" s="20" t="str">
        <f t="shared" si="190"/>
        <v>Oct</v>
      </c>
      <c r="L756" s="20" t="str">
        <f t="shared" si="190"/>
        <v>Oct</v>
      </c>
      <c r="M756" s="20" t="str">
        <f t="shared" si="190"/>
        <v>Oct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6</v>
      </c>
      <c r="H757" s="25">
        <f>+$H$5</f>
        <v>13</v>
      </c>
      <c r="I757" s="25">
        <f>+$I$5</f>
        <v>20</v>
      </c>
      <c r="J757" s="25">
        <f>+$J$5</f>
        <v>27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2024</v>
      </c>
      <c r="H771" s="10">
        <f>+G771</f>
        <v>2024</v>
      </c>
      <c r="I771" s="10">
        <f t="shared" ref="I771:M772" si="194">+H771</f>
        <v>2024</v>
      </c>
      <c r="J771" s="10">
        <f t="shared" si="194"/>
        <v>2024</v>
      </c>
      <c r="K771" s="10">
        <f t="shared" si="194"/>
        <v>2024</v>
      </c>
      <c r="L771" s="10">
        <f t="shared" si="194"/>
        <v>2024</v>
      </c>
      <c r="M771" s="10">
        <f t="shared" si="194"/>
        <v>2024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October 2024</v>
      </c>
      <c r="D772" s="18"/>
      <c r="E772" s="18"/>
      <c r="F772" s="18"/>
      <c r="G772" s="20" t="str">
        <f>+$G$4</f>
        <v>Oct</v>
      </c>
      <c r="H772" s="20" t="str">
        <f>+G772</f>
        <v>Oct</v>
      </c>
      <c r="I772" s="20" t="str">
        <f t="shared" si="194"/>
        <v>Oct</v>
      </c>
      <c r="J772" s="20" t="str">
        <f t="shared" si="194"/>
        <v>Oct</v>
      </c>
      <c r="K772" s="20" t="str">
        <f t="shared" si="194"/>
        <v>Oct</v>
      </c>
      <c r="L772" s="20" t="str">
        <f t="shared" si="194"/>
        <v>Oct</v>
      </c>
      <c r="M772" s="20" t="str">
        <f t="shared" si="194"/>
        <v>Oct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6</v>
      </c>
      <c r="H773" s="25">
        <f>+$H$5</f>
        <v>13</v>
      </c>
      <c r="I773" s="25">
        <f>+$I$5</f>
        <v>20</v>
      </c>
      <c r="J773" s="25">
        <f>+$J$5</f>
        <v>27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2024</v>
      </c>
      <c r="H787" s="10">
        <f>+G787</f>
        <v>2024</v>
      </c>
      <c r="I787" s="10">
        <f t="shared" ref="I787:M788" si="198">+H787</f>
        <v>2024</v>
      </c>
      <c r="J787" s="10">
        <f t="shared" si="198"/>
        <v>2024</v>
      </c>
      <c r="K787" s="10">
        <f t="shared" si="198"/>
        <v>2024</v>
      </c>
      <c r="L787" s="10">
        <f t="shared" si="198"/>
        <v>2024</v>
      </c>
      <c r="M787" s="10">
        <f t="shared" si="198"/>
        <v>2024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October 2024</v>
      </c>
      <c r="D788" s="18"/>
      <c r="E788" s="18"/>
      <c r="F788" s="18"/>
      <c r="G788" s="20" t="str">
        <f>+$G$4</f>
        <v>Oct</v>
      </c>
      <c r="H788" s="20" t="str">
        <f>+G788</f>
        <v>Oct</v>
      </c>
      <c r="I788" s="20" t="str">
        <f t="shared" si="198"/>
        <v>Oct</v>
      </c>
      <c r="J788" s="20" t="str">
        <f t="shared" si="198"/>
        <v>Oct</v>
      </c>
      <c r="K788" s="20" t="str">
        <f t="shared" si="198"/>
        <v>Oct</v>
      </c>
      <c r="L788" s="20" t="str">
        <f t="shared" si="198"/>
        <v>Oct</v>
      </c>
      <c r="M788" s="20" t="str">
        <f t="shared" si="198"/>
        <v>Oct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6</v>
      </c>
      <c r="H789" s="25">
        <f>+$H$5</f>
        <v>13</v>
      </c>
      <c r="I789" s="25">
        <f>+$I$5</f>
        <v>20</v>
      </c>
      <c r="J789" s="25">
        <f>+$J$5</f>
        <v>27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2024</v>
      </c>
      <c r="H803" s="10">
        <f>+G803</f>
        <v>2024</v>
      </c>
      <c r="I803" s="10">
        <f t="shared" ref="I803:M804" si="202">+H803</f>
        <v>2024</v>
      </c>
      <c r="J803" s="10">
        <f t="shared" si="202"/>
        <v>2024</v>
      </c>
      <c r="K803" s="10">
        <f t="shared" si="202"/>
        <v>2024</v>
      </c>
      <c r="L803" s="10">
        <f t="shared" si="202"/>
        <v>2024</v>
      </c>
      <c r="M803" s="10">
        <f t="shared" si="202"/>
        <v>2024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October 2024</v>
      </c>
      <c r="D804" s="18"/>
      <c r="E804" s="18"/>
      <c r="F804" s="18"/>
      <c r="G804" s="20" t="str">
        <f>+$G$4</f>
        <v>Oct</v>
      </c>
      <c r="H804" s="20" t="str">
        <f>+G804</f>
        <v>Oct</v>
      </c>
      <c r="I804" s="20" t="str">
        <f t="shared" si="202"/>
        <v>Oct</v>
      </c>
      <c r="J804" s="20" t="str">
        <f t="shared" si="202"/>
        <v>Oct</v>
      </c>
      <c r="K804" s="20" t="str">
        <f t="shared" si="202"/>
        <v>Oct</v>
      </c>
      <c r="L804" s="20" t="str">
        <f t="shared" si="202"/>
        <v>Oct</v>
      </c>
      <c r="M804" s="20" t="str">
        <f t="shared" si="202"/>
        <v>Oct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6</v>
      </c>
      <c r="H805" s="25">
        <f>+$H$5</f>
        <v>13</v>
      </c>
      <c r="I805" s="25">
        <f>+$I$5</f>
        <v>20</v>
      </c>
      <c r="J805" s="25">
        <f>+$J$5</f>
        <v>27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51"/>
  <sheetViews>
    <sheetView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 t="s">
        <v>57</v>
      </c>
      <c r="H3" s="10" t="str">
        <f>+G3</f>
        <v>Year</v>
      </c>
      <c r="I3" s="10" t="str">
        <f t="shared" ref="I3:M4" si="0">+H3</f>
        <v>Year</v>
      </c>
      <c r="J3" s="10" t="str">
        <f t="shared" si="0"/>
        <v>Year</v>
      </c>
      <c r="K3" s="10" t="str">
        <f t="shared" si="0"/>
        <v>Year</v>
      </c>
      <c r="L3" s="10" t="str">
        <f t="shared" si="0"/>
        <v>Year</v>
      </c>
      <c r="M3" s="10" t="str">
        <f t="shared" si="0"/>
        <v>Year</v>
      </c>
      <c r="N3" s="11"/>
      <c r="S3" s="12" t="str">
        <f>+C3</f>
        <v>Total ICBC</v>
      </c>
      <c r="T3" s="13">
        <f>+L7</f>
        <v>10984</v>
      </c>
      <c r="U3" s="13">
        <f>+L8+L9</f>
        <v>2775</v>
      </c>
      <c r="V3" s="13">
        <f>+L10+L11</f>
        <v>8209</v>
      </c>
      <c r="W3" s="13">
        <f>+L14</f>
        <v>512</v>
      </c>
      <c r="X3" s="13">
        <f>+L12</f>
        <v>124</v>
      </c>
    </row>
    <row r="4" spans="1:41" x14ac:dyDescent="0.25">
      <c r="A4" s="14"/>
      <c r="B4" s="15"/>
      <c r="C4" s="16" t="s">
        <v>88</v>
      </c>
      <c r="D4" s="17"/>
      <c r="E4" s="18"/>
      <c r="F4" s="18"/>
      <c r="G4" s="19" t="s">
        <v>56</v>
      </c>
      <c r="H4" s="20" t="str">
        <f>+G4</f>
        <v>Mnt</v>
      </c>
      <c r="I4" s="20" t="str">
        <f t="shared" si="0"/>
        <v>Mnt</v>
      </c>
      <c r="J4" s="20" t="str">
        <f t="shared" si="0"/>
        <v>Mnt</v>
      </c>
      <c r="K4" s="20" t="str">
        <f t="shared" si="0"/>
        <v>Mnt</v>
      </c>
      <c r="L4" s="20" t="str">
        <f t="shared" si="0"/>
        <v>Mnt</v>
      </c>
      <c r="M4" s="20" t="str">
        <f t="shared" si="0"/>
        <v>Mnt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3</v>
      </c>
      <c r="H5" s="24">
        <v>10</v>
      </c>
      <c r="I5" s="24">
        <v>17</v>
      </c>
      <c r="J5" s="24">
        <v>24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3020</v>
      </c>
      <c r="H7" s="31">
        <f t="shared" ref="H7:L7" si="1">SUM(H8:H11)</f>
        <v>2460</v>
      </c>
      <c r="I7" s="31">
        <f t="shared" si="1"/>
        <v>2823</v>
      </c>
      <c r="J7" s="31">
        <f t="shared" si="1"/>
        <v>2681</v>
      </c>
      <c r="K7" s="31">
        <f t="shared" si="1"/>
        <v>0</v>
      </c>
      <c r="L7" s="31">
        <f t="shared" si="1"/>
        <v>10984</v>
      </c>
      <c r="M7" s="31">
        <f>ROUND((L7/$E$1),0)</f>
        <v>2746</v>
      </c>
      <c r="N7" s="32"/>
      <c r="O7" s="33"/>
      <c r="P7" s="34"/>
      <c r="Q7" s="34"/>
      <c r="S7" s="13"/>
      <c r="T7" s="13"/>
      <c r="U7" s="13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189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153</v>
      </c>
      <c r="I8" s="35">
        <f t="shared" si="2"/>
        <v>163</v>
      </c>
      <c r="J8" s="35">
        <f t="shared" si="2"/>
        <v>171</v>
      </c>
      <c r="K8" s="35">
        <f t="shared" si="2"/>
        <v>0</v>
      </c>
      <c r="L8" s="35">
        <f>SUM(G8:K8)</f>
        <v>676</v>
      </c>
      <c r="M8" s="35">
        <f t="shared" ref="M8:M16" si="3">ROUND((L8/$E$1),0)</f>
        <v>169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593</v>
      </c>
      <c r="H9" s="35">
        <f t="shared" si="4"/>
        <v>470</v>
      </c>
      <c r="I9" s="35">
        <f t="shared" si="4"/>
        <v>508</v>
      </c>
      <c r="J9" s="35">
        <f t="shared" si="4"/>
        <v>528</v>
      </c>
      <c r="K9" s="35">
        <f t="shared" si="4"/>
        <v>0</v>
      </c>
      <c r="L9" s="35">
        <f t="shared" ref="L9:L16" si="5">SUM(G9:K9)</f>
        <v>2099</v>
      </c>
      <c r="M9" s="35">
        <f t="shared" si="3"/>
        <v>525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739</v>
      </c>
      <c r="H10" s="35">
        <f t="shared" si="4"/>
        <v>604</v>
      </c>
      <c r="I10" s="35">
        <f t="shared" si="4"/>
        <v>741</v>
      </c>
      <c r="J10" s="35">
        <f t="shared" si="4"/>
        <v>642</v>
      </c>
      <c r="K10" s="35">
        <f t="shared" si="4"/>
        <v>0</v>
      </c>
      <c r="L10" s="35">
        <f t="shared" si="5"/>
        <v>2726</v>
      </c>
      <c r="M10" s="35">
        <f t="shared" si="3"/>
        <v>682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1499</v>
      </c>
      <c r="H11" s="31">
        <f t="shared" si="4"/>
        <v>1233</v>
      </c>
      <c r="I11" s="31">
        <f t="shared" si="4"/>
        <v>1411</v>
      </c>
      <c r="J11" s="31">
        <f t="shared" si="4"/>
        <v>1340</v>
      </c>
      <c r="K11" s="31">
        <f t="shared" si="4"/>
        <v>0</v>
      </c>
      <c r="L11" s="31">
        <f t="shared" si="5"/>
        <v>5483</v>
      </c>
      <c r="M11" s="31">
        <f t="shared" si="3"/>
        <v>1371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66</v>
      </c>
      <c r="H12" s="35">
        <f t="shared" si="4"/>
        <v>25</v>
      </c>
      <c r="I12" s="35">
        <f t="shared" si="4"/>
        <v>8</v>
      </c>
      <c r="J12" s="35">
        <f t="shared" si="4"/>
        <v>25</v>
      </c>
      <c r="K12" s="35">
        <f t="shared" si="4"/>
        <v>0</v>
      </c>
      <c r="L12" s="35">
        <f t="shared" si="5"/>
        <v>124</v>
      </c>
      <c r="M12" s="35">
        <f t="shared" si="3"/>
        <v>31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1</v>
      </c>
      <c r="J13" s="35">
        <f t="shared" si="4"/>
        <v>0</v>
      </c>
      <c r="K13" s="35">
        <f t="shared" si="4"/>
        <v>0</v>
      </c>
      <c r="L13" s="35">
        <f t="shared" si="5"/>
        <v>1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141</v>
      </c>
      <c r="H14" s="35">
        <f t="shared" si="4"/>
        <v>119</v>
      </c>
      <c r="I14" s="35">
        <f t="shared" si="4"/>
        <v>130</v>
      </c>
      <c r="J14" s="35">
        <f t="shared" si="4"/>
        <v>122</v>
      </c>
      <c r="K14" s="35">
        <f t="shared" si="4"/>
        <v>0</v>
      </c>
      <c r="L14" s="35">
        <f t="shared" si="5"/>
        <v>512</v>
      </c>
      <c r="M14" s="35">
        <f t="shared" si="3"/>
        <v>128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1005</v>
      </c>
      <c r="H15" s="35">
        <f t="shared" si="4"/>
        <v>992</v>
      </c>
      <c r="I15" s="35">
        <f t="shared" si="4"/>
        <v>2148</v>
      </c>
      <c r="J15" s="35">
        <f t="shared" si="4"/>
        <v>2467</v>
      </c>
      <c r="K15" s="35">
        <f t="shared" si="4"/>
        <v>0</v>
      </c>
      <c r="L15" s="35">
        <f t="shared" si="5"/>
        <v>6612</v>
      </c>
      <c r="M15" s="35">
        <f t="shared" si="3"/>
        <v>1653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 t="str">
        <f>+$G$3</f>
        <v>Year</v>
      </c>
      <c r="H19" s="10" t="str">
        <f>+G19</f>
        <v>Year</v>
      </c>
      <c r="I19" s="10" t="str">
        <f t="shared" ref="I19:M20" si="6">+H19</f>
        <v>Year</v>
      </c>
      <c r="J19" s="10" t="str">
        <f t="shared" si="6"/>
        <v>Year</v>
      </c>
      <c r="K19" s="10" t="str">
        <f t="shared" si="6"/>
        <v>Year</v>
      </c>
      <c r="L19" s="10" t="str">
        <f t="shared" si="6"/>
        <v>Year</v>
      </c>
      <c r="M19" s="10" t="str">
        <f t="shared" si="6"/>
        <v>Year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907</v>
      </c>
      <c r="U19" s="13">
        <f>+L24+L25</f>
        <v>297</v>
      </c>
      <c r="V19" s="13">
        <f>+L26+L27</f>
        <v>610</v>
      </c>
      <c r="W19" s="13">
        <f>+L30</f>
        <v>18</v>
      </c>
      <c r="X19" s="13">
        <f>+L28</f>
        <v>0</v>
      </c>
    </row>
    <row r="20" spans="1:24" x14ac:dyDescent="0.25">
      <c r="A20" s="14"/>
      <c r="B20" s="15"/>
      <c r="C20" s="41" t="str">
        <f>+$C4</f>
        <v>November 2024</v>
      </c>
      <c r="D20" s="18"/>
      <c r="E20" s="18"/>
      <c r="F20" s="18"/>
      <c r="G20" s="20" t="str">
        <f>+$G$4</f>
        <v>Mnt</v>
      </c>
      <c r="H20" s="20" t="str">
        <f>+G20</f>
        <v>Mnt</v>
      </c>
      <c r="I20" s="20" t="str">
        <f t="shared" si="6"/>
        <v>Mnt</v>
      </c>
      <c r="J20" s="20" t="str">
        <f t="shared" si="6"/>
        <v>Mnt</v>
      </c>
      <c r="K20" s="20" t="str">
        <f t="shared" si="6"/>
        <v>Mnt</v>
      </c>
      <c r="L20" s="20" t="str">
        <f t="shared" si="6"/>
        <v>Mnt</v>
      </c>
      <c r="M20" s="20" t="str">
        <f t="shared" si="6"/>
        <v>Mnt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3</v>
      </c>
      <c r="H21" s="25">
        <f>+$H$5</f>
        <v>10</v>
      </c>
      <c r="I21" s="25">
        <f>+$I$5</f>
        <v>17</v>
      </c>
      <c r="J21" s="25">
        <f>+$J$5</f>
        <v>24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236</v>
      </c>
      <c r="H23" s="31">
        <f t="shared" ref="H23:L23" si="7">SUM(H24:H27)</f>
        <v>204</v>
      </c>
      <c r="I23" s="31">
        <f t="shared" si="7"/>
        <v>220</v>
      </c>
      <c r="J23" s="31">
        <f t="shared" si="7"/>
        <v>247</v>
      </c>
      <c r="K23" s="31">
        <f t="shared" si="7"/>
        <v>0</v>
      </c>
      <c r="L23" s="31">
        <f t="shared" si="7"/>
        <v>907</v>
      </c>
      <c r="M23" s="31">
        <f>ROUND((L23/$E$1),0)</f>
        <v>227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23</v>
      </c>
      <c r="H24" s="42">
        <v>18</v>
      </c>
      <c r="I24" s="42">
        <v>17</v>
      </c>
      <c r="J24" s="42">
        <v>25</v>
      </c>
      <c r="K24" s="42"/>
      <c r="L24" s="35">
        <f>SUM(G24:K24)</f>
        <v>83</v>
      </c>
      <c r="M24" s="35">
        <f t="shared" ref="M24:M32" si="8">ROUND((L24/$E$1),0)</f>
        <v>21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45</v>
      </c>
      <c r="H25" s="42">
        <v>58</v>
      </c>
      <c r="I25" s="42">
        <v>48</v>
      </c>
      <c r="J25" s="42">
        <v>63</v>
      </c>
      <c r="K25" s="42"/>
      <c r="L25" s="35">
        <f t="shared" ref="L25:L32" si="9">SUM(G25:K25)</f>
        <v>214</v>
      </c>
      <c r="M25" s="35">
        <f t="shared" si="8"/>
        <v>54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82</v>
      </c>
      <c r="H26" s="42">
        <v>65</v>
      </c>
      <c r="I26" s="42">
        <v>79</v>
      </c>
      <c r="J26" s="42">
        <v>70</v>
      </c>
      <c r="K26" s="42"/>
      <c r="L26" s="35">
        <f t="shared" si="9"/>
        <v>296</v>
      </c>
      <c r="M26" s="35">
        <f t="shared" si="8"/>
        <v>74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86</v>
      </c>
      <c r="H27" s="43">
        <v>63</v>
      </c>
      <c r="I27" s="43">
        <v>76</v>
      </c>
      <c r="J27" s="43">
        <v>89</v>
      </c>
      <c r="K27" s="43"/>
      <c r="L27" s="31">
        <f t="shared" si="9"/>
        <v>314</v>
      </c>
      <c r="M27" s="31">
        <f t="shared" si="8"/>
        <v>79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5</v>
      </c>
      <c r="H30" s="42">
        <v>6</v>
      </c>
      <c r="I30" s="42">
        <v>4</v>
      </c>
      <c r="J30" s="42">
        <v>3</v>
      </c>
      <c r="K30" s="42"/>
      <c r="L30" s="35">
        <f t="shared" si="9"/>
        <v>18</v>
      </c>
      <c r="M30" s="35">
        <f t="shared" si="8"/>
        <v>5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 t="str">
        <f>+$G$3</f>
        <v>Year</v>
      </c>
      <c r="H35" s="10" t="str">
        <f>+G35</f>
        <v>Year</v>
      </c>
      <c r="I35" s="10" t="str">
        <f t="shared" ref="I35:M36" si="10">+H35</f>
        <v>Year</v>
      </c>
      <c r="J35" s="10" t="str">
        <f t="shared" si="10"/>
        <v>Year</v>
      </c>
      <c r="K35" s="10" t="str">
        <f t="shared" si="10"/>
        <v>Year</v>
      </c>
      <c r="L35" s="10" t="str">
        <f t="shared" si="10"/>
        <v>Year</v>
      </c>
      <c r="M35" s="10" t="str">
        <f t="shared" si="10"/>
        <v>Year</v>
      </c>
      <c r="N35" s="11"/>
      <c r="O35" s="44"/>
      <c r="P35" s="44"/>
      <c r="Q35" s="44"/>
      <c r="S35" s="12" t="str">
        <f>+C35</f>
        <v>Ngwenya</v>
      </c>
      <c r="T35" s="13">
        <f>+L39</f>
        <v>254</v>
      </c>
      <c r="U35" s="13">
        <f>+L40+L41</f>
        <v>59</v>
      </c>
      <c r="V35" s="13">
        <f>+L42+L43</f>
        <v>195</v>
      </c>
      <c r="W35" s="13">
        <f>+L46</f>
        <v>38</v>
      </c>
      <c r="X35" s="13">
        <f>+L44</f>
        <v>2</v>
      </c>
    </row>
    <row r="36" spans="1:24" x14ac:dyDescent="0.25">
      <c r="A36" s="14"/>
      <c r="B36" s="15"/>
      <c r="C36" s="41" t="str">
        <f>+$C20</f>
        <v>November 2024</v>
      </c>
      <c r="D36" s="18"/>
      <c r="E36" s="18"/>
      <c r="F36" s="18"/>
      <c r="G36" s="20" t="str">
        <f>+$G$4</f>
        <v>Mnt</v>
      </c>
      <c r="H36" s="20" t="str">
        <f>+G36</f>
        <v>Mnt</v>
      </c>
      <c r="I36" s="20" t="str">
        <f t="shared" si="10"/>
        <v>Mnt</v>
      </c>
      <c r="J36" s="20" t="str">
        <f t="shared" si="10"/>
        <v>Mnt</v>
      </c>
      <c r="K36" s="20" t="str">
        <f t="shared" si="10"/>
        <v>Mnt</v>
      </c>
      <c r="L36" s="20" t="str">
        <f t="shared" si="10"/>
        <v>Mnt</v>
      </c>
      <c r="M36" s="20" t="str">
        <f t="shared" si="10"/>
        <v>Mnt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3</v>
      </c>
      <c r="H37" s="25">
        <f>+$H$5</f>
        <v>10</v>
      </c>
      <c r="I37" s="25">
        <f>+$I$5</f>
        <v>17</v>
      </c>
      <c r="J37" s="25">
        <f>+$J$5</f>
        <v>24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 t="s">
        <v>89</v>
      </c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84</v>
      </c>
      <c r="H39" s="31">
        <f t="shared" ref="H39:L39" si="11">SUM(H40:H43)</f>
        <v>85</v>
      </c>
      <c r="I39" s="31">
        <f t="shared" si="11"/>
        <v>0</v>
      </c>
      <c r="J39" s="31">
        <f t="shared" si="11"/>
        <v>85</v>
      </c>
      <c r="K39" s="31">
        <f t="shared" si="11"/>
        <v>0</v>
      </c>
      <c r="L39" s="31">
        <f t="shared" si="11"/>
        <v>254</v>
      </c>
      <c r="M39" s="31">
        <f>ROUND((L39/$E$1),0)</f>
        <v>64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3</v>
      </c>
      <c r="H40" s="42">
        <v>5</v>
      </c>
      <c r="I40" s="42"/>
      <c r="J40" s="42">
        <v>5</v>
      </c>
      <c r="K40" s="42"/>
      <c r="L40" s="35">
        <f>SUM(G40:K40)</f>
        <v>13</v>
      </c>
      <c r="M40" s="35">
        <f t="shared" ref="M40:M48" si="12">ROUND((L40/$E$1),0)</f>
        <v>3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16</v>
      </c>
      <c r="H41" s="42">
        <v>15</v>
      </c>
      <c r="I41" s="42"/>
      <c r="J41" s="42">
        <v>15</v>
      </c>
      <c r="K41" s="42"/>
      <c r="L41" s="35">
        <f t="shared" ref="L41:L48" si="13">SUM(G41:K41)</f>
        <v>46</v>
      </c>
      <c r="M41" s="35">
        <f t="shared" si="12"/>
        <v>12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22</v>
      </c>
      <c r="H42" s="42">
        <v>25</v>
      </c>
      <c r="I42" s="42"/>
      <c r="J42" s="42">
        <v>20</v>
      </c>
      <c r="K42" s="42"/>
      <c r="L42" s="35">
        <f t="shared" si="13"/>
        <v>67</v>
      </c>
      <c r="M42" s="35">
        <f t="shared" si="12"/>
        <v>17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43</v>
      </c>
      <c r="H43" s="43">
        <v>40</v>
      </c>
      <c r="I43" s="43"/>
      <c r="J43" s="43">
        <v>45</v>
      </c>
      <c r="K43" s="43"/>
      <c r="L43" s="31">
        <f t="shared" si="13"/>
        <v>128</v>
      </c>
      <c r="M43" s="31">
        <f t="shared" si="12"/>
        <v>32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>
        <v>2</v>
      </c>
      <c r="I44" s="42"/>
      <c r="J44" s="42"/>
      <c r="K44" s="42"/>
      <c r="L44" s="35">
        <f t="shared" si="13"/>
        <v>2</v>
      </c>
      <c r="M44" s="35">
        <f t="shared" si="12"/>
        <v>1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12</v>
      </c>
      <c r="H46" s="42">
        <v>8</v>
      </c>
      <c r="I46" s="42">
        <v>10</v>
      </c>
      <c r="J46" s="42">
        <v>8</v>
      </c>
      <c r="K46" s="42"/>
      <c r="L46" s="35">
        <f t="shared" si="13"/>
        <v>38</v>
      </c>
      <c r="M46" s="35">
        <f t="shared" si="12"/>
        <v>10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96</v>
      </c>
      <c r="H47" s="42">
        <v>128</v>
      </c>
      <c r="I47" s="42">
        <v>64</v>
      </c>
      <c r="J47" s="42">
        <v>64</v>
      </c>
      <c r="K47" s="42"/>
      <c r="L47" s="35">
        <f t="shared" si="13"/>
        <v>352</v>
      </c>
      <c r="M47" s="35">
        <f t="shared" si="12"/>
        <v>88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 t="str">
        <f>+$G$3</f>
        <v>Year</v>
      </c>
      <c r="H51" s="10" t="str">
        <f>+G51</f>
        <v>Year</v>
      </c>
      <c r="I51" s="10" t="str">
        <f t="shared" ref="I51:M52" si="14">+H51</f>
        <v>Year</v>
      </c>
      <c r="J51" s="10" t="str">
        <f t="shared" si="14"/>
        <v>Year</v>
      </c>
      <c r="K51" s="10" t="str">
        <f t="shared" si="14"/>
        <v>Year</v>
      </c>
      <c r="L51" s="10" t="str">
        <f t="shared" si="14"/>
        <v>Year</v>
      </c>
      <c r="M51" s="10" t="str">
        <f t="shared" si="14"/>
        <v>Year</v>
      </c>
      <c r="N51" s="11"/>
      <c r="O51" s="44"/>
      <c r="P51" s="44"/>
      <c r="Q51" s="44"/>
      <c r="S51" s="12" t="str">
        <f>+C51</f>
        <v>Lavumisa</v>
      </c>
      <c r="T51" s="13">
        <f>+L55</f>
        <v>261</v>
      </c>
      <c r="U51" s="13">
        <f>+L56+L57</f>
        <v>65</v>
      </c>
      <c r="V51" s="13">
        <f>+L58+L59</f>
        <v>196</v>
      </c>
      <c r="W51" s="13">
        <f>+L62</f>
        <v>28</v>
      </c>
      <c r="X51" s="13">
        <f>+L60</f>
        <v>0</v>
      </c>
    </row>
    <row r="52" spans="1:24" x14ac:dyDescent="0.25">
      <c r="A52" s="14"/>
      <c r="B52" s="15"/>
      <c r="C52" s="41" t="str">
        <f>+$C36</f>
        <v>November 2024</v>
      </c>
      <c r="D52" s="18"/>
      <c r="E52" s="18"/>
      <c r="F52" s="18"/>
      <c r="G52" s="20" t="str">
        <f>+$G$4</f>
        <v>Mnt</v>
      </c>
      <c r="H52" s="20" t="str">
        <f>+G52</f>
        <v>Mnt</v>
      </c>
      <c r="I52" s="20" t="str">
        <f t="shared" si="14"/>
        <v>Mnt</v>
      </c>
      <c r="J52" s="20" t="str">
        <f t="shared" si="14"/>
        <v>Mnt</v>
      </c>
      <c r="K52" s="20" t="str">
        <f t="shared" si="14"/>
        <v>Mnt</v>
      </c>
      <c r="L52" s="20" t="str">
        <f t="shared" si="14"/>
        <v>Mnt</v>
      </c>
      <c r="M52" s="20" t="str">
        <f t="shared" si="14"/>
        <v>Mnt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3</v>
      </c>
      <c r="H53" s="25">
        <f>+$H$5</f>
        <v>10</v>
      </c>
      <c r="I53" s="25">
        <f>+$I$5</f>
        <v>17</v>
      </c>
      <c r="J53" s="25">
        <f>+$J$5</f>
        <v>24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65</v>
      </c>
      <c r="H55" s="31">
        <f t="shared" ref="H55:L55" si="15">SUM(H56:H59)</f>
        <v>60</v>
      </c>
      <c r="I55" s="31">
        <f t="shared" si="15"/>
        <v>75</v>
      </c>
      <c r="J55" s="31">
        <f t="shared" si="15"/>
        <v>61</v>
      </c>
      <c r="K55" s="31">
        <f t="shared" si="15"/>
        <v>0</v>
      </c>
      <c r="L55" s="31">
        <f t="shared" si="15"/>
        <v>261</v>
      </c>
      <c r="M55" s="31">
        <f>ROUND((L55/$E$1),0)</f>
        <v>65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3</v>
      </c>
      <c r="H56" s="42">
        <v>3</v>
      </c>
      <c r="I56" s="42">
        <v>2</v>
      </c>
      <c r="J56" s="42">
        <v>5</v>
      </c>
      <c r="K56" s="42"/>
      <c r="L56" s="35">
        <f>SUM(G56:K56)</f>
        <v>13</v>
      </c>
      <c r="M56" s="35">
        <f t="shared" ref="M56:M64" si="16">ROUND((L56/$E$1),0)</f>
        <v>3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14</v>
      </c>
      <c r="H57" s="42">
        <v>11</v>
      </c>
      <c r="I57" s="42">
        <v>16</v>
      </c>
      <c r="J57" s="42">
        <v>11</v>
      </c>
      <c r="K57" s="42"/>
      <c r="L57" s="35">
        <f t="shared" ref="L57:L64" si="17">SUM(G57:K57)</f>
        <v>52</v>
      </c>
      <c r="M57" s="35">
        <f t="shared" si="16"/>
        <v>13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17</v>
      </c>
      <c r="H58" s="42">
        <v>18</v>
      </c>
      <c r="I58" s="42">
        <v>23</v>
      </c>
      <c r="J58" s="42">
        <v>27</v>
      </c>
      <c r="K58" s="42"/>
      <c r="L58" s="35">
        <f t="shared" si="17"/>
        <v>85</v>
      </c>
      <c r="M58" s="35">
        <f t="shared" si="16"/>
        <v>21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31</v>
      </c>
      <c r="H59" s="43">
        <v>28</v>
      </c>
      <c r="I59" s="43">
        <v>34</v>
      </c>
      <c r="J59" s="43">
        <v>18</v>
      </c>
      <c r="K59" s="43"/>
      <c r="L59" s="31">
        <f t="shared" si="17"/>
        <v>111</v>
      </c>
      <c r="M59" s="31">
        <f t="shared" si="16"/>
        <v>28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6</v>
      </c>
      <c r="H62" s="42">
        <v>6</v>
      </c>
      <c r="I62" s="42">
        <v>7</v>
      </c>
      <c r="J62" s="42">
        <v>9</v>
      </c>
      <c r="K62" s="42"/>
      <c r="L62" s="35">
        <f t="shared" si="17"/>
        <v>28</v>
      </c>
      <c r="M62" s="35">
        <f t="shared" si="16"/>
        <v>7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 t="str">
        <f>+$G$3</f>
        <v>Year</v>
      </c>
      <c r="H67" s="10" t="str">
        <f>+G67</f>
        <v>Year</v>
      </c>
      <c r="I67" s="10" t="str">
        <f t="shared" ref="I67:M68" si="18">+H67</f>
        <v>Year</v>
      </c>
      <c r="J67" s="10" t="str">
        <f t="shared" si="18"/>
        <v>Year</v>
      </c>
      <c r="K67" s="10" t="str">
        <f t="shared" si="18"/>
        <v>Year</v>
      </c>
      <c r="L67" s="10" t="str">
        <f t="shared" si="18"/>
        <v>Year</v>
      </c>
      <c r="M67" s="10" t="str">
        <f t="shared" si="18"/>
        <v>Year</v>
      </c>
      <c r="N67" s="11"/>
      <c r="O67" s="44"/>
      <c r="P67" s="44"/>
      <c r="Q67" s="44"/>
      <c r="S67" s="12" t="str">
        <f>+C67</f>
        <v>Engcamini</v>
      </c>
      <c r="T67" s="13">
        <f>+L71</f>
        <v>498</v>
      </c>
      <c r="U67" s="13">
        <f>+L72+L73</f>
        <v>73</v>
      </c>
      <c r="V67" s="13">
        <f>+L74+L75</f>
        <v>425</v>
      </c>
      <c r="W67" s="13">
        <f>+L78</f>
        <v>13</v>
      </c>
      <c r="X67" s="13">
        <f>+L76</f>
        <v>19</v>
      </c>
    </row>
    <row r="68" spans="1:24" x14ac:dyDescent="0.25">
      <c r="A68" s="14"/>
      <c r="B68" s="15"/>
      <c r="C68" s="41" t="str">
        <f>+$C52</f>
        <v>November 2024</v>
      </c>
      <c r="D68" s="18"/>
      <c r="E68" s="18"/>
      <c r="F68" s="18"/>
      <c r="G68" s="20" t="str">
        <f>+$G$4</f>
        <v>Mnt</v>
      </c>
      <c r="H68" s="20" t="str">
        <f>+G68</f>
        <v>Mnt</v>
      </c>
      <c r="I68" s="20" t="str">
        <f t="shared" si="18"/>
        <v>Mnt</v>
      </c>
      <c r="J68" s="20" t="str">
        <f t="shared" si="18"/>
        <v>Mnt</v>
      </c>
      <c r="K68" s="20" t="str">
        <f t="shared" si="18"/>
        <v>Mnt</v>
      </c>
      <c r="L68" s="20" t="str">
        <f t="shared" si="18"/>
        <v>Mnt</v>
      </c>
      <c r="M68" s="20" t="str">
        <f t="shared" si="18"/>
        <v>Mnt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3</v>
      </c>
      <c r="H69" s="25">
        <f>+$H$5</f>
        <v>10</v>
      </c>
      <c r="I69" s="25">
        <f>+$I$5</f>
        <v>17</v>
      </c>
      <c r="J69" s="25">
        <f>+$J$5</f>
        <v>24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114</v>
      </c>
      <c r="H71" s="31">
        <f t="shared" ref="H71:L71" si="19">SUM(H72:H75)</f>
        <v>91</v>
      </c>
      <c r="I71" s="31">
        <f t="shared" si="19"/>
        <v>191</v>
      </c>
      <c r="J71" s="31">
        <f t="shared" si="19"/>
        <v>102</v>
      </c>
      <c r="K71" s="31">
        <f t="shared" si="19"/>
        <v>0</v>
      </c>
      <c r="L71" s="31">
        <f t="shared" si="19"/>
        <v>498</v>
      </c>
      <c r="M71" s="31">
        <f>ROUND((L71/$E$1),0)</f>
        <v>125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3</v>
      </c>
      <c r="I72" s="42">
        <v>2</v>
      </c>
      <c r="J72" s="42">
        <v>3</v>
      </c>
      <c r="K72" s="42"/>
      <c r="L72" s="35">
        <f>SUM(G72:K72)</f>
        <v>11</v>
      </c>
      <c r="M72" s="35">
        <f t="shared" ref="M72:M80" si="20">ROUND((L72/$E$1),0)</f>
        <v>3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15</v>
      </c>
      <c r="H73" s="42">
        <v>15</v>
      </c>
      <c r="I73" s="42">
        <v>15</v>
      </c>
      <c r="J73" s="42">
        <v>17</v>
      </c>
      <c r="K73" s="42"/>
      <c r="L73" s="35">
        <f t="shared" ref="L73:L80" si="21">SUM(G73:K73)</f>
        <v>62</v>
      </c>
      <c r="M73" s="35">
        <f t="shared" si="20"/>
        <v>16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13</v>
      </c>
      <c r="H74" s="42">
        <v>8</v>
      </c>
      <c r="I74" s="42">
        <v>92</v>
      </c>
      <c r="J74" s="42">
        <v>12</v>
      </c>
      <c r="K74" s="42"/>
      <c r="L74" s="35">
        <f t="shared" si="21"/>
        <v>125</v>
      </c>
      <c r="M74" s="35">
        <f t="shared" si="20"/>
        <v>31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83</v>
      </c>
      <c r="H75" s="43">
        <v>65</v>
      </c>
      <c r="I75" s="43">
        <v>82</v>
      </c>
      <c r="J75" s="43">
        <v>70</v>
      </c>
      <c r="K75" s="43"/>
      <c r="L75" s="31">
        <f t="shared" si="21"/>
        <v>300</v>
      </c>
      <c r="M75" s="31">
        <f t="shared" si="20"/>
        <v>75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>
        <v>17</v>
      </c>
      <c r="H76" s="42">
        <v>2</v>
      </c>
      <c r="I76" s="42"/>
      <c r="J76" s="42"/>
      <c r="K76" s="42"/>
      <c r="L76" s="35">
        <f t="shared" si="21"/>
        <v>19</v>
      </c>
      <c r="M76" s="35">
        <f t="shared" si="20"/>
        <v>5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>
        <v>5</v>
      </c>
      <c r="H78" s="42">
        <v>2</v>
      </c>
      <c r="I78" s="42">
        <v>4</v>
      </c>
      <c r="J78" s="42">
        <v>2</v>
      </c>
      <c r="K78" s="42"/>
      <c r="L78" s="35">
        <f t="shared" si="21"/>
        <v>13</v>
      </c>
      <c r="M78" s="35">
        <f t="shared" si="20"/>
        <v>3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/>
      <c r="H79" s="42"/>
      <c r="I79" s="42"/>
      <c r="J79" s="42">
        <v>108</v>
      </c>
      <c r="K79" s="42"/>
      <c r="L79" s="35">
        <f t="shared" si="21"/>
        <v>108</v>
      </c>
      <c r="M79" s="35">
        <f t="shared" si="20"/>
        <v>27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 t="str">
        <f>+$G$3</f>
        <v>Year</v>
      </c>
      <c r="H83" s="10" t="str">
        <f>+G83</f>
        <v>Year</v>
      </c>
      <c r="I83" s="10" t="str">
        <f t="shared" ref="I83:M84" si="22">+H83</f>
        <v>Year</v>
      </c>
      <c r="J83" s="10" t="str">
        <f t="shared" si="22"/>
        <v>Year</v>
      </c>
      <c r="K83" s="10" t="str">
        <f t="shared" si="22"/>
        <v>Year</v>
      </c>
      <c r="L83" s="10" t="str">
        <f t="shared" si="22"/>
        <v>Year</v>
      </c>
      <c r="M83" s="10" t="str">
        <f t="shared" si="22"/>
        <v>Year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November 2024</v>
      </c>
      <c r="D84" s="18"/>
      <c r="E84" s="18"/>
      <c r="F84" s="18"/>
      <c r="G84" s="20" t="str">
        <f>+$G$4</f>
        <v>Mnt</v>
      </c>
      <c r="H84" s="20" t="str">
        <f>+G84</f>
        <v>Mnt</v>
      </c>
      <c r="I84" s="20" t="str">
        <f t="shared" si="22"/>
        <v>Mnt</v>
      </c>
      <c r="J84" s="20" t="str">
        <f t="shared" si="22"/>
        <v>Mnt</v>
      </c>
      <c r="K84" s="20" t="str">
        <f t="shared" si="22"/>
        <v>Mnt</v>
      </c>
      <c r="L84" s="20" t="str">
        <f t="shared" si="22"/>
        <v>Mnt</v>
      </c>
      <c r="M84" s="20" t="str">
        <f t="shared" si="22"/>
        <v>Mnt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3</v>
      </c>
      <c r="H85" s="25">
        <f>+$H$5</f>
        <v>10</v>
      </c>
      <c r="I85" s="25">
        <f>+$I$5</f>
        <v>17</v>
      </c>
      <c r="J85" s="25">
        <f>+$J$5</f>
        <v>24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 t="str">
        <f>+$G$3</f>
        <v>Year</v>
      </c>
      <c r="H99" s="10" t="str">
        <f>+G99</f>
        <v>Year</v>
      </c>
      <c r="I99" s="10" t="str">
        <f t="shared" ref="I99:M100" si="26">+H99</f>
        <v>Year</v>
      </c>
      <c r="J99" s="10" t="str">
        <f t="shared" si="26"/>
        <v>Year</v>
      </c>
      <c r="K99" s="10" t="str">
        <f t="shared" si="26"/>
        <v>Year</v>
      </c>
      <c r="L99" s="10" t="str">
        <f t="shared" si="26"/>
        <v>Year</v>
      </c>
      <c r="M99" s="10" t="str">
        <f t="shared" si="26"/>
        <v>Year</v>
      </c>
      <c r="N99" s="11"/>
      <c r="O99" s="44"/>
      <c r="P99" s="44"/>
      <c r="Q99" s="44"/>
      <c r="S99" s="12" t="str">
        <f>+C99</f>
        <v>Ngwempisi</v>
      </c>
      <c r="T99" s="13">
        <f>+L103</f>
        <v>317</v>
      </c>
      <c r="U99" s="13">
        <f>+L104+L105</f>
        <v>116</v>
      </c>
      <c r="V99" s="13">
        <f>+L106+L107</f>
        <v>201</v>
      </c>
      <c r="W99" s="13">
        <f>+L110</f>
        <v>9</v>
      </c>
      <c r="X99" s="13">
        <f>+L108</f>
        <v>0</v>
      </c>
    </row>
    <row r="100" spans="1:24" x14ac:dyDescent="0.25">
      <c r="A100" s="14"/>
      <c r="B100" s="15"/>
      <c r="C100" s="41" t="str">
        <f>+$C84</f>
        <v>November 2024</v>
      </c>
      <c r="D100" s="18"/>
      <c r="E100" s="18"/>
      <c r="F100" s="18"/>
      <c r="G100" s="20" t="str">
        <f>+$G$4</f>
        <v>Mnt</v>
      </c>
      <c r="H100" s="20" t="str">
        <f>+G100</f>
        <v>Mnt</v>
      </c>
      <c r="I100" s="20" t="str">
        <f t="shared" si="26"/>
        <v>Mnt</v>
      </c>
      <c r="J100" s="20" t="str">
        <f t="shared" si="26"/>
        <v>Mnt</v>
      </c>
      <c r="K100" s="20" t="str">
        <f t="shared" si="26"/>
        <v>Mnt</v>
      </c>
      <c r="L100" s="20" t="str">
        <f t="shared" si="26"/>
        <v>Mnt</v>
      </c>
      <c r="M100" s="20" t="str">
        <f t="shared" si="26"/>
        <v>Mnt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3</v>
      </c>
      <c r="H101" s="25">
        <f>+$H$5</f>
        <v>10</v>
      </c>
      <c r="I101" s="25">
        <f>+$I$5</f>
        <v>17</v>
      </c>
      <c r="J101" s="25">
        <f>+$J$5</f>
        <v>24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72</v>
      </c>
      <c r="H103" s="31">
        <f t="shared" ref="H103:L103" si="27">SUM(H104:H107)</f>
        <v>79</v>
      </c>
      <c r="I103" s="31">
        <f t="shared" si="27"/>
        <v>76</v>
      </c>
      <c r="J103" s="31">
        <f t="shared" si="27"/>
        <v>90</v>
      </c>
      <c r="K103" s="31">
        <f t="shared" si="27"/>
        <v>0</v>
      </c>
      <c r="L103" s="31">
        <f t="shared" si="27"/>
        <v>317</v>
      </c>
      <c r="M103" s="31">
        <f>ROUND((L103/$E$1),0)</f>
        <v>79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3</v>
      </c>
      <c r="H104" s="42">
        <v>4</v>
      </c>
      <c r="I104" s="42">
        <v>3</v>
      </c>
      <c r="J104" s="42">
        <v>4</v>
      </c>
      <c r="K104" s="42"/>
      <c r="L104" s="35">
        <f>SUM(G104:K104)</f>
        <v>14</v>
      </c>
      <c r="M104" s="35">
        <f t="shared" ref="M104:M112" si="28">ROUND((L104/$E$1),0)</f>
        <v>4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25</v>
      </c>
      <c r="H105" s="42">
        <v>25</v>
      </c>
      <c r="I105" s="42">
        <v>27</v>
      </c>
      <c r="J105" s="42">
        <v>25</v>
      </c>
      <c r="K105" s="42"/>
      <c r="L105" s="35">
        <f t="shared" ref="L105:L112" si="29">SUM(G105:K105)</f>
        <v>102</v>
      </c>
      <c r="M105" s="35">
        <f t="shared" si="28"/>
        <v>26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16</v>
      </c>
      <c r="H106" s="42">
        <v>16</v>
      </c>
      <c r="I106" s="42">
        <v>18</v>
      </c>
      <c r="J106" s="42">
        <v>23</v>
      </c>
      <c r="K106" s="42"/>
      <c r="L106" s="35">
        <f t="shared" si="29"/>
        <v>73</v>
      </c>
      <c r="M106" s="35">
        <f t="shared" si="28"/>
        <v>18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28</v>
      </c>
      <c r="H107" s="43">
        <v>34</v>
      </c>
      <c r="I107" s="43">
        <v>28</v>
      </c>
      <c r="J107" s="43">
        <v>38</v>
      </c>
      <c r="K107" s="43"/>
      <c r="L107" s="31">
        <f t="shared" si="29"/>
        <v>128</v>
      </c>
      <c r="M107" s="31">
        <f t="shared" si="28"/>
        <v>32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>
        <v>9</v>
      </c>
      <c r="H110" s="42"/>
      <c r="I110" s="42"/>
      <c r="J110" s="42"/>
      <c r="K110" s="42"/>
      <c r="L110" s="35">
        <f t="shared" si="29"/>
        <v>9</v>
      </c>
      <c r="M110" s="35">
        <f t="shared" si="28"/>
        <v>2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 t="str">
        <f>+$G$3</f>
        <v>Year</v>
      </c>
      <c r="H115" s="10" t="str">
        <f>+G115</f>
        <v>Year</v>
      </c>
      <c r="I115" s="10" t="str">
        <f t="shared" ref="I115:M116" si="30">+H115</f>
        <v>Year</v>
      </c>
      <c r="J115" s="10" t="str">
        <f t="shared" si="30"/>
        <v>Year</v>
      </c>
      <c r="K115" s="10" t="str">
        <f t="shared" si="30"/>
        <v>Year</v>
      </c>
      <c r="L115" s="10" t="str">
        <f t="shared" si="30"/>
        <v>Year</v>
      </c>
      <c r="M115" s="10" t="str">
        <f t="shared" si="30"/>
        <v>Year</v>
      </c>
      <c r="N115" s="11"/>
      <c r="O115" s="44"/>
      <c r="P115" s="44"/>
      <c r="Q115" s="44"/>
      <c r="S115" s="12" t="str">
        <f>+C115</f>
        <v>Gebeni</v>
      </c>
      <c r="T115" s="13">
        <f>+L119</f>
        <v>241</v>
      </c>
      <c r="U115" s="13">
        <f>+L120+L121</f>
        <v>59</v>
      </c>
      <c r="V115" s="13">
        <f>+L122+L123</f>
        <v>182</v>
      </c>
      <c r="W115" s="13">
        <f>+L126</f>
        <v>22</v>
      </c>
      <c r="X115" s="13">
        <f>+L124</f>
        <v>27</v>
      </c>
    </row>
    <row r="116" spans="1:24" x14ac:dyDescent="0.25">
      <c r="A116" s="14"/>
      <c r="B116" s="15"/>
      <c r="C116" s="41" t="str">
        <f>+$C100</f>
        <v>November 2024</v>
      </c>
      <c r="D116" s="18"/>
      <c r="E116" s="18"/>
      <c r="F116" s="18"/>
      <c r="G116" s="20" t="str">
        <f>+$G$4</f>
        <v>Mnt</v>
      </c>
      <c r="H116" s="20" t="str">
        <f>+G116</f>
        <v>Mnt</v>
      </c>
      <c r="I116" s="20" t="str">
        <f t="shared" si="30"/>
        <v>Mnt</v>
      </c>
      <c r="J116" s="20" t="str">
        <f t="shared" si="30"/>
        <v>Mnt</v>
      </c>
      <c r="K116" s="20" t="str">
        <f t="shared" si="30"/>
        <v>Mnt</v>
      </c>
      <c r="L116" s="20" t="str">
        <f t="shared" si="30"/>
        <v>Mnt</v>
      </c>
      <c r="M116" s="20" t="str">
        <f t="shared" si="30"/>
        <v>Mnt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3</v>
      </c>
      <c r="H117" s="25">
        <f>+$H$5</f>
        <v>10</v>
      </c>
      <c r="I117" s="25">
        <f>+$I$5</f>
        <v>17</v>
      </c>
      <c r="J117" s="25">
        <f>+$J$5</f>
        <v>24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78</v>
      </c>
      <c r="H119" s="31">
        <f t="shared" ref="H119:L119" si="31">SUM(H120:H123)</f>
        <v>34</v>
      </c>
      <c r="I119" s="31">
        <f t="shared" si="31"/>
        <v>63</v>
      </c>
      <c r="J119" s="31">
        <f t="shared" si="31"/>
        <v>66</v>
      </c>
      <c r="K119" s="31">
        <f t="shared" si="31"/>
        <v>0</v>
      </c>
      <c r="L119" s="31">
        <f t="shared" si="31"/>
        <v>241</v>
      </c>
      <c r="M119" s="31">
        <f>ROUND((L119/$E$1),0)</f>
        <v>60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6</v>
      </c>
      <c r="H120" s="42">
        <v>2</v>
      </c>
      <c r="I120" s="42">
        <v>1</v>
      </c>
      <c r="J120" s="42">
        <v>2</v>
      </c>
      <c r="K120" s="42"/>
      <c r="L120" s="35">
        <f>SUM(G120:K120)</f>
        <v>11</v>
      </c>
      <c r="M120" s="35">
        <f t="shared" ref="M120:M128" si="32">ROUND((L120/$E$1),0)</f>
        <v>3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15</v>
      </c>
      <c r="H121" s="42">
        <v>8</v>
      </c>
      <c r="I121" s="42">
        <v>10</v>
      </c>
      <c r="J121" s="42">
        <v>15</v>
      </c>
      <c r="K121" s="42"/>
      <c r="L121" s="35">
        <f t="shared" ref="L121:L128" si="33">SUM(G121:K121)</f>
        <v>48</v>
      </c>
      <c r="M121" s="35">
        <f t="shared" si="32"/>
        <v>12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27</v>
      </c>
      <c r="H122" s="42">
        <v>10</v>
      </c>
      <c r="I122" s="42">
        <v>20</v>
      </c>
      <c r="J122" s="42">
        <v>21</v>
      </c>
      <c r="K122" s="42"/>
      <c r="L122" s="35">
        <f t="shared" si="33"/>
        <v>78</v>
      </c>
      <c r="M122" s="35">
        <f t="shared" si="32"/>
        <v>20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30</v>
      </c>
      <c r="H123" s="43">
        <v>14</v>
      </c>
      <c r="I123" s="43">
        <v>32</v>
      </c>
      <c r="J123" s="43">
        <v>28</v>
      </c>
      <c r="K123" s="43"/>
      <c r="L123" s="31">
        <f t="shared" si="33"/>
        <v>104</v>
      </c>
      <c r="M123" s="31">
        <f t="shared" si="32"/>
        <v>26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21</v>
      </c>
      <c r="H124" s="42"/>
      <c r="I124" s="42">
        <v>2</v>
      </c>
      <c r="J124" s="42">
        <v>4</v>
      </c>
      <c r="K124" s="42"/>
      <c r="L124" s="35">
        <f t="shared" si="33"/>
        <v>27</v>
      </c>
      <c r="M124" s="35">
        <f t="shared" si="32"/>
        <v>7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9</v>
      </c>
      <c r="H126" s="42"/>
      <c r="I126" s="42">
        <v>5</v>
      </c>
      <c r="J126" s="42">
        <v>8</v>
      </c>
      <c r="K126" s="42"/>
      <c r="L126" s="35">
        <f t="shared" si="33"/>
        <v>22</v>
      </c>
      <c r="M126" s="35">
        <f t="shared" si="32"/>
        <v>6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>
        <v>16</v>
      </c>
      <c r="H127" s="42"/>
      <c r="I127" s="42"/>
      <c r="J127" s="42">
        <v>12</v>
      </c>
      <c r="K127" s="42"/>
      <c r="L127" s="35">
        <f t="shared" si="33"/>
        <v>28</v>
      </c>
      <c r="M127" s="35">
        <f t="shared" si="32"/>
        <v>7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 t="str">
        <f>+$G$3</f>
        <v>Year</v>
      </c>
      <c r="H131" s="10" t="str">
        <f>+G131</f>
        <v>Year</v>
      </c>
      <c r="I131" s="10" t="str">
        <f t="shared" ref="I131:M132" si="34">+H131</f>
        <v>Year</v>
      </c>
      <c r="J131" s="10" t="str">
        <f t="shared" si="34"/>
        <v>Year</v>
      </c>
      <c r="K131" s="10" t="str">
        <f t="shared" si="34"/>
        <v>Year</v>
      </c>
      <c r="L131" s="10" t="str">
        <f t="shared" si="34"/>
        <v>Year</v>
      </c>
      <c r="M131" s="10" t="str">
        <f t="shared" si="34"/>
        <v>Year</v>
      </c>
      <c r="N131" s="11"/>
      <c r="O131" s="44"/>
      <c r="P131" s="44"/>
      <c r="Q131" s="44"/>
      <c r="S131" s="12" t="str">
        <f>+C131</f>
        <v>Mpolonjeni CLC</v>
      </c>
      <c r="T131" s="13">
        <f>+L135</f>
        <v>172</v>
      </c>
      <c r="U131" s="13">
        <f>+L136+L137</f>
        <v>55</v>
      </c>
      <c r="V131" s="13">
        <f>+L138+L139</f>
        <v>117</v>
      </c>
      <c r="W131" s="13">
        <f>+L142</f>
        <v>1</v>
      </c>
      <c r="X131" s="13">
        <f>+L140</f>
        <v>0</v>
      </c>
    </row>
    <row r="132" spans="1:24" x14ac:dyDescent="0.25">
      <c r="A132" s="14"/>
      <c r="B132" s="15"/>
      <c r="C132" s="41" t="str">
        <f>+$C116</f>
        <v>November 2024</v>
      </c>
      <c r="D132" s="18"/>
      <c r="E132" s="18"/>
      <c r="F132" s="18"/>
      <c r="G132" s="20" t="str">
        <f>+$G$4</f>
        <v>Mnt</v>
      </c>
      <c r="H132" s="20" t="str">
        <f>+G132</f>
        <v>Mnt</v>
      </c>
      <c r="I132" s="20" t="str">
        <f t="shared" si="34"/>
        <v>Mnt</v>
      </c>
      <c r="J132" s="20" t="str">
        <f t="shared" si="34"/>
        <v>Mnt</v>
      </c>
      <c r="K132" s="20" t="str">
        <f t="shared" si="34"/>
        <v>Mnt</v>
      </c>
      <c r="L132" s="20" t="str">
        <f t="shared" si="34"/>
        <v>Mnt</v>
      </c>
      <c r="M132" s="20" t="str">
        <f t="shared" si="34"/>
        <v>Mnt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3</v>
      </c>
      <c r="H133" s="25">
        <f>+$H$5</f>
        <v>10</v>
      </c>
      <c r="I133" s="25">
        <f>+$I$5</f>
        <v>17</v>
      </c>
      <c r="J133" s="25">
        <f>+$J$5</f>
        <v>24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 t="s">
        <v>90</v>
      </c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63</v>
      </c>
      <c r="H135" s="31">
        <f t="shared" ref="H135:L135" si="35">SUM(H136:H139)</f>
        <v>45</v>
      </c>
      <c r="I135" s="31">
        <f t="shared" si="35"/>
        <v>64</v>
      </c>
      <c r="J135" s="31">
        <f t="shared" si="35"/>
        <v>0</v>
      </c>
      <c r="K135" s="31">
        <f t="shared" si="35"/>
        <v>0</v>
      </c>
      <c r="L135" s="31">
        <f t="shared" si="35"/>
        <v>172</v>
      </c>
      <c r="M135" s="31">
        <f>ROUND((L135/$E$1),0)</f>
        <v>43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4</v>
      </c>
      <c r="H136" s="42">
        <v>3</v>
      </c>
      <c r="I136" s="42">
        <v>5</v>
      </c>
      <c r="J136" s="42"/>
      <c r="K136" s="42"/>
      <c r="L136" s="35">
        <f>SUM(G136:K136)</f>
        <v>12</v>
      </c>
      <c r="M136" s="35">
        <f t="shared" ref="M136:M144" si="36">ROUND((L136/$E$1),0)</f>
        <v>3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15</v>
      </c>
      <c r="H137" s="42">
        <v>12</v>
      </c>
      <c r="I137" s="42">
        <v>16</v>
      </c>
      <c r="J137" s="42"/>
      <c r="K137" s="42"/>
      <c r="L137" s="35">
        <f t="shared" ref="L137:L144" si="37">SUM(G137:K137)</f>
        <v>43</v>
      </c>
      <c r="M137" s="35">
        <f t="shared" si="36"/>
        <v>11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14</v>
      </c>
      <c r="H138" s="42">
        <v>10</v>
      </c>
      <c r="I138" s="42">
        <v>13</v>
      </c>
      <c r="J138" s="42"/>
      <c r="K138" s="42"/>
      <c r="L138" s="35">
        <f t="shared" si="37"/>
        <v>37</v>
      </c>
      <c r="M138" s="35">
        <f t="shared" si="36"/>
        <v>9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30</v>
      </c>
      <c r="H139" s="43">
        <v>20</v>
      </c>
      <c r="I139" s="43">
        <v>30</v>
      </c>
      <c r="J139" s="43"/>
      <c r="K139" s="43"/>
      <c r="L139" s="31">
        <f t="shared" si="37"/>
        <v>80</v>
      </c>
      <c r="M139" s="31">
        <f t="shared" si="36"/>
        <v>20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/>
      <c r="I142" s="42"/>
      <c r="J142" s="42">
        <v>1</v>
      </c>
      <c r="K142" s="42"/>
      <c r="L142" s="35">
        <f t="shared" si="37"/>
        <v>1</v>
      </c>
      <c r="M142" s="35">
        <f t="shared" si="36"/>
        <v>0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>
        <v>30</v>
      </c>
      <c r="H143" s="42">
        <v>20</v>
      </c>
      <c r="I143" s="42">
        <v>30</v>
      </c>
      <c r="J143" s="42">
        <v>96</v>
      </c>
      <c r="K143" s="42"/>
      <c r="L143" s="35">
        <f t="shared" si="37"/>
        <v>176</v>
      </c>
      <c r="M143" s="35">
        <f t="shared" si="36"/>
        <v>44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 t="str">
        <f>+$G$3</f>
        <v>Year</v>
      </c>
      <c r="H147" s="10" t="str">
        <f>+G147</f>
        <v>Year</v>
      </c>
      <c r="I147" s="10" t="str">
        <f t="shared" ref="I147:M148" si="38">+H147</f>
        <v>Year</v>
      </c>
      <c r="J147" s="10" t="str">
        <f t="shared" si="38"/>
        <v>Year</v>
      </c>
      <c r="K147" s="10" t="str">
        <f t="shared" si="38"/>
        <v>Year</v>
      </c>
      <c r="L147" s="10" t="str">
        <f t="shared" si="38"/>
        <v>Year</v>
      </c>
      <c r="M147" s="10" t="str">
        <f t="shared" si="38"/>
        <v>Year</v>
      </c>
      <c r="N147" s="11"/>
      <c r="O147" s="44"/>
      <c r="P147" s="44"/>
      <c r="Q147" s="44"/>
      <c r="S147" s="12" t="str">
        <f>+C147</f>
        <v>Msahweni CLC</v>
      </c>
      <c r="T147" s="13">
        <f>+L151</f>
        <v>361</v>
      </c>
      <c r="U147" s="13">
        <f>+L152+L153</f>
        <v>117</v>
      </c>
      <c r="V147" s="13">
        <f>+L154+L155</f>
        <v>244</v>
      </c>
      <c r="W147" s="13">
        <f>+L158</f>
        <v>12</v>
      </c>
      <c r="X147" s="13">
        <f>+L156</f>
        <v>4</v>
      </c>
    </row>
    <row r="148" spans="1:24" x14ac:dyDescent="0.25">
      <c r="A148" s="14"/>
      <c r="B148" s="15"/>
      <c r="C148" s="41" t="str">
        <f>+$C132</f>
        <v>November 2024</v>
      </c>
      <c r="D148" s="18"/>
      <c r="E148" s="18"/>
      <c r="F148" s="18"/>
      <c r="G148" s="20" t="str">
        <f>+$G$4</f>
        <v>Mnt</v>
      </c>
      <c r="H148" s="20" t="str">
        <f>+G148</f>
        <v>Mnt</v>
      </c>
      <c r="I148" s="20" t="str">
        <f t="shared" si="38"/>
        <v>Mnt</v>
      </c>
      <c r="J148" s="20" t="str">
        <f t="shared" si="38"/>
        <v>Mnt</v>
      </c>
      <c r="K148" s="20" t="str">
        <f t="shared" si="38"/>
        <v>Mnt</v>
      </c>
      <c r="L148" s="20" t="str">
        <f t="shared" si="38"/>
        <v>Mnt</v>
      </c>
      <c r="M148" s="20" t="str">
        <f t="shared" si="38"/>
        <v>Mnt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3</v>
      </c>
      <c r="H149" s="25">
        <f>+$H$5</f>
        <v>10</v>
      </c>
      <c r="I149" s="25">
        <f>+$I$5</f>
        <v>17</v>
      </c>
      <c r="J149" s="25">
        <f>+$J$5</f>
        <v>24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96</v>
      </c>
      <c r="H151" s="31">
        <f t="shared" ref="H151:L151" si="39">SUM(H152:H155)</f>
        <v>92</v>
      </c>
      <c r="I151" s="31">
        <f t="shared" si="39"/>
        <v>76</v>
      </c>
      <c r="J151" s="31">
        <f t="shared" si="39"/>
        <v>97</v>
      </c>
      <c r="K151" s="31">
        <f t="shared" si="39"/>
        <v>0</v>
      </c>
      <c r="L151" s="31">
        <f t="shared" si="39"/>
        <v>361</v>
      </c>
      <c r="M151" s="31">
        <f>ROUND((L151/$E$1),0)</f>
        <v>90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6</v>
      </c>
      <c r="H152" s="42">
        <v>4</v>
      </c>
      <c r="I152" s="42">
        <v>5</v>
      </c>
      <c r="J152" s="42">
        <v>5</v>
      </c>
      <c r="K152" s="42"/>
      <c r="L152" s="35">
        <f>SUM(G152:K152)</f>
        <v>20</v>
      </c>
      <c r="M152" s="35">
        <f t="shared" ref="M152:M160" si="40">ROUND((L152/$E$1),0)</f>
        <v>5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21</v>
      </c>
      <c r="H153" s="42">
        <v>24</v>
      </c>
      <c r="I153" s="42">
        <v>27</v>
      </c>
      <c r="J153" s="42">
        <v>25</v>
      </c>
      <c r="K153" s="42"/>
      <c r="L153" s="35">
        <f t="shared" ref="L153:L160" si="41">SUM(G153:K153)</f>
        <v>97</v>
      </c>
      <c r="M153" s="35">
        <f t="shared" si="40"/>
        <v>24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29</v>
      </c>
      <c r="H154" s="42">
        <v>35</v>
      </c>
      <c r="I154" s="42">
        <v>24</v>
      </c>
      <c r="J154" s="42">
        <v>32</v>
      </c>
      <c r="K154" s="42"/>
      <c r="L154" s="35">
        <f t="shared" si="41"/>
        <v>120</v>
      </c>
      <c r="M154" s="35">
        <f t="shared" si="40"/>
        <v>30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40</v>
      </c>
      <c r="H155" s="43">
        <v>29</v>
      </c>
      <c r="I155" s="43">
        <v>20</v>
      </c>
      <c r="J155" s="43">
        <v>35</v>
      </c>
      <c r="K155" s="43"/>
      <c r="L155" s="31">
        <f t="shared" si="41"/>
        <v>124</v>
      </c>
      <c r="M155" s="31">
        <f t="shared" si="40"/>
        <v>31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>
        <v>4</v>
      </c>
      <c r="K156" s="42"/>
      <c r="L156" s="35">
        <f t="shared" si="41"/>
        <v>4</v>
      </c>
      <c r="M156" s="35">
        <f t="shared" si="40"/>
        <v>1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4</v>
      </c>
      <c r="H158" s="42">
        <v>1</v>
      </c>
      <c r="I158" s="42">
        <v>4</v>
      </c>
      <c r="J158" s="42">
        <v>3</v>
      </c>
      <c r="K158" s="42"/>
      <c r="L158" s="35">
        <f t="shared" si="41"/>
        <v>12</v>
      </c>
      <c r="M158" s="35">
        <f t="shared" si="40"/>
        <v>3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12</v>
      </c>
      <c r="H159" s="42">
        <v>20</v>
      </c>
      <c r="I159" s="42"/>
      <c r="J159" s="42">
        <v>21</v>
      </c>
      <c r="K159" s="42"/>
      <c r="L159" s="35">
        <f t="shared" si="41"/>
        <v>53</v>
      </c>
      <c r="M159" s="35">
        <f t="shared" si="40"/>
        <v>13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 t="str">
        <f>+$G$3</f>
        <v>Year</v>
      </c>
      <c r="H163" s="10" t="str">
        <f>+G163</f>
        <v>Year</v>
      </c>
      <c r="I163" s="10" t="str">
        <f t="shared" ref="I163:M164" si="42">+H163</f>
        <v>Year</v>
      </c>
      <c r="J163" s="10" t="str">
        <f t="shared" si="42"/>
        <v>Year</v>
      </c>
      <c r="K163" s="10" t="str">
        <f t="shared" si="42"/>
        <v>Year</v>
      </c>
      <c r="L163" s="10" t="str">
        <f t="shared" si="42"/>
        <v>Year</v>
      </c>
      <c r="M163" s="10" t="str">
        <f t="shared" si="42"/>
        <v>Year</v>
      </c>
      <c r="N163" s="11"/>
      <c r="O163" s="44"/>
      <c r="P163" s="44"/>
      <c r="Q163" s="44"/>
      <c r="S163" s="12" t="str">
        <f>+C163</f>
        <v>Mhlangatane</v>
      </c>
      <c r="T163" s="13">
        <f>+L167</f>
        <v>125</v>
      </c>
      <c r="U163" s="13">
        <f>+L168+L169</f>
        <v>35</v>
      </c>
      <c r="V163" s="13">
        <f>+L170+L171</f>
        <v>90</v>
      </c>
      <c r="W163" s="13">
        <f>+L174</f>
        <v>6</v>
      </c>
      <c r="X163" s="13">
        <f>+L172</f>
        <v>1</v>
      </c>
    </row>
    <row r="164" spans="1:24" x14ac:dyDescent="0.25">
      <c r="A164" s="14"/>
      <c r="B164" s="15"/>
      <c r="C164" s="41" t="str">
        <f>+$C148</f>
        <v>November 2024</v>
      </c>
      <c r="D164" s="18"/>
      <c r="E164" s="18"/>
      <c r="F164" s="18"/>
      <c r="G164" s="20" t="str">
        <f>+$G$4</f>
        <v>Mnt</v>
      </c>
      <c r="H164" s="20" t="str">
        <f>+G164</f>
        <v>Mnt</v>
      </c>
      <c r="I164" s="20" t="str">
        <f t="shared" si="42"/>
        <v>Mnt</v>
      </c>
      <c r="J164" s="20" t="str">
        <f t="shared" si="42"/>
        <v>Mnt</v>
      </c>
      <c r="K164" s="20" t="str">
        <f t="shared" si="42"/>
        <v>Mnt</v>
      </c>
      <c r="L164" s="20" t="str">
        <f t="shared" si="42"/>
        <v>Mnt</v>
      </c>
      <c r="M164" s="20" t="str">
        <f t="shared" si="42"/>
        <v>Mnt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3</v>
      </c>
      <c r="H165" s="25">
        <f>+$H$5</f>
        <v>10</v>
      </c>
      <c r="I165" s="25">
        <f>+$I$5</f>
        <v>17</v>
      </c>
      <c r="J165" s="25">
        <f>+$J$5</f>
        <v>24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42</v>
      </c>
      <c r="H167" s="31">
        <f t="shared" ref="H167:L167" si="43">SUM(H168:H171)</f>
        <v>20</v>
      </c>
      <c r="I167" s="31">
        <f t="shared" si="43"/>
        <v>29</v>
      </c>
      <c r="J167" s="31">
        <f t="shared" si="43"/>
        <v>34</v>
      </c>
      <c r="K167" s="31">
        <f t="shared" si="43"/>
        <v>0</v>
      </c>
      <c r="L167" s="31">
        <f t="shared" si="43"/>
        <v>125</v>
      </c>
      <c r="M167" s="31">
        <f>ROUND((L167/$E$1),0)</f>
        <v>31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2</v>
      </c>
      <c r="H168" s="42">
        <v>1</v>
      </c>
      <c r="I168" s="42">
        <v>2</v>
      </c>
      <c r="J168" s="42">
        <v>1</v>
      </c>
      <c r="K168" s="42"/>
      <c r="L168" s="35">
        <f>SUM(G168:K168)</f>
        <v>6</v>
      </c>
      <c r="M168" s="35">
        <f t="shared" ref="M168:M176" si="44">ROUND((L168/$E$1),0)</f>
        <v>2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8</v>
      </c>
      <c r="H169" s="42">
        <v>4</v>
      </c>
      <c r="I169" s="42">
        <v>8</v>
      </c>
      <c r="J169" s="42">
        <v>9</v>
      </c>
      <c r="K169" s="42"/>
      <c r="L169" s="35">
        <f t="shared" ref="L169:L176" si="45">SUM(G169:K169)</f>
        <v>29</v>
      </c>
      <c r="M169" s="35">
        <f t="shared" si="44"/>
        <v>7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7</v>
      </c>
      <c r="H170" s="42">
        <v>8</v>
      </c>
      <c r="I170" s="42">
        <v>8</v>
      </c>
      <c r="J170" s="42">
        <v>8</v>
      </c>
      <c r="K170" s="42"/>
      <c r="L170" s="35">
        <f t="shared" si="45"/>
        <v>31</v>
      </c>
      <c r="M170" s="35">
        <f t="shared" si="44"/>
        <v>8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25</v>
      </c>
      <c r="H171" s="43">
        <v>7</v>
      </c>
      <c r="I171" s="43">
        <v>11</v>
      </c>
      <c r="J171" s="43">
        <v>16</v>
      </c>
      <c r="K171" s="43"/>
      <c r="L171" s="31">
        <f t="shared" si="45"/>
        <v>59</v>
      </c>
      <c r="M171" s="31">
        <f t="shared" si="44"/>
        <v>15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>
        <v>1</v>
      </c>
      <c r="J172" s="42"/>
      <c r="K172" s="42"/>
      <c r="L172" s="35">
        <f t="shared" si="45"/>
        <v>1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2</v>
      </c>
      <c r="H174" s="42">
        <v>1</v>
      </c>
      <c r="I174" s="42"/>
      <c r="J174" s="42">
        <v>3</v>
      </c>
      <c r="K174" s="42"/>
      <c r="L174" s="35">
        <f t="shared" si="45"/>
        <v>6</v>
      </c>
      <c r="M174" s="35">
        <f t="shared" si="44"/>
        <v>2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20</v>
      </c>
      <c r="H175" s="42"/>
      <c r="I175" s="42">
        <v>360</v>
      </c>
      <c r="J175" s="42">
        <v>216</v>
      </c>
      <c r="K175" s="42"/>
      <c r="L175" s="35">
        <f t="shared" si="45"/>
        <v>596</v>
      </c>
      <c r="M175" s="35">
        <f t="shared" si="44"/>
        <v>149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 t="str">
        <f>+$G$3</f>
        <v>Year</v>
      </c>
      <c r="H179" s="10" t="str">
        <f>+G179</f>
        <v>Year</v>
      </c>
      <c r="I179" s="10" t="str">
        <f t="shared" ref="I179:M180" si="46">+H179</f>
        <v>Year</v>
      </c>
      <c r="J179" s="10" t="str">
        <f t="shared" si="46"/>
        <v>Year</v>
      </c>
      <c r="K179" s="10" t="str">
        <f t="shared" si="46"/>
        <v>Year</v>
      </c>
      <c r="L179" s="10" t="str">
        <f t="shared" si="46"/>
        <v>Year</v>
      </c>
      <c r="M179" s="10" t="str">
        <f t="shared" si="46"/>
        <v>Year</v>
      </c>
      <c r="N179" s="11"/>
      <c r="O179" s="44"/>
      <c r="P179" s="44"/>
      <c r="Q179" s="44"/>
      <c r="S179" s="12" t="str">
        <f>+C179</f>
        <v>Tibane</v>
      </c>
      <c r="T179" s="13">
        <f>+L183</f>
        <v>253</v>
      </c>
      <c r="U179" s="13">
        <f>+L184+L185</f>
        <v>50</v>
      </c>
      <c r="V179" s="13">
        <f>+L186+L187</f>
        <v>203</v>
      </c>
      <c r="W179" s="13">
        <f>+L190</f>
        <v>34</v>
      </c>
      <c r="X179" s="13">
        <f>+L188</f>
        <v>1</v>
      </c>
    </row>
    <row r="180" spans="1:24" x14ac:dyDescent="0.25">
      <c r="A180" s="14"/>
      <c r="B180" s="15"/>
      <c r="C180" s="41" t="str">
        <f>+$C164</f>
        <v>November 2024</v>
      </c>
      <c r="D180" s="18"/>
      <c r="E180" s="18"/>
      <c r="F180" s="18"/>
      <c r="G180" s="20" t="str">
        <f>+$G$4</f>
        <v>Mnt</v>
      </c>
      <c r="H180" s="20" t="str">
        <f>+G180</f>
        <v>Mnt</v>
      </c>
      <c r="I180" s="20" t="str">
        <f t="shared" si="46"/>
        <v>Mnt</v>
      </c>
      <c r="J180" s="20" t="str">
        <f t="shared" si="46"/>
        <v>Mnt</v>
      </c>
      <c r="K180" s="20" t="str">
        <f t="shared" si="46"/>
        <v>Mnt</v>
      </c>
      <c r="L180" s="20" t="str">
        <f t="shared" si="46"/>
        <v>Mnt</v>
      </c>
      <c r="M180" s="20" t="str">
        <f t="shared" si="46"/>
        <v>Mnt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3</v>
      </c>
      <c r="H181" s="25">
        <f>+$H$5</f>
        <v>10</v>
      </c>
      <c r="I181" s="25">
        <f>+$I$5</f>
        <v>17</v>
      </c>
      <c r="J181" s="25">
        <f>+$J$5</f>
        <v>24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64</v>
      </c>
      <c r="H183" s="31">
        <f t="shared" ref="H183:L183" si="47">SUM(H184:H187)</f>
        <v>63</v>
      </c>
      <c r="I183" s="31">
        <f t="shared" si="47"/>
        <v>64</v>
      </c>
      <c r="J183" s="31">
        <f t="shared" si="47"/>
        <v>62</v>
      </c>
      <c r="K183" s="31">
        <f t="shared" si="47"/>
        <v>0</v>
      </c>
      <c r="L183" s="31">
        <f t="shared" si="47"/>
        <v>253</v>
      </c>
      <c r="M183" s="31">
        <f>ROUND((L183/$E$1),0)</f>
        <v>63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1</v>
      </c>
      <c r="H184" s="42">
        <v>2</v>
      </c>
      <c r="I184" s="42">
        <v>2</v>
      </c>
      <c r="J184" s="42">
        <v>2</v>
      </c>
      <c r="K184" s="42"/>
      <c r="L184" s="35">
        <f>SUM(G184:K184)</f>
        <v>7</v>
      </c>
      <c r="M184" s="35">
        <f t="shared" ref="M184:M192" si="48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10</v>
      </c>
      <c r="H185" s="42">
        <v>11</v>
      </c>
      <c r="I185" s="42">
        <v>12</v>
      </c>
      <c r="J185" s="42">
        <v>10</v>
      </c>
      <c r="K185" s="42"/>
      <c r="L185" s="35">
        <f t="shared" ref="L185:L192" si="49">SUM(G185:K185)</f>
        <v>43</v>
      </c>
      <c r="M185" s="35">
        <f t="shared" si="48"/>
        <v>11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15</v>
      </c>
      <c r="H186" s="42">
        <v>16</v>
      </c>
      <c r="I186" s="42">
        <v>17</v>
      </c>
      <c r="J186" s="42">
        <v>16</v>
      </c>
      <c r="K186" s="42"/>
      <c r="L186" s="35">
        <f t="shared" si="49"/>
        <v>64</v>
      </c>
      <c r="M186" s="35">
        <f t="shared" si="48"/>
        <v>16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38</v>
      </c>
      <c r="H187" s="43">
        <v>34</v>
      </c>
      <c r="I187" s="43">
        <v>33</v>
      </c>
      <c r="J187" s="43">
        <v>34</v>
      </c>
      <c r="K187" s="43"/>
      <c r="L187" s="31">
        <f t="shared" si="49"/>
        <v>139</v>
      </c>
      <c r="M187" s="31">
        <f t="shared" si="48"/>
        <v>35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/>
      <c r="H188" s="42"/>
      <c r="I188" s="42"/>
      <c r="J188" s="42">
        <v>1</v>
      </c>
      <c r="K188" s="42"/>
      <c r="L188" s="35">
        <f t="shared" si="49"/>
        <v>1</v>
      </c>
      <c r="M188" s="35">
        <f t="shared" si="48"/>
        <v>0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6</v>
      </c>
      <c r="H190" s="42">
        <v>9</v>
      </c>
      <c r="I190" s="42">
        <v>10</v>
      </c>
      <c r="J190" s="42">
        <v>9</v>
      </c>
      <c r="K190" s="42"/>
      <c r="L190" s="35">
        <f t="shared" si="49"/>
        <v>34</v>
      </c>
      <c r="M190" s="35">
        <f t="shared" si="48"/>
        <v>9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64</v>
      </c>
      <c r="H191" s="42">
        <v>192</v>
      </c>
      <c r="I191" s="42">
        <v>160</v>
      </c>
      <c r="J191" s="42">
        <v>128</v>
      </c>
      <c r="K191" s="42"/>
      <c r="L191" s="35">
        <f t="shared" si="49"/>
        <v>544</v>
      </c>
      <c r="M191" s="35">
        <f t="shared" si="48"/>
        <v>136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 t="str">
        <f>+$G$3</f>
        <v>Year</v>
      </c>
      <c r="H195" s="10" t="str">
        <f>+G195</f>
        <v>Year</v>
      </c>
      <c r="I195" s="10" t="str">
        <f t="shared" ref="I195:M196" si="50">+H195</f>
        <v>Year</v>
      </c>
      <c r="J195" s="10" t="str">
        <f t="shared" si="50"/>
        <v>Year</v>
      </c>
      <c r="K195" s="10" t="str">
        <f t="shared" si="50"/>
        <v>Year</v>
      </c>
      <c r="L195" s="10" t="str">
        <f t="shared" si="50"/>
        <v>Year</v>
      </c>
      <c r="M195" s="10" t="str">
        <f t="shared" si="50"/>
        <v>Year</v>
      </c>
      <c r="N195" s="11"/>
      <c r="O195" s="44"/>
      <c r="P195" s="44"/>
      <c r="Q195" s="44"/>
      <c r="S195" s="12" t="str">
        <f>+C195</f>
        <v>Nyathela</v>
      </c>
      <c r="T195" s="13">
        <f>+L199</f>
        <v>297</v>
      </c>
      <c r="U195" s="13">
        <f>+L200+L201</f>
        <v>116</v>
      </c>
      <c r="V195" s="13">
        <f>+L202+L203</f>
        <v>181</v>
      </c>
      <c r="W195" s="13">
        <f>+L206</f>
        <v>13</v>
      </c>
      <c r="X195" s="13">
        <f>+L204</f>
        <v>0</v>
      </c>
    </row>
    <row r="196" spans="1:24" x14ac:dyDescent="0.25">
      <c r="A196" s="14"/>
      <c r="B196" s="15"/>
      <c r="C196" s="41" t="str">
        <f>+$C180</f>
        <v>November 2024</v>
      </c>
      <c r="D196" s="18"/>
      <c r="E196" s="18"/>
      <c r="F196" s="18"/>
      <c r="G196" s="20" t="str">
        <f>+$G$4</f>
        <v>Mnt</v>
      </c>
      <c r="H196" s="20" t="str">
        <f>+G196</f>
        <v>Mnt</v>
      </c>
      <c r="I196" s="20" t="str">
        <f t="shared" si="50"/>
        <v>Mnt</v>
      </c>
      <c r="J196" s="20" t="str">
        <f t="shared" si="50"/>
        <v>Mnt</v>
      </c>
      <c r="K196" s="20" t="str">
        <f t="shared" si="50"/>
        <v>Mnt</v>
      </c>
      <c r="L196" s="20" t="str">
        <f t="shared" si="50"/>
        <v>Mnt</v>
      </c>
      <c r="M196" s="20" t="str">
        <f t="shared" si="50"/>
        <v>Mnt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3</v>
      </c>
      <c r="H197" s="25">
        <f>+$H$5</f>
        <v>10</v>
      </c>
      <c r="I197" s="25">
        <f>+$I$5</f>
        <v>17</v>
      </c>
      <c r="J197" s="25">
        <f>+$J$5</f>
        <v>24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126</v>
      </c>
      <c r="H199" s="31">
        <f t="shared" ref="H199:L199" si="51">SUM(H200:H203)</f>
        <v>48</v>
      </c>
      <c r="I199" s="31">
        <f t="shared" si="51"/>
        <v>59</v>
      </c>
      <c r="J199" s="31">
        <f t="shared" si="51"/>
        <v>64</v>
      </c>
      <c r="K199" s="31">
        <f t="shared" si="51"/>
        <v>0</v>
      </c>
      <c r="L199" s="31">
        <f t="shared" si="51"/>
        <v>297</v>
      </c>
      <c r="M199" s="31">
        <f>ROUND((L199/$E$1),0)</f>
        <v>74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2</v>
      </c>
      <c r="H200" s="42">
        <v>2</v>
      </c>
      <c r="I200" s="42">
        <v>3</v>
      </c>
      <c r="J200" s="42">
        <v>4</v>
      </c>
      <c r="K200" s="42"/>
      <c r="L200" s="35">
        <f>SUM(G200:K200)</f>
        <v>11</v>
      </c>
      <c r="M200" s="35">
        <f t="shared" ref="M200:M208" si="52">ROUND((L200/$E$1),0)</f>
        <v>3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80</v>
      </c>
      <c r="H201" s="42">
        <v>7</v>
      </c>
      <c r="I201" s="42">
        <v>9</v>
      </c>
      <c r="J201" s="42">
        <v>9</v>
      </c>
      <c r="K201" s="42"/>
      <c r="L201" s="35">
        <f t="shared" ref="L201:L208" si="53">SUM(G201:K201)</f>
        <v>105</v>
      </c>
      <c r="M201" s="35">
        <f t="shared" si="52"/>
        <v>26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19</v>
      </c>
      <c r="H202" s="42">
        <v>15</v>
      </c>
      <c r="I202" s="42">
        <v>19</v>
      </c>
      <c r="J202" s="42">
        <v>21</v>
      </c>
      <c r="K202" s="42"/>
      <c r="L202" s="35">
        <f t="shared" si="53"/>
        <v>74</v>
      </c>
      <c r="M202" s="35">
        <f t="shared" si="52"/>
        <v>19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25</v>
      </c>
      <c r="H203" s="43">
        <v>24</v>
      </c>
      <c r="I203" s="43">
        <v>28</v>
      </c>
      <c r="J203" s="43">
        <v>30</v>
      </c>
      <c r="K203" s="43"/>
      <c r="L203" s="31">
        <f t="shared" si="53"/>
        <v>107</v>
      </c>
      <c r="M203" s="31">
        <f t="shared" si="52"/>
        <v>27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53"/>
        <v>0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3</v>
      </c>
      <c r="H206" s="42">
        <v>3</v>
      </c>
      <c r="I206" s="42">
        <v>4</v>
      </c>
      <c r="J206" s="42">
        <v>3</v>
      </c>
      <c r="K206" s="42"/>
      <c r="L206" s="35">
        <f t="shared" si="53"/>
        <v>13</v>
      </c>
      <c r="M206" s="35">
        <f t="shared" si="52"/>
        <v>3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/>
      <c r="H207" s="42"/>
      <c r="I207" s="42"/>
      <c r="J207" s="42">
        <v>256</v>
      </c>
      <c r="K207" s="42"/>
      <c r="L207" s="35">
        <f t="shared" si="53"/>
        <v>256</v>
      </c>
      <c r="M207" s="35">
        <f t="shared" si="52"/>
        <v>64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 t="str">
        <f>+$G$3</f>
        <v>Year</v>
      </c>
      <c r="H211" s="10" t="str">
        <f>+G211</f>
        <v>Year</v>
      </c>
      <c r="I211" s="10" t="str">
        <f t="shared" ref="I211:M212" si="54">+H211</f>
        <v>Year</v>
      </c>
      <c r="J211" s="10" t="str">
        <f t="shared" si="54"/>
        <v>Year</v>
      </c>
      <c r="K211" s="10" t="str">
        <f t="shared" si="54"/>
        <v>Year</v>
      </c>
      <c r="L211" s="10" t="str">
        <f t="shared" si="54"/>
        <v>Year</v>
      </c>
      <c r="M211" s="10" t="str">
        <f t="shared" si="54"/>
        <v>Year</v>
      </c>
      <c r="N211" s="11"/>
      <c r="O211" s="44"/>
      <c r="P211" s="44"/>
      <c r="Q211" s="44"/>
      <c r="S211" s="12" t="str">
        <f>+C211</f>
        <v>Mlindazwe</v>
      </c>
      <c r="T211" s="13">
        <f>+L215</f>
        <v>366</v>
      </c>
      <c r="U211" s="13">
        <f>+L216+L217</f>
        <v>43</v>
      </c>
      <c r="V211" s="13">
        <f>+L218+L219</f>
        <v>323</v>
      </c>
      <c r="W211" s="13">
        <f>+L222</f>
        <v>14</v>
      </c>
      <c r="X211" s="13">
        <f>+L220</f>
        <v>6</v>
      </c>
    </row>
    <row r="212" spans="1:24" x14ac:dyDescent="0.25">
      <c r="A212" s="14"/>
      <c r="B212" s="15"/>
      <c r="C212" s="41" t="str">
        <f>+$C196</f>
        <v>November 2024</v>
      </c>
      <c r="D212" s="18"/>
      <c r="E212" s="18"/>
      <c r="F212" s="18"/>
      <c r="G212" s="20" t="str">
        <f>+$G$4</f>
        <v>Mnt</v>
      </c>
      <c r="H212" s="20" t="str">
        <f>+G212</f>
        <v>Mnt</v>
      </c>
      <c r="I212" s="20" t="str">
        <f t="shared" si="54"/>
        <v>Mnt</v>
      </c>
      <c r="J212" s="20" t="str">
        <f t="shared" si="54"/>
        <v>Mnt</v>
      </c>
      <c r="K212" s="20" t="str">
        <f t="shared" si="54"/>
        <v>Mnt</v>
      </c>
      <c r="L212" s="20" t="str">
        <f t="shared" si="54"/>
        <v>Mnt</v>
      </c>
      <c r="M212" s="20" t="str">
        <f t="shared" si="54"/>
        <v>Mnt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3</v>
      </c>
      <c r="H213" s="25">
        <f>+$H$5</f>
        <v>10</v>
      </c>
      <c r="I213" s="25">
        <f>+$I$5</f>
        <v>17</v>
      </c>
      <c r="J213" s="25">
        <f>+$J$5</f>
        <v>24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77</v>
      </c>
      <c r="H215" s="31">
        <f t="shared" ref="H215:L215" si="55">SUM(H216:H219)</f>
        <v>91</v>
      </c>
      <c r="I215" s="31">
        <f t="shared" si="55"/>
        <v>112</v>
      </c>
      <c r="J215" s="31">
        <f t="shared" si="55"/>
        <v>86</v>
      </c>
      <c r="K215" s="31">
        <f t="shared" si="55"/>
        <v>0</v>
      </c>
      <c r="L215" s="31">
        <f t="shared" si="55"/>
        <v>366</v>
      </c>
      <c r="M215" s="31">
        <f>ROUND((L215/$E$1),0)</f>
        <v>92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1</v>
      </c>
      <c r="H216" s="42">
        <v>3</v>
      </c>
      <c r="I216" s="42">
        <v>4</v>
      </c>
      <c r="J216" s="42">
        <v>1</v>
      </c>
      <c r="K216" s="42"/>
      <c r="L216" s="35">
        <f>SUM(G216:K216)</f>
        <v>9</v>
      </c>
      <c r="M216" s="35">
        <f t="shared" ref="M216:M224" si="56">ROUND((L216/$E$1),0)</f>
        <v>2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8</v>
      </c>
      <c r="H217" s="42">
        <v>7</v>
      </c>
      <c r="I217" s="42">
        <v>9</v>
      </c>
      <c r="J217" s="42">
        <v>10</v>
      </c>
      <c r="K217" s="42"/>
      <c r="L217" s="35">
        <f t="shared" ref="L217:L224" si="57">SUM(G217:K217)</f>
        <v>34</v>
      </c>
      <c r="M217" s="35">
        <f t="shared" si="56"/>
        <v>9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24</v>
      </c>
      <c r="H218" s="42">
        <v>34</v>
      </c>
      <c r="I218" s="42">
        <v>34</v>
      </c>
      <c r="J218" s="42">
        <v>24</v>
      </c>
      <c r="K218" s="42"/>
      <c r="L218" s="35">
        <f t="shared" si="57"/>
        <v>116</v>
      </c>
      <c r="M218" s="35">
        <f t="shared" si="56"/>
        <v>29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44</v>
      </c>
      <c r="H219" s="43">
        <v>47</v>
      </c>
      <c r="I219" s="43">
        <v>65</v>
      </c>
      <c r="J219" s="43">
        <v>51</v>
      </c>
      <c r="K219" s="43"/>
      <c r="L219" s="31">
        <f t="shared" si="57"/>
        <v>207</v>
      </c>
      <c r="M219" s="31">
        <f t="shared" si="56"/>
        <v>52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>
        <v>6</v>
      </c>
      <c r="H220" s="42"/>
      <c r="I220" s="42"/>
      <c r="J220" s="42"/>
      <c r="K220" s="42"/>
      <c r="L220" s="35">
        <f t="shared" si="57"/>
        <v>6</v>
      </c>
      <c r="M220" s="35">
        <f t="shared" si="56"/>
        <v>2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4</v>
      </c>
      <c r="H222" s="42">
        <v>3</v>
      </c>
      <c r="I222" s="42">
        <v>5</v>
      </c>
      <c r="J222" s="42">
        <v>2</v>
      </c>
      <c r="K222" s="42"/>
      <c r="L222" s="35">
        <f t="shared" si="57"/>
        <v>14</v>
      </c>
      <c r="M222" s="35">
        <f t="shared" si="56"/>
        <v>4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10</v>
      </c>
      <c r="H223" s="42"/>
      <c r="I223" s="42"/>
      <c r="J223" s="42">
        <v>15</v>
      </c>
      <c r="K223" s="42"/>
      <c r="L223" s="35">
        <f t="shared" si="57"/>
        <v>25</v>
      </c>
      <c r="M223" s="35">
        <f t="shared" si="56"/>
        <v>6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 t="str">
        <f>+$G$3</f>
        <v>Year</v>
      </c>
      <c r="H227" s="10" t="str">
        <f>+G227</f>
        <v>Year</v>
      </c>
      <c r="I227" s="10" t="str">
        <f t="shared" ref="I227:M228" si="58">+H227</f>
        <v>Year</v>
      </c>
      <c r="J227" s="10" t="str">
        <f t="shared" si="58"/>
        <v>Year</v>
      </c>
      <c r="K227" s="10" t="str">
        <f t="shared" si="58"/>
        <v>Year</v>
      </c>
      <c r="L227" s="10" t="str">
        <f t="shared" si="58"/>
        <v>Year</v>
      </c>
      <c r="M227" s="10" t="str">
        <f t="shared" si="58"/>
        <v>Year</v>
      </c>
      <c r="N227" s="11"/>
      <c r="O227" s="44"/>
      <c r="P227" s="44"/>
      <c r="Q227" s="44"/>
      <c r="S227" s="12" t="str">
        <f>+C227</f>
        <v>Lundzi</v>
      </c>
      <c r="T227" s="13">
        <f>+L231</f>
        <v>286</v>
      </c>
      <c r="U227" s="13">
        <f>+L232+L233</f>
        <v>111</v>
      </c>
      <c r="V227" s="13">
        <f>+L234+L235</f>
        <v>175</v>
      </c>
      <c r="W227" s="13">
        <f>+L238</f>
        <v>9</v>
      </c>
      <c r="X227" s="13">
        <f>+L236</f>
        <v>15</v>
      </c>
    </row>
    <row r="228" spans="1:24" x14ac:dyDescent="0.25">
      <c r="A228" s="14"/>
      <c r="B228" s="15"/>
      <c r="C228" s="41" t="str">
        <f>+$C212</f>
        <v>November 2024</v>
      </c>
      <c r="D228" s="18"/>
      <c r="E228" s="18"/>
      <c r="F228" s="18"/>
      <c r="G228" s="20" t="str">
        <f>+$G$4</f>
        <v>Mnt</v>
      </c>
      <c r="H228" s="20" t="str">
        <f>+G228</f>
        <v>Mnt</v>
      </c>
      <c r="I228" s="20" t="str">
        <f t="shared" si="58"/>
        <v>Mnt</v>
      </c>
      <c r="J228" s="20" t="str">
        <f t="shared" si="58"/>
        <v>Mnt</v>
      </c>
      <c r="K228" s="20" t="str">
        <f t="shared" si="58"/>
        <v>Mnt</v>
      </c>
      <c r="L228" s="20" t="str">
        <f t="shared" si="58"/>
        <v>Mnt</v>
      </c>
      <c r="M228" s="20" t="str">
        <f t="shared" si="58"/>
        <v>Mnt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3</v>
      </c>
      <c r="H229" s="25">
        <f>+$H$5</f>
        <v>10</v>
      </c>
      <c r="I229" s="25">
        <f>+$I$5</f>
        <v>17</v>
      </c>
      <c r="J229" s="25">
        <f>+$J$5</f>
        <v>24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118</v>
      </c>
      <c r="H231" s="31">
        <f t="shared" ref="H231:L231" si="59">SUM(H232:H235)</f>
        <v>56</v>
      </c>
      <c r="I231" s="31">
        <f t="shared" si="59"/>
        <v>56</v>
      </c>
      <c r="J231" s="31">
        <f t="shared" si="59"/>
        <v>56</v>
      </c>
      <c r="K231" s="31">
        <f t="shared" si="59"/>
        <v>0</v>
      </c>
      <c r="L231" s="31">
        <f t="shared" si="59"/>
        <v>286</v>
      </c>
      <c r="M231" s="31">
        <f>ROUND((L231/$E$1),0)</f>
        <v>72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16</v>
      </c>
      <c r="H232" s="42">
        <v>8</v>
      </c>
      <c r="I232" s="42">
        <v>8</v>
      </c>
      <c r="J232" s="42">
        <v>8</v>
      </c>
      <c r="K232" s="42"/>
      <c r="L232" s="35">
        <f>SUM(G232:K232)</f>
        <v>40</v>
      </c>
      <c r="M232" s="35">
        <f t="shared" ref="M232:M240" si="60">ROUND((L232/$E$1),0)</f>
        <v>10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26</v>
      </c>
      <c r="H233" s="42">
        <v>15</v>
      </c>
      <c r="I233" s="42">
        <v>15</v>
      </c>
      <c r="J233" s="42">
        <v>15</v>
      </c>
      <c r="K233" s="42"/>
      <c r="L233" s="35">
        <f t="shared" ref="L233:L240" si="61">SUM(G233:K233)</f>
        <v>71</v>
      </c>
      <c r="M233" s="35">
        <f t="shared" si="60"/>
        <v>18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30</v>
      </c>
      <c r="H234" s="42">
        <v>10</v>
      </c>
      <c r="I234" s="42">
        <v>10</v>
      </c>
      <c r="J234" s="42">
        <v>10</v>
      </c>
      <c r="K234" s="42"/>
      <c r="L234" s="35">
        <f t="shared" si="61"/>
        <v>60</v>
      </c>
      <c r="M234" s="35">
        <f t="shared" si="60"/>
        <v>15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46</v>
      </c>
      <c r="H235" s="43">
        <v>23</v>
      </c>
      <c r="I235" s="43">
        <v>23</v>
      </c>
      <c r="J235" s="43">
        <v>23</v>
      </c>
      <c r="K235" s="43"/>
      <c r="L235" s="31">
        <f t="shared" si="61"/>
        <v>115</v>
      </c>
      <c r="M235" s="31">
        <f t="shared" si="60"/>
        <v>29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>
        <v>15</v>
      </c>
      <c r="H236" s="42"/>
      <c r="I236" s="42"/>
      <c r="J236" s="42"/>
      <c r="K236" s="42"/>
      <c r="L236" s="35">
        <f t="shared" si="61"/>
        <v>15</v>
      </c>
      <c r="M236" s="35">
        <f t="shared" si="60"/>
        <v>4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/>
      <c r="H238" s="42">
        <v>3</v>
      </c>
      <c r="I238" s="42">
        <v>3</v>
      </c>
      <c r="J238" s="42">
        <v>3</v>
      </c>
      <c r="K238" s="42"/>
      <c r="L238" s="35">
        <f t="shared" si="61"/>
        <v>9</v>
      </c>
      <c r="M238" s="35">
        <f t="shared" si="60"/>
        <v>2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>
        <f t="shared" si="60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 t="str">
        <f>+$G$3</f>
        <v>Year</v>
      </c>
      <c r="H243" s="10" t="str">
        <f>+G243</f>
        <v>Year</v>
      </c>
      <c r="I243" s="10" t="str">
        <f t="shared" ref="I243:M244" si="62">+H243</f>
        <v>Year</v>
      </c>
      <c r="J243" s="10" t="str">
        <f t="shared" si="62"/>
        <v>Year</v>
      </c>
      <c r="K243" s="10" t="str">
        <f t="shared" si="62"/>
        <v>Year</v>
      </c>
      <c r="L243" s="10" t="str">
        <f t="shared" si="62"/>
        <v>Year</v>
      </c>
      <c r="M243" s="10" t="str">
        <f t="shared" si="62"/>
        <v>Year</v>
      </c>
      <c r="N243" s="11"/>
      <c r="O243" s="44"/>
      <c r="P243" s="44"/>
      <c r="Q243" s="44"/>
      <c r="S243" s="12" t="str">
        <f>+C243</f>
        <v>Esigcaweni</v>
      </c>
      <c r="T243" s="13">
        <f>+L247</f>
        <v>415</v>
      </c>
      <c r="U243" s="13">
        <f>+L248+L249</f>
        <v>58</v>
      </c>
      <c r="V243" s="13">
        <f>+L250+L251</f>
        <v>357</v>
      </c>
      <c r="W243" s="13">
        <f>+L254</f>
        <v>24</v>
      </c>
      <c r="X243" s="13">
        <f>+L252</f>
        <v>0</v>
      </c>
    </row>
    <row r="244" spans="1:24" x14ac:dyDescent="0.25">
      <c r="A244" s="14"/>
      <c r="B244" s="15"/>
      <c r="C244" s="41" t="str">
        <f>+$C228</f>
        <v>November 2024</v>
      </c>
      <c r="D244" s="18"/>
      <c r="E244" s="18"/>
      <c r="F244" s="18"/>
      <c r="G244" s="20" t="str">
        <f>+$G$4</f>
        <v>Mnt</v>
      </c>
      <c r="H244" s="20" t="str">
        <f>+G244</f>
        <v>Mnt</v>
      </c>
      <c r="I244" s="20" t="str">
        <f t="shared" si="62"/>
        <v>Mnt</v>
      </c>
      <c r="J244" s="20" t="str">
        <f t="shared" si="62"/>
        <v>Mnt</v>
      </c>
      <c r="K244" s="20" t="str">
        <f t="shared" si="62"/>
        <v>Mnt</v>
      </c>
      <c r="L244" s="20" t="str">
        <f t="shared" si="62"/>
        <v>Mnt</v>
      </c>
      <c r="M244" s="20" t="str">
        <f t="shared" si="62"/>
        <v>Mnt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3</v>
      </c>
      <c r="H245" s="25">
        <f>+$H$5</f>
        <v>10</v>
      </c>
      <c r="I245" s="25">
        <f>+$I$5</f>
        <v>17</v>
      </c>
      <c r="J245" s="25">
        <f>+$J$5</f>
        <v>24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 t="s">
        <v>91</v>
      </c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138</v>
      </c>
      <c r="H247" s="31">
        <f t="shared" ref="H247:L247" si="63">SUM(H248:H251)</f>
        <v>144</v>
      </c>
      <c r="I247" s="31">
        <f t="shared" si="63"/>
        <v>133</v>
      </c>
      <c r="J247" s="31">
        <f t="shared" si="63"/>
        <v>0</v>
      </c>
      <c r="K247" s="31">
        <f t="shared" si="63"/>
        <v>0</v>
      </c>
      <c r="L247" s="31">
        <f t="shared" si="63"/>
        <v>415</v>
      </c>
      <c r="M247" s="31">
        <f>ROUND((L247/$E$1),0)</f>
        <v>104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5</v>
      </c>
      <c r="H248" s="42">
        <v>5</v>
      </c>
      <c r="I248" s="42">
        <v>5</v>
      </c>
      <c r="J248" s="42"/>
      <c r="K248" s="42"/>
      <c r="L248" s="35">
        <f>SUM(G248:K248)</f>
        <v>15</v>
      </c>
      <c r="M248" s="35">
        <f t="shared" ref="M248:M256" si="64">ROUND((L248/$E$1),0)</f>
        <v>4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15</v>
      </c>
      <c r="H249" s="42">
        <v>16</v>
      </c>
      <c r="I249" s="42">
        <v>12</v>
      </c>
      <c r="J249" s="42"/>
      <c r="K249" s="42"/>
      <c r="L249" s="35">
        <f t="shared" ref="L249:L256" si="65">SUM(G249:K249)</f>
        <v>43</v>
      </c>
      <c r="M249" s="35">
        <f t="shared" si="64"/>
        <v>11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39</v>
      </c>
      <c r="H250" s="42">
        <v>38</v>
      </c>
      <c r="I250" s="42">
        <v>36</v>
      </c>
      <c r="J250" s="42"/>
      <c r="K250" s="42"/>
      <c r="L250" s="35">
        <f t="shared" si="65"/>
        <v>113</v>
      </c>
      <c r="M250" s="35">
        <f t="shared" si="64"/>
        <v>28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79</v>
      </c>
      <c r="H251" s="43">
        <v>85</v>
      </c>
      <c r="I251" s="43">
        <v>80</v>
      </c>
      <c r="J251" s="43"/>
      <c r="K251" s="43"/>
      <c r="L251" s="31">
        <f t="shared" si="65"/>
        <v>244</v>
      </c>
      <c r="M251" s="31">
        <f t="shared" si="64"/>
        <v>61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12</v>
      </c>
      <c r="H254" s="42"/>
      <c r="I254" s="42">
        <v>12</v>
      </c>
      <c r="J254" s="42"/>
      <c r="K254" s="42"/>
      <c r="L254" s="35">
        <f t="shared" si="65"/>
        <v>24</v>
      </c>
      <c r="M254" s="35">
        <f t="shared" si="64"/>
        <v>6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 t="str">
        <f>+$G$3</f>
        <v>Year</v>
      </c>
      <c r="H259" s="10" t="str">
        <f>+G259</f>
        <v>Year</v>
      </c>
      <c r="I259" s="10" t="str">
        <f t="shared" ref="I259:M260" si="66">+H259</f>
        <v>Year</v>
      </c>
      <c r="J259" s="10" t="str">
        <f t="shared" si="66"/>
        <v>Year</v>
      </c>
      <c r="K259" s="10" t="str">
        <f t="shared" si="66"/>
        <v>Year</v>
      </c>
      <c r="L259" s="10" t="str">
        <f t="shared" si="66"/>
        <v>Year</v>
      </c>
      <c r="M259" s="10" t="str">
        <f t="shared" si="66"/>
        <v>Year</v>
      </c>
      <c r="N259" s="11"/>
      <c r="S259" s="12" t="str">
        <f>+C259</f>
        <v>Lonhlalane</v>
      </c>
      <c r="T259" s="13">
        <f>+L263</f>
        <v>175</v>
      </c>
      <c r="U259" s="13">
        <f>+L264+L265</f>
        <v>35</v>
      </c>
      <c r="V259" s="13">
        <f>+L266+L267</f>
        <v>140</v>
      </c>
      <c r="W259" s="13">
        <f>+L270</f>
        <v>7</v>
      </c>
      <c r="X259" s="13">
        <f>+L268</f>
        <v>0</v>
      </c>
    </row>
    <row r="260" spans="1:24" x14ac:dyDescent="0.25">
      <c r="A260" s="14"/>
      <c r="B260" s="15"/>
      <c r="C260" s="41" t="str">
        <f>+$C244</f>
        <v>November 2024</v>
      </c>
      <c r="D260" s="18"/>
      <c r="E260" s="18"/>
      <c r="F260" s="18"/>
      <c r="G260" s="20" t="str">
        <f>+$G$4</f>
        <v>Mnt</v>
      </c>
      <c r="H260" s="20" t="str">
        <f>+G260</f>
        <v>Mnt</v>
      </c>
      <c r="I260" s="20" t="str">
        <f t="shared" si="66"/>
        <v>Mnt</v>
      </c>
      <c r="J260" s="20" t="str">
        <f t="shared" si="66"/>
        <v>Mnt</v>
      </c>
      <c r="K260" s="20" t="str">
        <f t="shared" si="66"/>
        <v>Mnt</v>
      </c>
      <c r="L260" s="20" t="str">
        <f t="shared" si="66"/>
        <v>Mnt</v>
      </c>
      <c r="M260" s="20" t="str">
        <f t="shared" si="66"/>
        <v>Mnt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3</v>
      </c>
      <c r="H261" s="25">
        <f>+$H$5</f>
        <v>10</v>
      </c>
      <c r="I261" s="25">
        <f>+$I$5</f>
        <v>17</v>
      </c>
      <c r="J261" s="25">
        <f>+$J$5</f>
        <v>24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39</v>
      </c>
      <c r="H263" s="31">
        <f t="shared" ref="H263:L263" si="67">SUM(H264:H267)</f>
        <v>27</v>
      </c>
      <c r="I263" s="31">
        <f t="shared" si="67"/>
        <v>39</v>
      </c>
      <c r="J263" s="31">
        <f t="shared" si="67"/>
        <v>70</v>
      </c>
      <c r="K263" s="31">
        <f t="shared" si="67"/>
        <v>0</v>
      </c>
      <c r="L263" s="31">
        <f t="shared" si="67"/>
        <v>175</v>
      </c>
      <c r="M263" s="31">
        <f>ROUND((L263/$E$1),0)</f>
        <v>44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1</v>
      </c>
      <c r="J264" s="42">
        <v>3</v>
      </c>
      <c r="K264" s="42"/>
      <c r="L264" s="35">
        <f>SUM(G264:K264)</f>
        <v>6</v>
      </c>
      <c r="M264" s="35">
        <f t="shared" ref="M264:M272" si="68">ROUND((L264/$E$1),0)</f>
        <v>2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4</v>
      </c>
      <c r="H265" s="42">
        <v>6</v>
      </c>
      <c r="I265" s="42">
        <v>4</v>
      </c>
      <c r="J265" s="42">
        <v>15</v>
      </c>
      <c r="K265" s="42"/>
      <c r="L265" s="35">
        <f t="shared" ref="L265:L272" si="69">SUM(G265:K265)</f>
        <v>29</v>
      </c>
      <c r="M265" s="35">
        <f t="shared" si="68"/>
        <v>7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6</v>
      </c>
      <c r="H266" s="42">
        <v>5</v>
      </c>
      <c r="I266" s="42">
        <v>4</v>
      </c>
      <c r="J266" s="42">
        <v>19</v>
      </c>
      <c r="K266" s="42"/>
      <c r="L266" s="35">
        <f t="shared" si="69"/>
        <v>34</v>
      </c>
      <c r="M266" s="35">
        <f t="shared" si="68"/>
        <v>9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28</v>
      </c>
      <c r="H267" s="43">
        <v>15</v>
      </c>
      <c r="I267" s="43">
        <v>30</v>
      </c>
      <c r="J267" s="43">
        <v>33</v>
      </c>
      <c r="K267" s="43"/>
      <c r="L267" s="31">
        <f t="shared" si="69"/>
        <v>106</v>
      </c>
      <c r="M267" s="31">
        <f t="shared" si="68"/>
        <v>27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/>
      <c r="J270" s="42">
        <v>7</v>
      </c>
      <c r="K270" s="42"/>
      <c r="L270" s="35">
        <f t="shared" si="69"/>
        <v>7</v>
      </c>
      <c r="M270" s="35">
        <f t="shared" si="68"/>
        <v>2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>
        <v>128</v>
      </c>
      <c r="H271" s="42">
        <v>64</v>
      </c>
      <c r="I271" s="42">
        <v>160</v>
      </c>
      <c r="J271" s="42">
        <v>128</v>
      </c>
      <c r="K271" s="42"/>
      <c r="L271" s="35">
        <f t="shared" si="69"/>
        <v>480</v>
      </c>
      <c r="M271" s="35">
        <f t="shared" si="68"/>
        <v>120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 t="str">
        <f>+$G$3</f>
        <v>Year</v>
      </c>
      <c r="H275" s="10" t="str">
        <f>+G275</f>
        <v>Year</v>
      </c>
      <c r="I275" s="10" t="str">
        <f t="shared" ref="I275:M276" si="70">+H275</f>
        <v>Year</v>
      </c>
      <c r="J275" s="10" t="str">
        <f t="shared" si="70"/>
        <v>Year</v>
      </c>
      <c r="K275" s="10" t="str">
        <f t="shared" si="70"/>
        <v>Year</v>
      </c>
      <c r="L275" s="10" t="str">
        <f t="shared" si="70"/>
        <v>Year</v>
      </c>
      <c r="M275" s="10" t="str">
        <f t="shared" si="70"/>
        <v>Year</v>
      </c>
      <c r="N275" s="11"/>
      <c r="S275" s="12" t="str">
        <f>+C275</f>
        <v>Zondwako</v>
      </c>
      <c r="T275" s="13">
        <f>+L279</f>
        <v>234</v>
      </c>
      <c r="U275" s="13">
        <f>+L280+L281</f>
        <v>19</v>
      </c>
      <c r="V275" s="13">
        <f>+L282+L283</f>
        <v>215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November 2024</v>
      </c>
      <c r="D276" s="18"/>
      <c r="E276" s="18"/>
      <c r="F276" s="18"/>
      <c r="G276" s="20" t="str">
        <f>+$G$4</f>
        <v>Mnt</v>
      </c>
      <c r="H276" s="20" t="str">
        <f>+G276</f>
        <v>Mnt</v>
      </c>
      <c r="I276" s="20" t="str">
        <f t="shared" si="70"/>
        <v>Mnt</v>
      </c>
      <c r="J276" s="20" t="str">
        <f t="shared" si="70"/>
        <v>Mnt</v>
      </c>
      <c r="K276" s="20" t="str">
        <f t="shared" si="70"/>
        <v>Mnt</v>
      </c>
      <c r="L276" s="20" t="str">
        <f t="shared" si="70"/>
        <v>Mnt</v>
      </c>
      <c r="M276" s="20" t="str">
        <f t="shared" si="70"/>
        <v>Mnt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3</v>
      </c>
      <c r="H277" s="25">
        <f>+$H$5</f>
        <v>10</v>
      </c>
      <c r="I277" s="25">
        <f>+$I$5</f>
        <v>17</v>
      </c>
      <c r="J277" s="25">
        <f>+$J$5</f>
        <v>24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73</v>
      </c>
      <c r="H279" s="31">
        <f t="shared" ref="H279:L279" si="71">SUM(H280:H283)</f>
        <v>36</v>
      </c>
      <c r="I279" s="31">
        <f t="shared" si="71"/>
        <v>55</v>
      </c>
      <c r="J279" s="31">
        <f t="shared" si="71"/>
        <v>70</v>
      </c>
      <c r="K279" s="31">
        <f t="shared" si="71"/>
        <v>0</v>
      </c>
      <c r="L279" s="31">
        <f t="shared" si="71"/>
        <v>234</v>
      </c>
      <c r="M279" s="31">
        <f>ROUND((L279/$E$1),0)</f>
        <v>59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2</v>
      </c>
      <c r="H280" s="42">
        <v>1</v>
      </c>
      <c r="I280" s="42">
        <v>2</v>
      </c>
      <c r="J280" s="42">
        <v>1</v>
      </c>
      <c r="K280" s="42"/>
      <c r="L280" s="35">
        <f>SUM(G280:K280)</f>
        <v>6</v>
      </c>
      <c r="M280" s="35">
        <f t="shared" ref="M280:M288" si="72">ROUND((L280/$E$1),0)</f>
        <v>2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3</v>
      </c>
      <c r="H281" s="42">
        <v>3</v>
      </c>
      <c r="I281" s="42">
        <v>3</v>
      </c>
      <c r="J281" s="42">
        <v>4</v>
      </c>
      <c r="K281" s="42"/>
      <c r="L281" s="35">
        <f t="shared" ref="L281:L288" si="73">SUM(G281:K281)</f>
        <v>13</v>
      </c>
      <c r="M281" s="35">
        <f t="shared" si="72"/>
        <v>3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19</v>
      </c>
      <c r="H282" s="42">
        <v>12</v>
      </c>
      <c r="I282" s="42">
        <v>17</v>
      </c>
      <c r="J282" s="42">
        <v>15</v>
      </c>
      <c r="K282" s="42"/>
      <c r="L282" s="35">
        <f t="shared" si="73"/>
        <v>63</v>
      </c>
      <c r="M282" s="35">
        <f t="shared" si="72"/>
        <v>16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49</v>
      </c>
      <c r="H283" s="43">
        <v>20</v>
      </c>
      <c r="I283" s="43">
        <v>33</v>
      </c>
      <c r="J283" s="43">
        <v>50</v>
      </c>
      <c r="K283" s="43"/>
      <c r="L283" s="31">
        <f t="shared" si="73"/>
        <v>152</v>
      </c>
      <c r="M283" s="31">
        <f t="shared" si="72"/>
        <v>38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 t="str">
        <f>+$G$3</f>
        <v>Year</v>
      </c>
      <c r="H291" s="10" t="str">
        <f>+G291</f>
        <v>Year</v>
      </c>
      <c r="I291" s="10" t="str">
        <f t="shared" ref="I291:M292" si="74">+H291</f>
        <v>Year</v>
      </c>
      <c r="J291" s="10" t="str">
        <f t="shared" si="74"/>
        <v>Year</v>
      </c>
      <c r="K291" s="10" t="str">
        <f t="shared" si="74"/>
        <v>Year</v>
      </c>
      <c r="L291" s="10" t="str">
        <f t="shared" si="74"/>
        <v>Year</v>
      </c>
      <c r="M291" s="10" t="str">
        <f t="shared" si="74"/>
        <v>Year</v>
      </c>
      <c r="N291" s="11"/>
      <c r="S291" s="12" t="str">
        <f>+C291</f>
        <v>Mangcongco</v>
      </c>
      <c r="T291" s="13">
        <f>+L295</f>
        <v>214</v>
      </c>
      <c r="U291" s="13">
        <f>+L296+L297</f>
        <v>36</v>
      </c>
      <c r="V291" s="13">
        <f>+L298+L299</f>
        <v>178</v>
      </c>
      <c r="W291" s="13">
        <f>+L302</f>
        <v>12</v>
      </c>
      <c r="X291" s="13">
        <f>+L300</f>
        <v>0</v>
      </c>
    </row>
    <row r="292" spans="1:24" x14ac:dyDescent="0.25">
      <c r="A292" s="14"/>
      <c r="B292" s="15"/>
      <c r="C292" s="41" t="str">
        <f>+$C276</f>
        <v>November 2024</v>
      </c>
      <c r="D292" s="18"/>
      <c r="E292" s="18"/>
      <c r="F292" s="18"/>
      <c r="G292" s="20" t="str">
        <f>+$G$4</f>
        <v>Mnt</v>
      </c>
      <c r="H292" s="20" t="str">
        <f>+G292</f>
        <v>Mnt</v>
      </c>
      <c r="I292" s="20" t="str">
        <f t="shared" si="74"/>
        <v>Mnt</v>
      </c>
      <c r="J292" s="20" t="str">
        <f t="shared" si="74"/>
        <v>Mnt</v>
      </c>
      <c r="K292" s="20" t="str">
        <f t="shared" si="74"/>
        <v>Mnt</v>
      </c>
      <c r="L292" s="20" t="str">
        <f t="shared" si="74"/>
        <v>Mnt</v>
      </c>
      <c r="M292" s="20" t="str">
        <f t="shared" si="74"/>
        <v>Mnt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3</v>
      </c>
      <c r="H293" s="25">
        <f>+$H$5</f>
        <v>10</v>
      </c>
      <c r="I293" s="25">
        <f>+$I$5</f>
        <v>17</v>
      </c>
      <c r="J293" s="25">
        <f>+$J$5</f>
        <v>24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47</v>
      </c>
      <c r="H295" s="31">
        <f t="shared" ref="H295:L295" si="75">SUM(H296:H299)</f>
        <v>50</v>
      </c>
      <c r="I295" s="31">
        <f t="shared" si="75"/>
        <v>61</v>
      </c>
      <c r="J295" s="31">
        <f t="shared" si="75"/>
        <v>56</v>
      </c>
      <c r="K295" s="31">
        <f t="shared" si="75"/>
        <v>0</v>
      </c>
      <c r="L295" s="31">
        <f t="shared" si="75"/>
        <v>214</v>
      </c>
      <c r="M295" s="31">
        <f>ROUND((L295/$E$1),0)</f>
        <v>54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2</v>
      </c>
      <c r="H296" s="42">
        <v>2</v>
      </c>
      <c r="I296" s="42">
        <v>2</v>
      </c>
      <c r="J296" s="42">
        <v>2</v>
      </c>
      <c r="K296" s="42"/>
      <c r="L296" s="35">
        <f>SUM(G296:K296)</f>
        <v>8</v>
      </c>
      <c r="M296" s="35">
        <f t="shared" ref="M296:M304" si="76">ROUND((L296/$E$1),0)</f>
        <v>2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7</v>
      </c>
      <c r="H297" s="42">
        <v>7</v>
      </c>
      <c r="I297" s="42">
        <v>8</v>
      </c>
      <c r="J297" s="42">
        <v>6</v>
      </c>
      <c r="K297" s="42"/>
      <c r="L297" s="35">
        <f t="shared" ref="L297:L304" si="77">SUM(G297:K297)</f>
        <v>28</v>
      </c>
      <c r="M297" s="35">
        <f t="shared" si="76"/>
        <v>7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23</v>
      </c>
      <c r="H298" s="42">
        <v>25</v>
      </c>
      <c r="I298" s="42">
        <v>17</v>
      </c>
      <c r="J298" s="42">
        <v>18</v>
      </c>
      <c r="K298" s="42"/>
      <c r="L298" s="35">
        <f t="shared" si="77"/>
        <v>83</v>
      </c>
      <c r="M298" s="35">
        <f t="shared" si="76"/>
        <v>21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15</v>
      </c>
      <c r="H299" s="43">
        <v>16</v>
      </c>
      <c r="I299" s="43">
        <v>34</v>
      </c>
      <c r="J299" s="43">
        <v>30</v>
      </c>
      <c r="K299" s="43"/>
      <c r="L299" s="31">
        <f t="shared" si="77"/>
        <v>95</v>
      </c>
      <c r="M299" s="31">
        <f t="shared" si="76"/>
        <v>24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3</v>
      </c>
      <c r="H302" s="42">
        <v>4</v>
      </c>
      <c r="I302" s="42">
        <v>3</v>
      </c>
      <c r="J302" s="42">
        <v>2</v>
      </c>
      <c r="K302" s="42"/>
      <c r="L302" s="35">
        <f t="shared" si="77"/>
        <v>12</v>
      </c>
      <c r="M302" s="35">
        <f t="shared" si="76"/>
        <v>3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 t="str">
        <f>+$G$3</f>
        <v>Year</v>
      </c>
      <c r="H307" s="10" t="str">
        <f>+G307</f>
        <v>Year</v>
      </c>
      <c r="I307" s="10" t="str">
        <f t="shared" ref="I307:M308" si="78">+H307</f>
        <v>Year</v>
      </c>
      <c r="J307" s="10" t="str">
        <f t="shared" si="78"/>
        <v>Year</v>
      </c>
      <c r="K307" s="10" t="str">
        <f t="shared" si="78"/>
        <v>Year</v>
      </c>
      <c r="L307" s="10" t="str">
        <f t="shared" si="78"/>
        <v>Year</v>
      </c>
      <c r="M307" s="10" t="str">
        <f t="shared" si="78"/>
        <v>Year</v>
      </c>
      <c r="N307" s="11"/>
      <c r="S307" s="12" t="str">
        <f>+C307</f>
        <v>Kaliba</v>
      </c>
      <c r="T307" s="13">
        <f>+L311</f>
        <v>261</v>
      </c>
      <c r="U307" s="13">
        <f>+L312+L313</f>
        <v>68</v>
      </c>
      <c r="V307" s="13">
        <f>+L314+L315</f>
        <v>193</v>
      </c>
      <c r="W307" s="13">
        <f>+L318</f>
        <v>0</v>
      </c>
      <c r="X307" s="13">
        <f>+L316</f>
        <v>0</v>
      </c>
    </row>
    <row r="308" spans="1:24" x14ac:dyDescent="0.25">
      <c r="A308" s="14"/>
      <c r="B308" s="15"/>
      <c r="C308" s="41" t="str">
        <f>+$C292</f>
        <v>November 2024</v>
      </c>
      <c r="D308" s="18"/>
      <c r="E308" s="18"/>
      <c r="F308" s="18"/>
      <c r="G308" s="20" t="str">
        <f>+$G$4</f>
        <v>Mnt</v>
      </c>
      <c r="H308" s="20" t="str">
        <f>+G308</f>
        <v>Mnt</v>
      </c>
      <c r="I308" s="20" t="str">
        <f t="shared" si="78"/>
        <v>Mnt</v>
      </c>
      <c r="J308" s="20" t="str">
        <f t="shared" si="78"/>
        <v>Mnt</v>
      </c>
      <c r="K308" s="20" t="str">
        <f t="shared" si="78"/>
        <v>Mnt</v>
      </c>
      <c r="L308" s="20" t="str">
        <f t="shared" si="78"/>
        <v>Mnt</v>
      </c>
      <c r="M308" s="20" t="str">
        <f t="shared" si="78"/>
        <v>Mnt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3</v>
      </c>
      <c r="H309" s="25">
        <f>+$H$5</f>
        <v>10</v>
      </c>
      <c r="I309" s="25">
        <f>+$I$5</f>
        <v>17</v>
      </c>
      <c r="J309" s="25">
        <f>+$J$5</f>
        <v>24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75</v>
      </c>
      <c r="H311" s="31">
        <f t="shared" ref="H311:L311" si="79">SUM(H312:H315)</f>
        <v>43</v>
      </c>
      <c r="I311" s="31">
        <f t="shared" si="79"/>
        <v>57</v>
      </c>
      <c r="J311" s="31">
        <f t="shared" si="79"/>
        <v>86</v>
      </c>
      <c r="K311" s="31">
        <f t="shared" si="79"/>
        <v>0</v>
      </c>
      <c r="L311" s="31">
        <f t="shared" si="79"/>
        <v>261</v>
      </c>
      <c r="M311" s="31">
        <f>ROUND((L311/$E$1),0)</f>
        <v>65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5</v>
      </c>
      <c r="H312" s="42">
        <v>2</v>
      </c>
      <c r="I312" s="42">
        <v>5</v>
      </c>
      <c r="J312" s="42">
        <v>6</v>
      </c>
      <c r="K312" s="42"/>
      <c r="L312" s="35">
        <f>SUM(G312:K312)</f>
        <v>18</v>
      </c>
      <c r="M312" s="35">
        <f t="shared" ref="M312:M320" si="80">ROUND((L312/$E$1),0)</f>
        <v>5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9</v>
      </c>
      <c r="H313" s="42">
        <v>8</v>
      </c>
      <c r="I313" s="42">
        <v>16</v>
      </c>
      <c r="J313" s="42">
        <v>17</v>
      </c>
      <c r="K313" s="42"/>
      <c r="L313" s="35">
        <f t="shared" ref="L313:L320" si="81">SUM(G313:K313)</f>
        <v>50</v>
      </c>
      <c r="M313" s="35">
        <f t="shared" si="80"/>
        <v>13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24</v>
      </c>
      <c r="H314" s="42">
        <v>14</v>
      </c>
      <c r="I314" s="42">
        <v>13</v>
      </c>
      <c r="J314" s="42">
        <v>21</v>
      </c>
      <c r="K314" s="42"/>
      <c r="L314" s="35">
        <f t="shared" si="81"/>
        <v>72</v>
      </c>
      <c r="M314" s="35">
        <f t="shared" si="80"/>
        <v>18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37</v>
      </c>
      <c r="H315" s="43">
        <v>19</v>
      </c>
      <c r="I315" s="43">
        <v>23</v>
      </c>
      <c r="J315" s="43">
        <v>42</v>
      </c>
      <c r="K315" s="43"/>
      <c r="L315" s="31">
        <f t="shared" si="81"/>
        <v>121</v>
      </c>
      <c r="M315" s="31">
        <f t="shared" si="80"/>
        <v>30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/>
      <c r="I316" s="42"/>
      <c r="J316" s="42"/>
      <c r="K316" s="42"/>
      <c r="L316" s="35">
        <f t="shared" si="81"/>
        <v>0</v>
      </c>
      <c r="M316" s="35">
        <f t="shared" si="80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/>
      <c r="I318" s="42"/>
      <c r="J318" s="42"/>
      <c r="K318" s="42"/>
      <c r="L318" s="35">
        <f t="shared" si="81"/>
        <v>0</v>
      </c>
      <c r="M318" s="35">
        <f t="shared" si="80"/>
        <v>0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13</v>
      </c>
      <c r="H319" s="42"/>
      <c r="I319" s="42"/>
      <c r="J319" s="42">
        <v>191</v>
      </c>
      <c r="K319" s="42"/>
      <c r="L319" s="35">
        <f t="shared" si="81"/>
        <v>204</v>
      </c>
      <c r="M319" s="35">
        <f t="shared" si="80"/>
        <v>51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 t="str">
        <f>+$G$3</f>
        <v>Year</v>
      </c>
      <c r="H323" s="10" t="str">
        <f>+G323</f>
        <v>Year</v>
      </c>
      <c r="I323" s="10" t="str">
        <f t="shared" ref="I323:M324" si="82">+H323</f>
        <v>Year</v>
      </c>
      <c r="J323" s="10" t="str">
        <f t="shared" si="82"/>
        <v>Year</v>
      </c>
      <c r="K323" s="10" t="str">
        <f t="shared" si="82"/>
        <v>Year</v>
      </c>
      <c r="L323" s="10" t="str">
        <f t="shared" si="82"/>
        <v>Year</v>
      </c>
      <c r="M323" s="10" t="str">
        <f t="shared" si="82"/>
        <v>Year</v>
      </c>
      <c r="N323" s="11"/>
      <c r="S323" s="12" t="str">
        <f>+C323</f>
        <v>Kancesi</v>
      </c>
      <c r="T323" s="13">
        <f>+L327</f>
        <v>253</v>
      </c>
      <c r="U323" s="13">
        <f>+L328+L329</f>
        <v>79</v>
      </c>
      <c r="V323" s="13">
        <f>+L330+L331</f>
        <v>174</v>
      </c>
      <c r="W323" s="13">
        <f>+L334</f>
        <v>36</v>
      </c>
      <c r="X323" s="13">
        <f>+L332</f>
        <v>3</v>
      </c>
    </row>
    <row r="324" spans="1:24" x14ac:dyDescent="0.25">
      <c r="A324" s="14"/>
      <c r="B324" s="15"/>
      <c r="C324" s="41" t="str">
        <f>+$C308</f>
        <v>November 2024</v>
      </c>
      <c r="D324" s="18"/>
      <c r="E324" s="18"/>
      <c r="F324" s="18"/>
      <c r="G324" s="20" t="str">
        <f>+$G$4</f>
        <v>Mnt</v>
      </c>
      <c r="H324" s="20" t="str">
        <f>+G324</f>
        <v>Mnt</v>
      </c>
      <c r="I324" s="20" t="str">
        <f t="shared" si="82"/>
        <v>Mnt</v>
      </c>
      <c r="J324" s="20" t="str">
        <f t="shared" si="82"/>
        <v>Mnt</v>
      </c>
      <c r="K324" s="20" t="str">
        <f t="shared" si="82"/>
        <v>Mnt</v>
      </c>
      <c r="L324" s="20" t="str">
        <f t="shared" si="82"/>
        <v>Mnt</v>
      </c>
      <c r="M324" s="20" t="str">
        <f t="shared" si="82"/>
        <v>Mnt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3</v>
      </c>
      <c r="H325" s="25">
        <f>+$H$5</f>
        <v>10</v>
      </c>
      <c r="I325" s="25">
        <f>+$I$5</f>
        <v>17</v>
      </c>
      <c r="J325" s="25">
        <f>+$J$5</f>
        <v>24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62</v>
      </c>
      <c r="H327" s="31">
        <f t="shared" ref="H327:L327" si="83">SUM(H328:H331)</f>
        <v>55</v>
      </c>
      <c r="I327" s="31">
        <f t="shared" si="83"/>
        <v>70</v>
      </c>
      <c r="J327" s="31">
        <f t="shared" si="83"/>
        <v>66</v>
      </c>
      <c r="K327" s="31">
        <f t="shared" si="83"/>
        <v>0</v>
      </c>
      <c r="L327" s="31">
        <f t="shared" si="83"/>
        <v>253</v>
      </c>
      <c r="M327" s="31">
        <f>ROUND((L327/$E$1),0)</f>
        <v>63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5</v>
      </c>
      <c r="H328" s="42">
        <v>6</v>
      </c>
      <c r="I328" s="42">
        <v>7</v>
      </c>
      <c r="J328" s="42">
        <v>5</v>
      </c>
      <c r="K328" s="42"/>
      <c r="L328" s="35">
        <f>SUM(G328:K328)</f>
        <v>23</v>
      </c>
      <c r="M328" s="35">
        <f t="shared" ref="M328:M336" si="84">ROUND((L328/$E$1),0)</f>
        <v>6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14</v>
      </c>
      <c r="H329" s="42">
        <v>12</v>
      </c>
      <c r="I329" s="42">
        <v>15</v>
      </c>
      <c r="J329" s="42">
        <v>15</v>
      </c>
      <c r="K329" s="42"/>
      <c r="L329" s="35">
        <f t="shared" ref="L329:L336" si="85">SUM(G329:K329)</f>
        <v>56</v>
      </c>
      <c r="M329" s="35">
        <f t="shared" si="84"/>
        <v>14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11</v>
      </c>
      <c r="H330" s="42">
        <v>14</v>
      </c>
      <c r="I330" s="42">
        <v>13</v>
      </c>
      <c r="J330" s="42">
        <v>18</v>
      </c>
      <c r="K330" s="42"/>
      <c r="L330" s="35">
        <f t="shared" si="85"/>
        <v>56</v>
      </c>
      <c r="M330" s="35">
        <f t="shared" si="84"/>
        <v>14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32</v>
      </c>
      <c r="H331" s="43">
        <v>23</v>
      </c>
      <c r="I331" s="43">
        <v>35</v>
      </c>
      <c r="J331" s="43">
        <v>28</v>
      </c>
      <c r="K331" s="43"/>
      <c r="L331" s="31">
        <f t="shared" si="85"/>
        <v>118</v>
      </c>
      <c r="M331" s="31">
        <f t="shared" si="84"/>
        <v>30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>
        <v>1</v>
      </c>
      <c r="H332" s="42">
        <v>1</v>
      </c>
      <c r="I332" s="42"/>
      <c r="J332" s="42">
        <v>1</v>
      </c>
      <c r="K332" s="42"/>
      <c r="L332" s="35">
        <f t="shared" si="85"/>
        <v>3</v>
      </c>
      <c r="M332" s="35">
        <f t="shared" si="84"/>
        <v>1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>
        <v>1</v>
      </c>
      <c r="J333" s="42"/>
      <c r="K333" s="42"/>
      <c r="L333" s="35">
        <f t="shared" si="85"/>
        <v>1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9</v>
      </c>
      <c r="H334" s="42">
        <v>9</v>
      </c>
      <c r="I334" s="42">
        <v>11</v>
      </c>
      <c r="J334" s="42">
        <v>7</v>
      </c>
      <c r="K334" s="42"/>
      <c r="L334" s="35">
        <f t="shared" si="85"/>
        <v>36</v>
      </c>
      <c r="M334" s="35">
        <f t="shared" si="84"/>
        <v>9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128</v>
      </c>
      <c r="H335" s="42"/>
      <c r="I335" s="42">
        <v>160</v>
      </c>
      <c r="J335" s="42">
        <v>192</v>
      </c>
      <c r="K335" s="42"/>
      <c r="L335" s="35">
        <f t="shared" si="85"/>
        <v>480</v>
      </c>
      <c r="M335" s="35">
        <f t="shared" si="84"/>
        <v>120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 t="str">
        <f>+$G$3</f>
        <v>Year</v>
      </c>
      <c r="H339" s="10" t="str">
        <f>+G339</f>
        <v>Year</v>
      </c>
      <c r="I339" s="10" t="str">
        <f t="shared" ref="I339:M340" si="86">+H339</f>
        <v>Year</v>
      </c>
      <c r="J339" s="10" t="str">
        <f t="shared" si="86"/>
        <v>Year</v>
      </c>
      <c r="K339" s="10" t="str">
        <f t="shared" si="86"/>
        <v>Year</v>
      </c>
      <c r="L339" s="10" t="str">
        <f t="shared" si="86"/>
        <v>Year</v>
      </c>
      <c r="M339" s="10" t="str">
        <f t="shared" si="86"/>
        <v>Year</v>
      </c>
      <c r="N339" s="11"/>
      <c r="S339" s="12" t="str">
        <f>+C339</f>
        <v>Mpuluzi</v>
      </c>
      <c r="T339" s="13">
        <f>+L343</f>
        <v>637</v>
      </c>
      <c r="U339" s="13">
        <f>+L344+L345</f>
        <v>250</v>
      </c>
      <c r="V339" s="13">
        <f>+L346+L347</f>
        <v>387</v>
      </c>
      <c r="W339" s="13">
        <f>+L350</f>
        <v>16</v>
      </c>
      <c r="X339" s="13">
        <f>+L348</f>
        <v>20</v>
      </c>
    </row>
    <row r="340" spans="1:24" x14ac:dyDescent="0.25">
      <c r="A340" s="14"/>
      <c r="B340" s="15"/>
      <c r="C340" s="41" t="str">
        <f>+$C324</f>
        <v>November 2024</v>
      </c>
      <c r="D340" s="18"/>
      <c r="E340" s="18"/>
      <c r="F340" s="18"/>
      <c r="G340" s="20" t="str">
        <f>+$G$4</f>
        <v>Mnt</v>
      </c>
      <c r="H340" s="20" t="str">
        <f>+G340</f>
        <v>Mnt</v>
      </c>
      <c r="I340" s="20" t="str">
        <f t="shared" si="86"/>
        <v>Mnt</v>
      </c>
      <c r="J340" s="20" t="str">
        <f t="shared" si="86"/>
        <v>Mnt</v>
      </c>
      <c r="K340" s="20" t="str">
        <f t="shared" si="86"/>
        <v>Mnt</v>
      </c>
      <c r="L340" s="20" t="str">
        <f t="shared" si="86"/>
        <v>Mnt</v>
      </c>
      <c r="M340" s="20" t="str">
        <f t="shared" si="86"/>
        <v>Mnt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3</v>
      </c>
      <c r="H341" s="25">
        <f>+$H$5</f>
        <v>10</v>
      </c>
      <c r="I341" s="25">
        <f>+$I$5</f>
        <v>17</v>
      </c>
      <c r="J341" s="25">
        <f>+$J$5</f>
        <v>24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136</v>
      </c>
      <c r="H343" s="31">
        <f t="shared" ref="H343:L343" si="87">SUM(H344:H347)</f>
        <v>148</v>
      </c>
      <c r="I343" s="31">
        <f t="shared" si="87"/>
        <v>153</v>
      </c>
      <c r="J343" s="31">
        <f t="shared" si="87"/>
        <v>200</v>
      </c>
      <c r="K343" s="31">
        <f t="shared" si="87"/>
        <v>0</v>
      </c>
      <c r="L343" s="31">
        <f t="shared" si="87"/>
        <v>637</v>
      </c>
      <c r="M343" s="31">
        <f>ROUND((L343/$E$1),0)</f>
        <v>159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19</v>
      </c>
      <c r="H344" s="42">
        <v>16</v>
      </c>
      <c r="I344" s="42">
        <v>17</v>
      </c>
      <c r="J344" s="42">
        <v>21</v>
      </c>
      <c r="K344" s="42"/>
      <c r="L344" s="35">
        <f>SUM(G344:K344)</f>
        <v>73</v>
      </c>
      <c r="M344" s="35">
        <f t="shared" ref="M344:M352" si="88">ROUND((L344/$E$1),0)</f>
        <v>18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34</v>
      </c>
      <c r="H345" s="42">
        <v>36</v>
      </c>
      <c r="I345" s="42">
        <v>41</v>
      </c>
      <c r="J345" s="42">
        <v>66</v>
      </c>
      <c r="K345" s="42"/>
      <c r="L345" s="35">
        <f t="shared" ref="L345:L352" si="89">SUM(G345:K345)</f>
        <v>177</v>
      </c>
      <c r="M345" s="35">
        <f t="shared" si="88"/>
        <v>44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12</v>
      </c>
      <c r="H346" s="42">
        <v>16</v>
      </c>
      <c r="I346" s="42">
        <v>23</v>
      </c>
      <c r="J346" s="42">
        <v>32</v>
      </c>
      <c r="K346" s="42"/>
      <c r="L346" s="35">
        <f t="shared" si="89"/>
        <v>83</v>
      </c>
      <c r="M346" s="35">
        <f t="shared" si="88"/>
        <v>21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71</v>
      </c>
      <c r="H347" s="43">
        <v>80</v>
      </c>
      <c r="I347" s="43">
        <v>72</v>
      </c>
      <c r="J347" s="43">
        <v>81</v>
      </c>
      <c r="K347" s="43"/>
      <c r="L347" s="31">
        <f t="shared" si="89"/>
        <v>304</v>
      </c>
      <c r="M347" s="31">
        <f t="shared" si="88"/>
        <v>76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4</v>
      </c>
      <c r="H348" s="42">
        <v>8</v>
      </c>
      <c r="I348" s="42"/>
      <c r="J348" s="42">
        <v>8</v>
      </c>
      <c r="K348" s="42"/>
      <c r="L348" s="35">
        <f t="shared" si="89"/>
        <v>20</v>
      </c>
      <c r="M348" s="35">
        <f t="shared" si="88"/>
        <v>5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4</v>
      </c>
      <c r="H350" s="42">
        <v>6</v>
      </c>
      <c r="I350" s="42"/>
      <c r="J350" s="42">
        <v>6</v>
      </c>
      <c r="K350" s="42"/>
      <c r="L350" s="35">
        <f t="shared" si="89"/>
        <v>16</v>
      </c>
      <c r="M350" s="35">
        <f t="shared" si="88"/>
        <v>4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/>
      <c r="H351" s="42"/>
      <c r="I351" s="42">
        <v>160</v>
      </c>
      <c r="J351" s="42">
        <v>256</v>
      </c>
      <c r="K351" s="42"/>
      <c r="L351" s="35">
        <f t="shared" si="89"/>
        <v>416</v>
      </c>
      <c r="M351" s="35">
        <f t="shared" si="88"/>
        <v>104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 t="str">
        <f>+$G$3</f>
        <v>Year</v>
      </c>
      <c r="H355" s="10" t="str">
        <f>+G355</f>
        <v>Year</v>
      </c>
      <c r="I355" s="10" t="str">
        <f t="shared" ref="I355:M356" si="90">+H355</f>
        <v>Year</v>
      </c>
      <c r="J355" s="10" t="str">
        <f t="shared" si="90"/>
        <v>Year</v>
      </c>
      <c r="K355" s="10" t="str">
        <f t="shared" si="90"/>
        <v>Year</v>
      </c>
      <c r="L355" s="10" t="str">
        <f t="shared" si="90"/>
        <v>Year</v>
      </c>
      <c r="M355" s="10" t="str">
        <f t="shared" si="90"/>
        <v>Year</v>
      </c>
      <c r="N355" s="11"/>
      <c r="S355" s="12" t="str">
        <f>+C355</f>
        <v>Bulunga</v>
      </c>
      <c r="T355" s="13">
        <f>+L359</f>
        <v>150</v>
      </c>
      <c r="U355" s="13">
        <f>+L360+L361</f>
        <v>17</v>
      </c>
      <c r="V355" s="13">
        <f>+L362+L363</f>
        <v>133</v>
      </c>
      <c r="W355" s="13">
        <f>+L366</f>
        <v>21</v>
      </c>
      <c r="X355" s="13">
        <f>+L364</f>
        <v>0</v>
      </c>
    </row>
    <row r="356" spans="1:24" x14ac:dyDescent="0.25">
      <c r="A356" s="14"/>
      <c r="B356" s="15"/>
      <c r="C356" s="41" t="str">
        <f>+$C340</f>
        <v>November 2024</v>
      </c>
      <c r="D356" s="18"/>
      <c r="E356" s="18"/>
      <c r="F356" s="18"/>
      <c r="G356" s="20" t="str">
        <f>+$G$4</f>
        <v>Mnt</v>
      </c>
      <c r="H356" s="20" t="str">
        <f>+G356</f>
        <v>Mnt</v>
      </c>
      <c r="I356" s="20" t="str">
        <f t="shared" si="90"/>
        <v>Mnt</v>
      </c>
      <c r="J356" s="20" t="str">
        <f t="shared" si="90"/>
        <v>Mnt</v>
      </c>
      <c r="K356" s="20" t="str">
        <f t="shared" si="90"/>
        <v>Mnt</v>
      </c>
      <c r="L356" s="20" t="str">
        <f t="shared" si="90"/>
        <v>Mnt</v>
      </c>
      <c r="M356" s="20" t="str">
        <f t="shared" si="90"/>
        <v>Mnt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3</v>
      </c>
      <c r="H357" s="25">
        <f>+$H$5</f>
        <v>10</v>
      </c>
      <c r="I357" s="25">
        <f>+$I$5</f>
        <v>17</v>
      </c>
      <c r="J357" s="25">
        <f>+$J$5</f>
        <v>24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34</v>
      </c>
      <c r="H359" s="31">
        <f t="shared" ref="H359:L359" si="91">SUM(H360:H363)</f>
        <v>44</v>
      </c>
      <c r="I359" s="31">
        <f t="shared" si="91"/>
        <v>32</v>
      </c>
      <c r="J359" s="31">
        <f t="shared" si="91"/>
        <v>40</v>
      </c>
      <c r="K359" s="31">
        <f t="shared" si="91"/>
        <v>0</v>
      </c>
      <c r="L359" s="31">
        <f t="shared" si="91"/>
        <v>150</v>
      </c>
      <c r="M359" s="31">
        <f>ROUND((L359/$E$1),0)</f>
        <v>38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2</v>
      </c>
      <c r="H360" s="42">
        <v>2</v>
      </c>
      <c r="I360" s="42">
        <v>2</v>
      </c>
      <c r="J360" s="42">
        <v>2</v>
      </c>
      <c r="K360" s="42"/>
      <c r="L360" s="35">
        <f>SUM(G360:K360)</f>
        <v>8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2</v>
      </c>
      <c r="H361" s="42">
        <v>2</v>
      </c>
      <c r="I361" s="42">
        <v>3</v>
      </c>
      <c r="J361" s="42">
        <v>2</v>
      </c>
      <c r="K361" s="42"/>
      <c r="L361" s="35">
        <f t="shared" ref="L361:L368" si="93">SUM(G361:K361)</f>
        <v>9</v>
      </c>
      <c r="M361" s="35">
        <f t="shared" si="92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17</v>
      </c>
      <c r="H362" s="42">
        <v>17</v>
      </c>
      <c r="I362" s="42">
        <v>16</v>
      </c>
      <c r="J362" s="42">
        <v>16</v>
      </c>
      <c r="K362" s="42"/>
      <c r="L362" s="35">
        <f t="shared" si="93"/>
        <v>66</v>
      </c>
      <c r="M362" s="35">
        <f t="shared" si="92"/>
        <v>17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13</v>
      </c>
      <c r="H363" s="43">
        <v>23</v>
      </c>
      <c r="I363" s="43">
        <v>11</v>
      </c>
      <c r="J363" s="43">
        <v>20</v>
      </c>
      <c r="K363" s="43"/>
      <c r="L363" s="31">
        <f t="shared" si="93"/>
        <v>67</v>
      </c>
      <c r="M363" s="31">
        <f t="shared" si="92"/>
        <v>17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/>
      <c r="H364" s="42"/>
      <c r="I364" s="42"/>
      <c r="J364" s="42"/>
      <c r="K364" s="42"/>
      <c r="L364" s="35">
        <f t="shared" si="93"/>
        <v>0</v>
      </c>
      <c r="M364" s="35">
        <f t="shared" si="92"/>
        <v>0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/>
      <c r="H366" s="42">
        <v>8</v>
      </c>
      <c r="I366" s="42">
        <v>8</v>
      </c>
      <c r="J366" s="42">
        <v>5</v>
      </c>
      <c r="K366" s="42"/>
      <c r="L366" s="35">
        <f t="shared" si="93"/>
        <v>21</v>
      </c>
      <c r="M366" s="35">
        <f t="shared" si="92"/>
        <v>5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/>
      <c r="I367" s="42"/>
      <c r="J367" s="42"/>
      <c r="K367" s="42"/>
      <c r="L367" s="35">
        <f t="shared" si="93"/>
        <v>0</v>
      </c>
      <c r="M367" s="35">
        <f t="shared" si="92"/>
        <v>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 t="str">
        <f>+$G$3</f>
        <v>Year</v>
      </c>
      <c r="H371" s="10" t="str">
        <f>+G371</f>
        <v>Year</v>
      </c>
      <c r="I371" s="10" t="str">
        <f t="shared" ref="I371:M372" si="94">+H371</f>
        <v>Year</v>
      </c>
      <c r="J371" s="10" t="str">
        <f t="shared" si="94"/>
        <v>Year</v>
      </c>
      <c r="K371" s="10" t="str">
        <f t="shared" si="94"/>
        <v>Year</v>
      </c>
      <c r="L371" s="10" t="str">
        <f t="shared" si="94"/>
        <v>Year</v>
      </c>
      <c r="M371" s="10" t="str">
        <f t="shared" si="94"/>
        <v>Year</v>
      </c>
      <c r="N371" s="11"/>
      <c r="P371" s="44"/>
      <c r="S371" s="12" t="str">
        <f>+C371</f>
        <v>Mbowane</v>
      </c>
      <c r="T371" s="13">
        <f>+L375</f>
        <v>125</v>
      </c>
      <c r="U371" s="13">
        <f>+L376+L377</f>
        <v>27</v>
      </c>
      <c r="V371" s="13">
        <f>+L378+L379</f>
        <v>98</v>
      </c>
      <c r="W371" s="13">
        <f>+L382</f>
        <v>27</v>
      </c>
      <c r="X371" s="13">
        <f>+L380</f>
        <v>0</v>
      </c>
    </row>
    <row r="372" spans="1:24" x14ac:dyDescent="0.25">
      <c r="A372" s="14"/>
      <c r="B372" s="15"/>
      <c r="C372" s="41" t="str">
        <f>+$C356</f>
        <v>November 2024</v>
      </c>
      <c r="D372" s="18"/>
      <c r="E372" s="18"/>
      <c r="F372" s="18"/>
      <c r="G372" s="20" t="str">
        <f>+$G$4</f>
        <v>Mnt</v>
      </c>
      <c r="H372" s="20" t="str">
        <f>+G372</f>
        <v>Mnt</v>
      </c>
      <c r="I372" s="20" t="str">
        <f t="shared" si="94"/>
        <v>Mnt</v>
      </c>
      <c r="J372" s="20" t="str">
        <f t="shared" si="94"/>
        <v>Mnt</v>
      </c>
      <c r="K372" s="20" t="str">
        <f t="shared" si="94"/>
        <v>Mnt</v>
      </c>
      <c r="L372" s="20" t="str">
        <f t="shared" si="94"/>
        <v>Mnt</v>
      </c>
      <c r="M372" s="20" t="str">
        <f t="shared" si="94"/>
        <v>Mnt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3</v>
      </c>
      <c r="H373" s="25">
        <f>+$H$5</f>
        <v>10</v>
      </c>
      <c r="I373" s="25">
        <f>+$I$5</f>
        <v>17</v>
      </c>
      <c r="J373" s="25">
        <f>+$J$5</f>
        <v>24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28</v>
      </c>
      <c r="H375" s="31">
        <f t="shared" ref="H375:L375" si="95">SUM(H376:H379)</f>
        <v>35</v>
      </c>
      <c r="I375" s="31">
        <f t="shared" si="95"/>
        <v>29</v>
      </c>
      <c r="J375" s="31">
        <f t="shared" si="95"/>
        <v>33</v>
      </c>
      <c r="K375" s="31">
        <f t="shared" si="95"/>
        <v>0</v>
      </c>
      <c r="L375" s="31">
        <f t="shared" si="95"/>
        <v>125</v>
      </c>
      <c r="M375" s="31">
        <f>ROUND((L375/$E$1),0)</f>
        <v>31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1</v>
      </c>
      <c r="H376" s="42">
        <v>2</v>
      </c>
      <c r="I376" s="42">
        <v>1</v>
      </c>
      <c r="J376" s="42">
        <v>1</v>
      </c>
      <c r="K376" s="42"/>
      <c r="L376" s="35">
        <f>SUM(G376:K376)</f>
        <v>5</v>
      </c>
      <c r="M376" s="35">
        <f t="shared" ref="M376:M384" si="96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5</v>
      </c>
      <c r="H377" s="42">
        <v>6</v>
      </c>
      <c r="I377" s="42">
        <v>5</v>
      </c>
      <c r="J377" s="42">
        <v>6</v>
      </c>
      <c r="K377" s="42"/>
      <c r="L377" s="35">
        <f t="shared" ref="L377:L384" si="97">SUM(G377:K377)</f>
        <v>22</v>
      </c>
      <c r="M377" s="35">
        <f t="shared" si="96"/>
        <v>6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8</v>
      </c>
      <c r="H378" s="42">
        <v>11</v>
      </c>
      <c r="I378" s="42">
        <v>10</v>
      </c>
      <c r="J378" s="42">
        <v>15</v>
      </c>
      <c r="K378" s="42"/>
      <c r="L378" s="35">
        <f t="shared" si="97"/>
        <v>44</v>
      </c>
      <c r="M378" s="35">
        <f t="shared" si="96"/>
        <v>11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14</v>
      </c>
      <c r="H379" s="43">
        <v>16</v>
      </c>
      <c r="I379" s="43">
        <v>13</v>
      </c>
      <c r="J379" s="43">
        <v>11</v>
      </c>
      <c r="K379" s="43"/>
      <c r="L379" s="31">
        <f t="shared" si="97"/>
        <v>54</v>
      </c>
      <c r="M379" s="31">
        <f t="shared" si="96"/>
        <v>14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97"/>
        <v>0</v>
      </c>
      <c r="M380" s="35">
        <f t="shared" si="96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10</v>
      </c>
      <c r="H382" s="42">
        <v>7</v>
      </c>
      <c r="I382" s="42">
        <v>4</v>
      </c>
      <c r="J382" s="42">
        <v>6</v>
      </c>
      <c r="K382" s="42"/>
      <c r="L382" s="35">
        <f t="shared" si="97"/>
        <v>27</v>
      </c>
      <c r="M382" s="35">
        <f t="shared" si="96"/>
        <v>7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>
        <v>128</v>
      </c>
      <c r="H383" s="42"/>
      <c r="I383" s="42"/>
      <c r="J383" s="42">
        <v>30</v>
      </c>
      <c r="K383" s="42"/>
      <c r="L383" s="35">
        <f t="shared" si="97"/>
        <v>158</v>
      </c>
      <c r="M383" s="35">
        <f t="shared" si="96"/>
        <v>40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 t="str">
        <f>+$G$3</f>
        <v>Year</v>
      </c>
      <c r="H387" s="10" t="str">
        <f>+G387</f>
        <v>Year</v>
      </c>
      <c r="I387" s="10" t="str">
        <f t="shared" ref="I387:M388" si="98">+H387</f>
        <v>Year</v>
      </c>
      <c r="J387" s="10" t="str">
        <f t="shared" si="98"/>
        <v>Year</v>
      </c>
      <c r="K387" s="10" t="str">
        <f t="shared" si="98"/>
        <v>Year</v>
      </c>
      <c r="L387" s="10" t="str">
        <f t="shared" si="98"/>
        <v>Year</v>
      </c>
      <c r="M387" s="10" t="str">
        <f t="shared" si="98"/>
        <v>Year</v>
      </c>
      <c r="N387" s="11"/>
      <c r="P387" s="44"/>
      <c r="S387" s="12" t="str">
        <f>+C387</f>
        <v>Sibovini</v>
      </c>
      <c r="T387" s="13">
        <f>+L391</f>
        <v>307</v>
      </c>
      <c r="U387" s="13">
        <f>+L392+L393</f>
        <v>66</v>
      </c>
      <c r="V387" s="13">
        <f>+L394+L395</f>
        <v>241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November 2024</v>
      </c>
      <c r="D388" s="18"/>
      <c r="E388" s="18"/>
      <c r="F388" s="18"/>
      <c r="G388" s="20" t="str">
        <f>+$G$4</f>
        <v>Mnt</v>
      </c>
      <c r="H388" s="20" t="str">
        <f>+G388</f>
        <v>Mnt</v>
      </c>
      <c r="I388" s="20" t="str">
        <f t="shared" si="98"/>
        <v>Mnt</v>
      </c>
      <c r="J388" s="20" t="str">
        <f t="shared" si="98"/>
        <v>Mnt</v>
      </c>
      <c r="K388" s="20" t="str">
        <f t="shared" si="98"/>
        <v>Mnt</v>
      </c>
      <c r="L388" s="20" t="str">
        <f t="shared" si="98"/>
        <v>Mnt</v>
      </c>
      <c r="M388" s="20" t="str">
        <f t="shared" si="98"/>
        <v>Mnt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3</v>
      </c>
      <c r="H389" s="25">
        <f>+$H$5</f>
        <v>10</v>
      </c>
      <c r="I389" s="25">
        <f>+$I$5</f>
        <v>17</v>
      </c>
      <c r="J389" s="25">
        <f>+$J$5</f>
        <v>24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74</v>
      </c>
      <c r="H391" s="31">
        <f t="shared" ref="H391:L391" si="99">SUM(H392:H395)</f>
        <v>75</v>
      </c>
      <c r="I391" s="31">
        <f t="shared" si="99"/>
        <v>73</v>
      </c>
      <c r="J391" s="31">
        <f t="shared" si="99"/>
        <v>85</v>
      </c>
      <c r="K391" s="31">
        <f t="shared" si="99"/>
        <v>0</v>
      </c>
      <c r="L391" s="31">
        <f t="shared" si="99"/>
        <v>307</v>
      </c>
      <c r="M391" s="31">
        <f>ROUND((L391/$E$1),0)</f>
        <v>77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7</v>
      </c>
      <c r="H392" s="42">
        <v>4</v>
      </c>
      <c r="I392" s="42">
        <v>2</v>
      </c>
      <c r="J392" s="42">
        <v>4</v>
      </c>
      <c r="K392" s="42"/>
      <c r="L392" s="35">
        <f>SUM(G392:K392)</f>
        <v>17</v>
      </c>
      <c r="M392" s="35">
        <f t="shared" ref="M392:M400" si="100">ROUND((L392/$E$1),0)</f>
        <v>4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15</v>
      </c>
      <c r="H393" s="42">
        <v>13</v>
      </c>
      <c r="I393" s="42">
        <v>11</v>
      </c>
      <c r="J393" s="42">
        <v>10</v>
      </c>
      <c r="K393" s="42"/>
      <c r="L393" s="35">
        <f t="shared" ref="L393:L400" si="101">SUM(G393:K393)</f>
        <v>49</v>
      </c>
      <c r="M393" s="35">
        <f t="shared" si="100"/>
        <v>12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16</v>
      </c>
      <c r="H394" s="42">
        <v>12</v>
      </c>
      <c r="I394" s="42">
        <v>16</v>
      </c>
      <c r="J394" s="42">
        <v>15</v>
      </c>
      <c r="K394" s="42"/>
      <c r="L394" s="35">
        <f t="shared" si="101"/>
        <v>59</v>
      </c>
      <c r="M394" s="35">
        <f t="shared" si="100"/>
        <v>15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36</v>
      </c>
      <c r="H395" s="43">
        <v>46</v>
      </c>
      <c r="I395" s="43">
        <v>44</v>
      </c>
      <c r="J395" s="43">
        <v>56</v>
      </c>
      <c r="K395" s="43"/>
      <c r="L395" s="31">
        <f t="shared" si="101"/>
        <v>182</v>
      </c>
      <c r="M395" s="31">
        <f t="shared" si="100"/>
        <v>46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 t="str">
        <f>+$G$3</f>
        <v>Year</v>
      </c>
      <c r="H403" s="10" t="str">
        <f>+G403</f>
        <v>Year</v>
      </c>
      <c r="I403" s="10" t="str">
        <f t="shared" ref="I403:M404" si="102">+H403</f>
        <v>Year</v>
      </c>
      <c r="J403" s="10" t="str">
        <f t="shared" si="102"/>
        <v>Year</v>
      </c>
      <c r="K403" s="10" t="str">
        <f t="shared" si="102"/>
        <v>Year</v>
      </c>
      <c r="L403" s="10" t="str">
        <f t="shared" si="102"/>
        <v>Year</v>
      </c>
      <c r="M403" s="10" t="str">
        <f t="shared" si="102"/>
        <v>Year</v>
      </c>
      <c r="N403" s="11"/>
      <c r="P403" s="44"/>
      <c r="S403" s="12" t="str">
        <f>+C403</f>
        <v>Nsubani</v>
      </c>
      <c r="T403" s="13">
        <f>+L407</f>
        <v>351</v>
      </c>
      <c r="U403" s="13">
        <f>+L408+L409</f>
        <v>91</v>
      </c>
      <c r="V403" s="13">
        <f>+L410+L411</f>
        <v>260</v>
      </c>
      <c r="W403" s="13">
        <f>+L414</f>
        <v>35</v>
      </c>
      <c r="X403" s="13">
        <f>+L412</f>
        <v>3</v>
      </c>
    </row>
    <row r="404" spans="1:24" x14ac:dyDescent="0.25">
      <c r="A404" s="14"/>
      <c r="B404" s="15"/>
      <c r="C404" s="41" t="str">
        <f>+$C388</f>
        <v>November 2024</v>
      </c>
      <c r="D404" s="18"/>
      <c r="E404" s="18"/>
      <c r="F404" s="18"/>
      <c r="G404" s="20" t="str">
        <f>+$G$4</f>
        <v>Mnt</v>
      </c>
      <c r="H404" s="20" t="str">
        <f>+G404</f>
        <v>Mnt</v>
      </c>
      <c r="I404" s="20" t="str">
        <f t="shared" si="102"/>
        <v>Mnt</v>
      </c>
      <c r="J404" s="20" t="str">
        <f t="shared" si="102"/>
        <v>Mnt</v>
      </c>
      <c r="K404" s="20" t="str">
        <f t="shared" si="102"/>
        <v>Mnt</v>
      </c>
      <c r="L404" s="20" t="str">
        <f t="shared" si="102"/>
        <v>Mnt</v>
      </c>
      <c r="M404" s="20" t="str">
        <f t="shared" si="102"/>
        <v>Mnt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3</v>
      </c>
      <c r="H405" s="25">
        <f>+$H$5</f>
        <v>10</v>
      </c>
      <c r="I405" s="25">
        <f>+$I$5</f>
        <v>17</v>
      </c>
      <c r="J405" s="25">
        <f>+$J$5</f>
        <v>24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118</v>
      </c>
      <c r="H407" s="31">
        <f t="shared" ref="H407:L407" si="103">SUM(H408:H411)</f>
        <v>81</v>
      </c>
      <c r="I407" s="31">
        <f t="shared" si="103"/>
        <v>75</v>
      </c>
      <c r="J407" s="31">
        <f t="shared" si="103"/>
        <v>77</v>
      </c>
      <c r="K407" s="31">
        <f t="shared" si="103"/>
        <v>0</v>
      </c>
      <c r="L407" s="31">
        <f t="shared" si="103"/>
        <v>351</v>
      </c>
      <c r="M407" s="31">
        <f>ROUND((L407/$E$1),0)</f>
        <v>88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8</v>
      </c>
      <c r="H408" s="42">
        <v>4</v>
      </c>
      <c r="I408" s="42">
        <v>6</v>
      </c>
      <c r="J408" s="42">
        <v>6</v>
      </c>
      <c r="K408" s="42"/>
      <c r="L408" s="35">
        <f>SUM(G408:K408)</f>
        <v>24</v>
      </c>
      <c r="M408" s="35">
        <f t="shared" ref="M408:M416" si="104">ROUND((L408/$E$1),0)</f>
        <v>6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32</v>
      </c>
      <c r="H409" s="42">
        <v>14</v>
      </c>
      <c r="I409" s="42">
        <v>11</v>
      </c>
      <c r="J409" s="42">
        <v>10</v>
      </c>
      <c r="K409" s="42"/>
      <c r="L409" s="35">
        <f t="shared" ref="L409:L416" si="105">SUM(G409:K409)</f>
        <v>67</v>
      </c>
      <c r="M409" s="35">
        <f t="shared" si="104"/>
        <v>17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43</v>
      </c>
      <c r="H410" s="42">
        <v>20</v>
      </c>
      <c r="I410" s="42">
        <v>22</v>
      </c>
      <c r="J410" s="42">
        <v>17</v>
      </c>
      <c r="K410" s="42"/>
      <c r="L410" s="35">
        <f t="shared" si="105"/>
        <v>102</v>
      </c>
      <c r="M410" s="35">
        <f t="shared" si="104"/>
        <v>26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35</v>
      </c>
      <c r="H411" s="43">
        <v>43</v>
      </c>
      <c r="I411" s="43">
        <v>36</v>
      </c>
      <c r="J411" s="43">
        <v>44</v>
      </c>
      <c r="K411" s="43"/>
      <c r="L411" s="31">
        <f t="shared" si="105"/>
        <v>158</v>
      </c>
      <c r="M411" s="31">
        <f t="shared" si="104"/>
        <v>40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>
        <v>3</v>
      </c>
      <c r="I412" s="42"/>
      <c r="J412" s="42"/>
      <c r="K412" s="42"/>
      <c r="L412" s="35">
        <f t="shared" si="105"/>
        <v>3</v>
      </c>
      <c r="M412" s="35">
        <f t="shared" si="104"/>
        <v>1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8</v>
      </c>
      <c r="H414" s="42">
        <v>11</v>
      </c>
      <c r="I414" s="42">
        <v>7</v>
      </c>
      <c r="J414" s="42">
        <v>9</v>
      </c>
      <c r="K414" s="42"/>
      <c r="L414" s="35">
        <f t="shared" si="105"/>
        <v>35</v>
      </c>
      <c r="M414" s="35">
        <f t="shared" si="104"/>
        <v>9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32</v>
      </c>
      <c r="H415" s="42">
        <v>96</v>
      </c>
      <c r="I415" s="42">
        <v>32</v>
      </c>
      <c r="J415" s="42">
        <v>64</v>
      </c>
      <c r="K415" s="42"/>
      <c r="L415" s="35">
        <f t="shared" si="105"/>
        <v>224</v>
      </c>
      <c r="M415" s="35">
        <f t="shared" si="104"/>
        <v>56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 t="str">
        <f>+$G$3</f>
        <v>Year</v>
      </c>
      <c r="H419" s="10" t="str">
        <f>+G419</f>
        <v>Year</v>
      </c>
      <c r="I419" s="10" t="str">
        <f t="shared" ref="I419:M420" si="106">+H419</f>
        <v>Year</v>
      </c>
      <c r="J419" s="10" t="str">
        <f t="shared" si="106"/>
        <v>Year</v>
      </c>
      <c r="K419" s="10" t="str">
        <f t="shared" si="106"/>
        <v>Year</v>
      </c>
      <c r="L419" s="10" t="str">
        <f t="shared" si="106"/>
        <v>Year</v>
      </c>
      <c r="M419" s="10" t="str">
        <f t="shared" si="106"/>
        <v>Year</v>
      </c>
      <c r="N419" s="11"/>
      <c r="P419" s="44"/>
      <c r="S419" s="12" t="str">
        <f>+C419</f>
        <v>Mhlabubovu</v>
      </c>
      <c r="T419" s="13">
        <f>+L423</f>
        <v>247</v>
      </c>
      <c r="U419" s="13">
        <f>+L424+L425</f>
        <v>53</v>
      </c>
      <c r="V419" s="13">
        <f>+L426+L427</f>
        <v>194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November 2024</v>
      </c>
      <c r="D420" s="18"/>
      <c r="E420" s="18"/>
      <c r="F420" s="18"/>
      <c r="G420" s="20" t="str">
        <f>+$G$4</f>
        <v>Mnt</v>
      </c>
      <c r="H420" s="20" t="str">
        <f>+G420</f>
        <v>Mnt</v>
      </c>
      <c r="I420" s="20" t="str">
        <f t="shared" si="106"/>
        <v>Mnt</v>
      </c>
      <c r="J420" s="20" t="str">
        <f t="shared" si="106"/>
        <v>Mnt</v>
      </c>
      <c r="K420" s="20" t="str">
        <f t="shared" si="106"/>
        <v>Mnt</v>
      </c>
      <c r="L420" s="20" t="str">
        <f t="shared" si="106"/>
        <v>Mnt</v>
      </c>
      <c r="M420" s="20" t="str">
        <f t="shared" si="106"/>
        <v>Mnt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3</v>
      </c>
      <c r="H421" s="25">
        <f>+$H$5</f>
        <v>10</v>
      </c>
      <c r="I421" s="25">
        <f>+$I$5</f>
        <v>17</v>
      </c>
      <c r="J421" s="25">
        <f>+$J$5</f>
        <v>24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59</v>
      </c>
      <c r="H423" s="31">
        <f t="shared" ref="H423:L423" si="107">SUM(H424:H427)</f>
        <v>45</v>
      </c>
      <c r="I423" s="31">
        <f t="shared" si="107"/>
        <v>66</v>
      </c>
      <c r="J423" s="31">
        <f t="shared" si="107"/>
        <v>77</v>
      </c>
      <c r="K423" s="31">
        <f t="shared" si="107"/>
        <v>0</v>
      </c>
      <c r="L423" s="31">
        <f t="shared" si="107"/>
        <v>247</v>
      </c>
      <c r="M423" s="31">
        <f>ROUND((L423/$E$1),0)</f>
        <v>62</v>
      </c>
      <c r="N423" s="32"/>
      <c r="AA423" s="46">
        <v>59</v>
      </c>
      <c r="AB423" s="46">
        <v>45</v>
      </c>
      <c r="AC423" s="46">
        <v>66</v>
      </c>
      <c r="AD423" s="46">
        <v>77</v>
      </c>
      <c r="AE423" s="46">
        <v>0</v>
      </c>
      <c r="AF423" s="46">
        <v>247</v>
      </c>
      <c r="AG423" s="46">
        <v>62</v>
      </c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>
        <v>2</v>
      </c>
      <c r="H424" s="42">
        <v>2</v>
      </c>
      <c r="I424" s="42">
        <v>1</v>
      </c>
      <c r="J424" s="42">
        <v>2</v>
      </c>
      <c r="K424" s="42"/>
      <c r="L424" s="35">
        <f>SUM(G424:K424)</f>
        <v>7</v>
      </c>
      <c r="M424" s="35">
        <f t="shared" ref="M424:M432" si="108">ROUND((L424/$E$1),0)</f>
        <v>2</v>
      </c>
      <c r="N424" s="32"/>
      <c r="AA424" s="46">
        <v>2</v>
      </c>
      <c r="AB424" s="46">
        <v>2</v>
      </c>
      <c r="AC424" s="46">
        <v>1</v>
      </c>
      <c r="AD424" s="46">
        <v>2</v>
      </c>
      <c r="AE424" s="46"/>
      <c r="AF424" s="46">
        <v>7</v>
      </c>
      <c r="AG424" s="46">
        <v>2</v>
      </c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13</v>
      </c>
      <c r="H425" s="42">
        <v>9</v>
      </c>
      <c r="I425" s="42">
        <v>11</v>
      </c>
      <c r="J425" s="42">
        <v>13</v>
      </c>
      <c r="K425" s="42"/>
      <c r="L425" s="35">
        <f t="shared" ref="L425:L432" si="109">SUM(G425:K425)</f>
        <v>46</v>
      </c>
      <c r="M425" s="35">
        <f t="shared" si="108"/>
        <v>12</v>
      </c>
      <c r="N425" s="32"/>
      <c r="AA425" s="46">
        <v>13</v>
      </c>
      <c r="AB425" s="46">
        <v>9</v>
      </c>
      <c r="AC425" s="46">
        <v>11</v>
      </c>
      <c r="AD425" s="46">
        <v>13</v>
      </c>
      <c r="AE425" s="46"/>
      <c r="AF425" s="46">
        <v>46</v>
      </c>
      <c r="AG425" s="46">
        <v>12</v>
      </c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18</v>
      </c>
      <c r="H426" s="42">
        <v>12</v>
      </c>
      <c r="I426" s="42">
        <v>14</v>
      </c>
      <c r="J426" s="42">
        <v>12</v>
      </c>
      <c r="K426" s="42"/>
      <c r="L426" s="35">
        <f t="shared" si="109"/>
        <v>56</v>
      </c>
      <c r="M426" s="35">
        <f t="shared" si="108"/>
        <v>14</v>
      </c>
      <c r="N426" s="32"/>
      <c r="AA426" s="46">
        <v>18</v>
      </c>
      <c r="AB426" s="46">
        <v>12</v>
      </c>
      <c r="AC426" s="46">
        <v>14</v>
      </c>
      <c r="AD426" s="46">
        <v>12</v>
      </c>
      <c r="AE426" s="46"/>
      <c r="AF426" s="46">
        <v>56</v>
      </c>
      <c r="AG426" s="46">
        <v>14</v>
      </c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26</v>
      </c>
      <c r="H427" s="43">
        <v>22</v>
      </c>
      <c r="I427" s="43">
        <v>40</v>
      </c>
      <c r="J427" s="43">
        <v>50</v>
      </c>
      <c r="K427" s="43"/>
      <c r="L427" s="31">
        <f t="shared" si="109"/>
        <v>138</v>
      </c>
      <c r="M427" s="31">
        <f t="shared" si="108"/>
        <v>35</v>
      </c>
      <c r="N427" s="32"/>
      <c r="AA427" s="46">
        <v>26</v>
      </c>
      <c r="AB427" s="46">
        <v>22</v>
      </c>
      <c r="AC427" s="46">
        <v>40</v>
      </c>
      <c r="AD427" s="46">
        <v>50</v>
      </c>
      <c r="AE427" s="46"/>
      <c r="AF427" s="46">
        <v>138</v>
      </c>
      <c r="AG427" s="46">
        <v>35</v>
      </c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>
        <v>0</v>
      </c>
      <c r="AG428" s="46">
        <v>0</v>
      </c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>
        <v>0</v>
      </c>
      <c r="AG429" s="46">
        <v>0</v>
      </c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>
        <v>0</v>
      </c>
      <c r="AG430" s="46">
        <v>0</v>
      </c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>
        <v>0</v>
      </c>
      <c r="AG431" s="46">
        <v>0</v>
      </c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>
        <v>0</v>
      </c>
      <c r="AG432" s="46">
        <v>0</v>
      </c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 t="str">
        <f>+$G$3</f>
        <v>Year</v>
      </c>
      <c r="H435" s="10" t="str">
        <f>+G435</f>
        <v>Year</v>
      </c>
      <c r="I435" s="10" t="str">
        <f t="shared" ref="I435:M436" si="110">+H435</f>
        <v>Year</v>
      </c>
      <c r="J435" s="10" t="str">
        <f t="shared" si="110"/>
        <v>Year</v>
      </c>
      <c r="K435" s="10" t="str">
        <f t="shared" si="110"/>
        <v>Year</v>
      </c>
      <c r="L435" s="10" t="str">
        <f t="shared" si="110"/>
        <v>Year</v>
      </c>
      <c r="M435" s="10" t="str">
        <f t="shared" si="110"/>
        <v>Year</v>
      </c>
      <c r="N435" s="11"/>
      <c r="S435" s="12" t="str">
        <f>+C435</f>
        <v>Jubukweni</v>
      </c>
      <c r="T435" s="13">
        <f>+L439</f>
        <v>82</v>
      </c>
      <c r="U435" s="13">
        <f>+L440+L441</f>
        <v>18</v>
      </c>
      <c r="V435" s="13">
        <f>+L442+L443</f>
        <v>64</v>
      </c>
      <c r="W435" s="13">
        <f>+L446</f>
        <v>0</v>
      </c>
      <c r="X435" s="13">
        <f>+L444</f>
        <v>0</v>
      </c>
    </row>
    <row r="436" spans="1:24" x14ac:dyDescent="0.25">
      <c r="A436" s="14"/>
      <c r="B436" s="15"/>
      <c r="C436" s="41" t="str">
        <f>+$C420</f>
        <v>November 2024</v>
      </c>
      <c r="D436" s="18"/>
      <c r="E436" s="18"/>
      <c r="F436" s="18"/>
      <c r="G436" s="20" t="str">
        <f>+$G$4</f>
        <v>Mnt</v>
      </c>
      <c r="H436" s="20" t="str">
        <f>+G436</f>
        <v>Mnt</v>
      </c>
      <c r="I436" s="20" t="str">
        <f t="shared" si="110"/>
        <v>Mnt</v>
      </c>
      <c r="J436" s="20" t="str">
        <f t="shared" si="110"/>
        <v>Mnt</v>
      </c>
      <c r="K436" s="20" t="str">
        <f t="shared" si="110"/>
        <v>Mnt</v>
      </c>
      <c r="L436" s="20" t="str">
        <f t="shared" si="110"/>
        <v>Mnt</v>
      </c>
      <c r="M436" s="20" t="str">
        <f t="shared" si="110"/>
        <v>Mnt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3</v>
      </c>
      <c r="H437" s="25">
        <f>+$H$5</f>
        <v>10</v>
      </c>
      <c r="I437" s="25">
        <f>+$I$5</f>
        <v>17</v>
      </c>
      <c r="J437" s="25">
        <f>+$J$5</f>
        <v>24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20</v>
      </c>
      <c r="H439" s="31">
        <f t="shared" ref="H439:L439" si="111">SUM(H440:H443)</f>
        <v>12</v>
      </c>
      <c r="I439" s="31">
        <f t="shared" si="111"/>
        <v>24</v>
      </c>
      <c r="J439" s="31">
        <f t="shared" si="111"/>
        <v>26</v>
      </c>
      <c r="K439" s="31">
        <f t="shared" si="111"/>
        <v>0</v>
      </c>
      <c r="L439" s="31">
        <f t="shared" si="111"/>
        <v>82</v>
      </c>
      <c r="M439" s="31">
        <f>ROUND((L439/$E$1),0)</f>
        <v>21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2</v>
      </c>
      <c r="I440" s="42">
        <v>2</v>
      </c>
      <c r="J440" s="42">
        <v>2</v>
      </c>
      <c r="K440" s="42"/>
      <c r="L440" s="35">
        <f>SUM(G440:K440)</f>
        <v>8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2</v>
      </c>
      <c r="H441" s="42">
        <v>2</v>
      </c>
      <c r="I441" s="42">
        <v>2</v>
      </c>
      <c r="J441" s="42">
        <v>4</v>
      </c>
      <c r="K441" s="42"/>
      <c r="L441" s="35">
        <f t="shared" ref="L441:L448" si="113">SUM(G441:K441)</f>
        <v>10</v>
      </c>
      <c r="M441" s="35">
        <f t="shared" si="112"/>
        <v>3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6</v>
      </c>
      <c r="H442" s="42">
        <v>2</v>
      </c>
      <c r="I442" s="42">
        <v>10</v>
      </c>
      <c r="J442" s="42">
        <v>10</v>
      </c>
      <c r="K442" s="42"/>
      <c r="L442" s="35">
        <f t="shared" si="113"/>
        <v>28</v>
      </c>
      <c r="M442" s="35">
        <f t="shared" si="112"/>
        <v>7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6</v>
      </c>
      <c r="I443" s="43">
        <v>10</v>
      </c>
      <c r="J443" s="43">
        <v>10</v>
      </c>
      <c r="K443" s="43"/>
      <c r="L443" s="31">
        <f t="shared" si="113"/>
        <v>36</v>
      </c>
      <c r="M443" s="31">
        <f t="shared" si="112"/>
        <v>9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/>
      <c r="I446" s="42"/>
      <c r="J446" s="42"/>
      <c r="K446" s="42"/>
      <c r="L446" s="35">
        <f t="shared" si="113"/>
        <v>0</v>
      </c>
      <c r="M446" s="35">
        <f t="shared" si="112"/>
        <v>0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/>
      <c r="I447" s="42">
        <v>288</v>
      </c>
      <c r="J447" s="42">
        <v>128</v>
      </c>
      <c r="K447" s="42"/>
      <c r="L447" s="35">
        <f t="shared" si="113"/>
        <v>416</v>
      </c>
      <c r="M447" s="35">
        <f t="shared" si="112"/>
        <v>104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 t="str">
        <f>+$G$3</f>
        <v>Year</v>
      </c>
      <c r="H451" s="10" t="str">
        <f>+G451</f>
        <v>Year</v>
      </c>
      <c r="I451" s="10" t="str">
        <f t="shared" ref="I451:M452" si="114">+H451</f>
        <v>Year</v>
      </c>
      <c r="J451" s="10" t="str">
        <f t="shared" si="114"/>
        <v>Year</v>
      </c>
      <c r="K451" s="10" t="str">
        <f t="shared" si="114"/>
        <v>Year</v>
      </c>
      <c r="L451" s="10" t="str">
        <f t="shared" si="114"/>
        <v>Year</v>
      </c>
      <c r="M451" s="10" t="str">
        <f t="shared" si="114"/>
        <v>Year</v>
      </c>
      <c r="N451" s="11"/>
      <c r="S451" s="12" t="str">
        <f>+C451</f>
        <v>Sigangeni</v>
      </c>
      <c r="T451" s="13">
        <f>+L455</f>
        <v>348</v>
      </c>
      <c r="U451" s="13">
        <f>+L456+L457</f>
        <v>50</v>
      </c>
      <c r="V451" s="13">
        <f>+L458+L459</f>
        <v>298</v>
      </c>
      <c r="W451" s="13">
        <f>+L462</f>
        <v>42</v>
      </c>
      <c r="X451" s="13">
        <f>+L460</f>
        <v>0</v>
      </c>
    </row>
    <row r="452" spans="1:24" x14ac:dyDescent="0.25">
      <c r="A452" s="14"/>
      <c r="B452" s="15"/>
      <c r="C452" s="41" t="str">
        <f>+$C436</f>
        <v>November 2024</v>
      </c>
      <c r="D452" s="18"/>
      <c r="E452" s="18"/>
      <c r="F452" s="18"/>
      <c r="G452" s="20" t="str">
        <f>+$G$4</f>
        <v>Mnt</v>
      </c>
      <c r="H452" s="20" t="str">
        <f>+G452</f>
        <v>Mnt</v>
      </c>
      <c r="I452" s="20" t="str">
        <f t="shared" si="114"/>
        <v>Mnt</v>
      </c>
      <c r="J452" s="20" t="str">
        <f t="shared" si="114"/>
        <v>Mnt</v>
      </c>
      <c r="K452" s="20" t="str">
        <f t="shared" si="114"/>
        <v>Mnt</v>
      </c>
      <c r="L452" s="20" t="str">
        <f t="shared" si="114"/>
        <v>Mnt</v>
      </c>
      <c r="M452" s="20" t="str">
        <f t="shared" si="114"/>
        <v>Mnt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3</v>
      </c>
      <c r="H453" s="25">
        <f>+$H$5</f>
        <v>10</v>
      </c>
      <c r="I453" s="25">
        <f>+$I$5</f>
        <v>17</v>
      </c>
      <c r="J453" s="25">
        <f>+$J$5</f>
        <v>24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92</v>
      </c>
      <c r="H455" s="31">
        <f t="shared" ref="H455:L455" si="115">SUM(H456:H459)</f>
        <v>81</v>
      </c>
      <c r="I455" s="31">
        <f t="shared" si="115"/>
        <v>96</v>
      </c>
      <c r="J455" s="31">
        <f t="shared" si="115"/>
        <v>79</v>
      </c>
      <c r="K455" s="31">
        <f t="shared" si="115"/>
        <v>0</v>
      </c>
      <c r="L455" s="31">
        <f t="shared" si="115"/>
        <v>348</v>
      </c>
      <c r="M455" s="31">
        <f>ROUND((L455/$E$1),0)</f>
        <v>87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7</v>
      </c>
      <c r="H456" s="42">
        <v>6</v>
      </c>
      <c r="I456" s="42">
        <v>7</v>
      </c>
      <c r="J456" s="42">
        <v>6</v>
      </c>
      <c r="K456" s="42"/>
      <c r="L456" s="35">
        <f>SUM(G456:K456)</f>
        <v>26</v>
      </c>
      <c r="M456" s="35">
        <f t="shared" ref="M456:M464" si="116">ROUND((L456/$E$1),0)</f>
        <v>7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5</v>
      </c>
      <c r="H457" s="42">
        <v>5</v>
      </c>
      <c r="I457" s="42">
        <v>6</v>
      </c>
      <c r="J457" s="42">
        <v>8</v>
      </c>
      <c r="K457" s="42"/>
      <c r="L457" s="35">
        <f t="shared" ref="L457:L464" si="117">SUM(G457:K457)</f>
        <v>24</v>
      </c>
      <c r="M457" s="35">
        <f t="shared" si="116"/>
        <v>6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13</v>
      </c>
      <c r="H458" s="42">
        <v>13</v>
      </c>
      <c r="I458" s="42">
        <v>16</v>
      </c>
      <c r="J458" s="42">
        <v>13</v>
      </c>
      <c r="K458" s="42"/>
      <c r="L458" s="35">
        <f t="shared" si="117"/>
        <v>55</v>
      </c>
      <c r="M458" s="35">
        <f t="shared" si="116"/>
        <v>14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67</v>
      </c>
      <c r="H459" s="43">
        <v>57</v>
      </c>
      <c r="I459" s="43">
        <v>67</v>
      </c>
      <c r="J459" s="43">
        <v>52</v>
      </c>
      <c r="K459" s="43"/>
      <c r="L459" s="31">
        <f t="shared" si="117"/>
        <v>243</v>
      </c>
      <c r="M459" s="31">
        <f t="shared" si="116"/>
        <v>61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11</v>
      </c>
      <c r="H462" s="42">
        <v>13</v>
      </c>
      <c r="I462" s="42">
        <v>9</v>
      </c>
      <c r="J462" s="42">
        <v>9</v>
      </c>
      <c r="K462" s="42"/>
      <c r="L462" s="35">
        <f t="shared" si="117"/>
        <v>42</v>
      </c>
      <c r="M462" s="35">
        <f t="shared" si="116"/>
        <v>11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 t="str">
        <f>+$G$3</f>
        <v>Year</v>
      </c>
      <c r="H467" s="10" t="str">
        <f>+G467</f>
        <v>Year</v>
      </c>
      <c r="I467" s="10" t="str">
        <f t="shared" ref="I467:M468" si="118">+H467</f>
        <v>Year</v>
      </c>
      <c r="J467" s="10" t="str">
        <f t="shared" si="118"/>
        <v>Year</v>
      </c>
      <c r="K467" s="10" t="str">
        <f t="shared" si="118"/>
        <v>Year</v>
      </c>
      <c r="L467" s="10" t="str">
        <f t="shared" si="118"/>
        <v>Year</v>
      </c>
      <c r="M467" s="10" t="str">
        <f t="shared" si="118"/>
        <v>Year</v>
      </c>
      <c r="N467" s="11"/>
      <c r="S467" s="12" t="str">
        <f>+C467</f>
        <v>Sgombeni</v>
      </c>
      <c r="T467" s="13">
        <f>+L471</f>
        <v>220</v>
      </c>
      <c r="U467" s="13">
        <f>+L472+L473</f>
        <v>65</v>
      </c>
      <c r="V467" s="13">
        <f>+L474+L475</f>
        <v>155</v>
      </c>
      <c r="W467" s="13">
        <f>+L478</f>
        <v>12</v>
      </c>
      <c r="X467" s="13">
        <f>+L476</f>
        <v>0</v>
      </c>
    </row>
    <row r="468" spans="1:24" x14ac:dyDescent="0.25">
      <c r="A468" s="14"/>
      <c r="B468" s="15"/>
      <c r="C468" s="41" t="str">
        <f>+$C452</f>
        <v>November 2024</v>
      </c>
      <c r="D468" s="18"/>
      <c r="E468" s="18"/>
      <c r="F468" s="18"/>
      <c r="G468" s="20" t="str">
        <f>+$G$4</f>
        <v>Mnt</v>
      </c>
      <c r="H468" s="20" t="str">
        <f>+G468</f>
        <v>Mnt</v>
      </c>
      <c r="I468" s="20" t="str">
        <f t="shared" si="118"/>
        <v>Mnt</v>
      </c>
      <c r="J468" s="20" t="str">
        <f t="shared" si="118"/>
        <v>Mnt</v>
      </c>
      <c r="K468" s="20" t="str">
        <f t="shared" si="118"/>
        <v>Mnt</v>
      </c>
      <c r="L468" s="20" t="str">
        <f t="shared" si="118"/>
        <v>Mnt</v>
      </c>
      <c r="M468" s="20" t="str">
        <f t="shared" si="118"/>
        <v>Mnt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3</v>
      </c>
      <c r="H469" s="25">
        <f>+$H$5</f>
        <v>10</v>
      </c>
      <c r="I469" s="25">
        <f>+$I$5</f>
        <v>17</v>
      </c>
      <c r="J469" s="25">
        <f>+$J$5</f>
        <v>24</v>
      </c>
      <c r="K469" s="25">
        <f>+$K$5</f>
        <v>0</v>
      </c>
      <c r="L469" s="25" t="s">
        <v>6</v>
      </c>
      <c r="M469" s="25" t="s">
        <v>7</v>
      </c>
      <c r="N469" s="26"/>
      <c r="P469" s="1" t="s">
        <v>92</v>
      </c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55</v>
      </c>
      <c r="H471" s="31">
        <f t="shared" ref="H471:L471" si="119">SUM(H472:H475)</f>
        <v>0</v>
      </c>
      <c r="I471" s="31">
        <f t="shared" si="119"/>
        <v>82</v>
      </c>
      <c r="J471" s="31">
        <f t="shared" si="119"/>
        <v>83</v>
      </c>
      <c r="K471" s="31">
        <f t="shared" si="119"/>
        <v>0</v>
      </c>
      <c r="L471" s="31">
        <f t="shared" si="119"/>
        <v>220</v>
      </c>
      <c r="M471" s="31">
        <f>ROUND((L471/$E$1),0)</f>
        <v>55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6</v>
      </c>
      <c r="H472" s="42"/>
      <c r="I472" s="42">
        <v>8</v>
      </c>
      <c r="J472" s="42">
        <v>5</v>
      </c>
      <c r="K472" s="42"/>
      <c r="L472" s="35">
        <f>SUM(G472:K472)</f>
        <v>19</v>
      </c>
      <c r="M472" s="35">
        <f t="shared" ref="M472:M480" si="120">ROUND((L472/$E$1),0)</f>
        <v>5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16</v>
      </c>
      <c r="H473" s="42"/>
      <c r="I473" s="42">
        <v>18</v>
      </c>
      <c r="J473" s="42">
        <v>12</v>
      </c>
      <c r="K473" s="42"/>
      <c r="L473" s="35">
        <f t="shared" ref="L473:L480" si="121">SUM(G473:K473)</f>
        <v>46</v>
      </c>
      <c r="M473" s="35">
        <f t="shared" si="120"/>
        <v>12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13</v>
      </c>
      <c r="H474" s="42"/>
      <c r="I474" s="42">
        <v>14</v>
      </c>
      <c r="J474" s="42">
        <v>16</v>
      </c>
      <c r="K474" s="42"/>
      <c r="L474" s="35">
        <f t="shared" si="121"/>
        <v>43</v>
      </c>
      <c r="M474" s="35">
        <f t="shared" si="120"/>
        <v>11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20</v>
      </c>
      <c r="H475" s="43"/>
      <c r="I475" s="43">
        <v>42</v>
      </c>
      <c r="J475" s="43">
        <v>50</v>
      </c>
      <c r="K475" s="43"/>
      <c r="L475" s="31">
        <f t="shared" si="121"/>
        <v>112</v>
      </c>
      <c r="M475" s="31">
        <f t="shared" si="120"/>
        <v>28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3</v>
      </c>
      <c r="H478" s="42"/>
      <c r="I478" s="42">
        <v>5</v>
      </c>
      <c r="J478" s="42">
        <v>4</v>
      </c>
      <c r="K478" s="42"/>
      <c r="L478" s="35">
        <f t="shared" si="121"/>
        <v>12</v>
      </c>
      <c r="M478" s="35">
        <f t="shared" si="120"/>
        <v>3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>
        <v>20</v>
      </c>
      <c r="H479" s="42"/>
      <c r="I479" s="42">
        <v>42</v>
      </c>
      <c r="J479" s="42">
        <v>50</v>
      </c>
      <c r="K479" s="42"/>
      <c r="L479" s="35">
        <f t="shared" si="121"/>
        <v>112</v>
      </c>
      <c r="M479" s="35">
        <f t="shared" si="120"/>
        <v>28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 t="str">
        <f>+$G$3</f>
        <v>Year</v>
      </c>
      <c r="H483" s="10" t="str">
        <f>+G483</f>
        <v>Year</v>
      </c>
      <c r="I483" s="10" t="str">
        <f t="shared" ref="I483:M484" si="122">+H483</f>
        <v>Year</v>
      </c>
      <c r="J483" s="10" t="str">
        <f t="shared" si="122"/>
        <v>Year</v>
      </c>
      <c r="K483" s="10" t="str">
        <f t="shared" si="122"/>
        <v>Year</v>
      </c>
      <c r="L483" s="10" t="str">
        <f t="shared" si="122"/>
        <v>Year</v>
      </c>
      <c r="M483" s="10" t="str">
        <f t="shared" si="122"/>
        <v>Year</v>
      </c>
      <c r="N483" s="11"/>
      <c r="S483" s="12" t="str">
        <f>+C483</f>
        <v>Lushikishini</v>
      </c>
      <c r="T483" s="13">
        <f>+L487</f>
        <v>158</v>
      </c>
      <c r="U483" s="13">
        <f>+L488+L489</f>
        <v>59</v>
      </c>
      <c r="V483" s="13">
        <f>+L490+L491</f>
        <v>99</v>
      </c>
      <c r="W483" s="13">
        <f>+L494</f>
        <v>2</v>
      </c>
      <c r="X483" s="13">
        <f>+L492</f>
        <v>0</v>
      </c>
    </row>
    <row r="484" spans="1:24" x14ac:dyDescent="0.25">
      <c r="A484" s="14"/>
      <c r="B484" s="15"/>
      <c r="C484" s="41" t="str">
        <f>+$C468</f>
        <v>November 2024</v>
      </c>
      <c r="D484" s="18"/>
      <c r="E484" s="18"/>
      <c r="F484" s="18"/>
      <c r="G484" s="20" t="str">
        <f>+$G$4</f>
        <v>Mnt</v>
      </c>
      <c r="H484" s="20" t="str">
        <f>+G484</f>
        <v>Mnt</v>
      </c>
      <c r="I484" s="20" t="str">
        <f t="shared" si="122"/>
        <v>Mnt</v>
      </c>
      <c r="J484" s="20" t="str">
        <f t="shared" si="122"/>
        <v>Mnt</v>
      </c>
      <c r="K484" s="20" t="str">
        <f t="shared" si="122"/>
        <v>Mnt</v>
      </c>
      <c r="L484" s="20" t="str">
        <f t="shared" si="122"/>
        <v>Mnt</v>
      </c>
      <c r="M484" s="20" t="str">
        <f t="shared" si="122"/>
        <v>Mnt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3</v>
      </c>
      <c r="H485" s="25">
        <f>+$H$5</f>
        <v>10</v>
      </c>
      <c r="I485" s="25">
        <f>+$I$5</f>
        <v>17</v>
      </c>
      <c r="J485" s="25">
        <f>+$J$5</f>
        <v>24</v>
      </c>
      <c r="K485" s="25">
        <f>+$K$5</f>
        <v>0</v>
      </c>
      <c r="L485" s="25" t="s">
        <v>6</v>
      </c>
      <c r="M485" s="25" t="s">
        <v>7</v>
      </c>
      <c r="N485" s="26"/>
      <c r="P485" s="1" t="s">
        <v>93</v>
      </c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0</v>
      </c>
      <c r="H487" s="31">
        <f t="shared" ref="H487:L487" si="123">SUM(H488:H491)</f>
        <v>46</v>
      </c>
      <c r="I487" s="31">
        <f t="shared" si="123"/>
        <v>51</v>
      </c>
      <c r="J487" s="31">
        <f t="shared" si="123"/>
        <v>61</v>
      </c>
      <c r="K487" s="31">
        <f t="shared" si="123"/>
        <v>0</v>
      </c>
      <c r="L487" s="31">
        <f t="shared" si="123"/>
        <v>158</v>
      </c>
      <c r="M487" s="31">
        <f>ROUND((L487/$E$1),0)</f>
        <v>40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/>
      <c r="H488" s="42">
        <v>4</v>
      </c>
      <c r="I488" s="42">
        <v>4</v>
      </c>
      <c r="J488" s="42">
        <v>4</v>
      </c>
      <c r="K488" s="42"/>
      <c r="L488" s="35">
        <f>SUM(G488:K488)</f>
        <v>12</v>
      </c>
      <c r="M488" s="35">
        <f t="shared" ref="M488:M496" si="124">ROUND((L488/$E$1),0)</f>
        <v>3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/>
      <c r="H489" s="42">
        <v>14</v>
      </c>
      <c r="I489" s="42">
        <v>13</v>
      </c>
      <c r="J489" s="42">
        <v>20</v>
      </c>
      <c r="K489" s="42"/>
      <c r="L489" s="35">
        <f t="shared" ref="L489:L496" si="125">SUM(G489:K489)</f>
        <v>47</v>
      </c>
      <c r="M489" s="35">
        <f t="shared" si="124"/>
        <v>12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/>
      <c r="H490" s="42">
        <v>11</v>
      </c>
      <c r="I490" s="42">
        <v>10</v>
      </c>
      <c r="J490" s="42">
        <v>11</v>
      </c>
      <c r="K490" s="42"/>
      <c r="L490" s="35">
        <f t="shared" si="125"/>
        <v>32</v>
      </c>
      <c r="M490" s="35">
        <f t="shared" si="124"/>
        <v>8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/>
      <c r="H491" s="43">
        <v>17</v>
      </c>
      <c r="I491" s="43">
        <v>24</v>
      </c>
      <c r="J491" s="43">
        <v>26</v>
      </c>
      <c r="K491" s="43"/>
      <c r="L491" s="31">
        <f t="shared" si="125"/>
        <v>67</v>
      </c>
      <c r="M491" s="31">
        <f t="shared" si="124"/>
        <v>17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/>
      <c r="J492" s="42"/>
      <c r="K492" s="42"/>
      <c r="L492" s="35">
        <f t="shared" si="125"/>
        <v>0</v>
      </c>
      <c r="M492" s="35">
        <f t="shared" si="124"/>
        <v>0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>
        <v>1</v>
      </c>
      <c r="I494" s="42"/>
      <c r="J494" s="42">
        <v>1</v>
      </c>
      <c r="K494" s="42"/>
      <c r="L494" s="35">
        <f t="shared" si="125"/>
        <v>2</v>
      </c>
      <c r="M494" s="35">
        <f t="shared" si="124"/>
        <v>1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>
        <v>192</v>
      </c>
      <c r="I495" s="42"/>
      <c r="J495" s="42"/>
      <c r="K495" s="42"/>
      <c r="L495" s="35">
        <f t="shared" si="125"/>
        <v>192</v>
      </c>
      <c r="M495" s="35">
        <f t="shared" si="124"/>
        <v>48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 t="str">
        <f>+$G$3</f>
        <v>Year</v>
      </c>
      <c r="H499" s="10" t="str">
        <f>+G499</f>
        <v>Year</v>
      </c>
      <c r="I499" s="10" t="str">
        <f t="shared" ref="I499:M500" si="126">+H499</f>
        <v>Year</v>
      </c>
      <c r="J499" s="10" t="str">
        <f t="shared" si="126"/>
        <v>Year</v>
      </c>
      <c r="K499" s="10" t="str">
        <f t="shared" si="126"/>
        <v>Year</v>
      </c>
      <c r="L499" s="10" t="str">
        <f t="shared" si="126"/>
        <v>Year</v>
      </c>
      <c r="M499" s="10" t="str">
        <f t="shared" si="126"/>
        <v>Year</v>
      </c>
      <c r="N499" s="11"/>
      <c r="S499" s="12" t="str">
        <f>+C499</f>
        <v>Sigengeni (Shiselweni)</v>
      </c>
      <c r="T499" s="13">
        <f>+L503</f>
        <v>442</v>
      </c>
      <c r="U499" s="13">
        <f>+L504+L505</f>
        <v>71</v>
      </c>
      <c r="V499" s="13">
        <f>+L506+L507</f>
        <v>371</v>
      </c>
      <c r="W499" s="13">
        <f>+L510</f>
        <v>8</v>
      </c>
      <c r="X499" s="13">
        <f>+L508</f>
        <v>1</v>
      </c>
    </row>
    <row r="500" spans="1:24" x14ac:dyDescent="0.25">
      <c r="A500" s="14"/>
      <c r="B500" s="15"/>
      <c r="C500" s="41" t="str">
        <f>+$C484</f>
        <v>November 2024</v>
      </c>
      <c r="D500" s="18"/>
      <c r="E500" s="18"/>
      <c r="F500" s="18"/>
      <c r="G500" s="20" t="str">
        <f>+$G$4</f>
        <v>Mnt</v>
      </c>
      <c r="H500" s="20" t="str">
        <f>+G500</f>
        <v>Mnt</v>
      </c>
      <c r="I500" s="20" t="str">
        <f t="shared" si="126"/>
        <v>Mnt</v>
      </c>
      <c r="J500" s="20" t="str">
        <f t="shared" si="126"/>
        <v>Mnt</v>
      </c>
      <c r="K500" s="20" t="str">
        <f t="shared" si="126"/>
        <v>Mnt</v>
      </c>
      <c r="L500" s="20" t="str">
        <f t="shared" si="126"/>
        <v>Mnt</v>
      </c>
      <c r="M500" s="20" t="str">
        <f t="shared" si="126"/>
        <v>Mnt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3</v>
      </c>
      <c r="H501" s="25">
        <f>+$H$5</f>
        <v>10</v>
      </c>
      <c r="I501" s="25">
        <f>+$I$5</f>
        <v>17</v>
      </c>
      <c r="J501" s="25">
        <f>+$J$5</f>
        <v>24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117</v>
      </c>
      <c r="H503" s="31">
        <f t="shared" ref="H503:L503" si="127">SUM(H504:H507)</f>
        <v>111</v>
      </c>
      <c r="I503" s="31">
        <f t="shared" si="127"/>
        <v>93</v>
      </c>
      <c r="J503" s="31">
        <f t="shared" si="127"/>
        <v>121</v>
      </c>
      <c r="K503" s="31">
        <f t="shared" si="127"/>
        <v>0</v>
      </c>
      <c r="L503" s="31">
        <f t="shared" si="127"/>
        <v>442</v>
      </c>
      <c r="M503" s="31">
        <f>ROUND((L503/$E$1),0)</f>
        <v>111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4</v>
      </c>
      <c r="H504" s="42">
        <v>4</v>
      </c>
      <c r="I504" s="42">
        <v>2</v>
      </c>
      <c r="J504" s="42">
        <v>6</v>
      </c>
      <c r="K504" s="42"/>
      <c r="L504" s="35">
        <f>SUM(G504:K504)</f>
        <v>16</v>
      </c>
      <c r="M504" s="35">
        <f t="shared" ref="M504:M512" si="128">ROUND((L504/$E$1),0)</f>
        <v>4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14</v>
      </c>
      <c r="H505" s="42">
        <v>16</v>
      </c>
      <c r="I505" s="42">
        <v>11</v>
      </c>
      <c r="J505" s="42">
        <v>14</v>
      </c>
      <c r="K505" s="42"/>
      <c r="L505" s="35">
        <f t="shared" ref="L505:L512" si="129">SUM(G505:K505)</f>
        <v>55</v>
      </c>
      <c r="M505" s="35">
        <f t="shared" si="128"/>
        <v>14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23</v>
      </c>
      <c r="H506" s="42">
        <v>23</v>
      </c>
      <c r="I506" s="42">
        <v>13</v>
      </c>
      <c r="J506" s="42">
        <v>23</v>
      </c>
      <c r="K506" s="42"/>
      <c r="L506" s="35">
        <f t="shared" si="129"/>
        <v>82</v>
      </c>
      <c r="M506" s="35">
        <f t="shared" si="128"/>
        <v>21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76</v>
      </c>
      <c r="H507" s="43">
        <v>68</v>
      </c>
      <c r="I507" s="43">
        <v>67</v>
      </c>
      <c r="J507" s="43">
        <v>78</v>
      </c>
      <c r="K507" s="43"/>
      <c r="L507" s="31">
        <f t="shared" si="129"/>
        <v>289</v>
      </c>
      <c r="M507" s="31">
        <f t="shared" si="128"/>
        <v>72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>
        <v>1</v>
      </c>
      <c r="I508" s="42"/>
      <c r="J508" s="42"/>
      <c r="K508" s="42"/>
      <c r="L508" s="35">
        <f t="shared" si="129"/>
        <v>1</v>
      </c>
      <c r="M508" s="35">
        <f t="shared" si="128"/>
        <v>0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3</v>
      </c>
      <c r="H510" s="42">
        <v>1</v>
      </c>
      <c r="I510" s="42">
        <v>1</v>
      </c>
      <c r="J510" s="42">
        <v>3</v>
      </c>
      <c r="K510" s="42"/>
      <c r="L510" s="35">
        <f t="shared" si="129"/>
        <v>8</v>
      </c>
      <c r="M510" s="35">
        <f t="shared" si="128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64</v>
      </c>
      <c r="H511" s="42">
        <v>20</v>
      </c>
      <c r="I511" s="42">
        <v>10</v>
      </c>
      <c r="J511" s="42">
        <v>96</v>
      </c>
      <c r="K511" s="42"/>
      <c r="L511" s="35">
        <f t="shared" si="129"/>
        <v>190</v>
      </c>
      <c r="M511" s="35">
        <f t="shared" si="128"/>
        <v>48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 t="str">
        <f>+$G$3</f>
        <v>Year</v>
      </c>
      <c r="H515" s="10" t="str">
        <f>+G515</f>
        <v>Year</v>
      </c>
      <c r="I515" s="10" t="str">
        <f t="shared" ref="I515:M516" si="130">+H515</f>
        <v>Year</v>
      </c>
      <c r="J515" s="10" t="str">
        <f t="shared" si="130"/>
        <v>Year</v>
      </c>
      <c r="K515" s="10" t="str">
        <f t="shared" si="130"/>
        <v>Year</v>
      </c>
      <c r="L515" s="10" t="str">
        <f t="shared" si="130"/>
        <v>Year</v>
      </c>
      <c r="M515" s="10" t="str">
        <f t="shared" si="130"/>
        <v>Year</v>
      </c>
      <c r="N515" s="11"/>
      <c r="S515" s="12" t="str">
        <f>+C515</f>
        <v>Gundviwini</v>
      </c>
      <c r="T515" s="13">
        <f>+L519</f>
        <v>237</v>
      </c>
      <c r="U515" s="13">
        <f>+L520+L521</f>
        <v>68</v>
      </c>
      <c r="V515" s="13">
        <f>+L522+L523</f>
        <v>169</v>
      </c>
      <c r="W515" s="13">
        <f>+L526</f>
        <v>9</v>
      </c>
      <c r="X515" s="13">
        <f>+L524</f>
        <v>7</v>
      </c>
    </row>
    <row r="516" spans="1:24" x14ac:dyDescent="0.25">
      <c r="A516" s="14"/>
      <c r="B516" s="15"/>
      <c r="C516" s="41" t="str">
        <f>+$C500</f>
        <v>November 2024</v>
      </c>
      <c r="D516" s="18"/>
      <c r="E516" s="18"/>
      <c r="F516" s="18"/>
      <c r="G516" s="20" t="str">
        <f>+$G$4</f>
        <v>Mnt</v>
      </c>
      <c r="H516" s="20" t="str">
        <f>+G516</f>
        <v>Mnt</v>
      </c>
      <c r="I516" s="20" t="str">
        <f t="shared" si="130"/>
        <v>Mnt</v>
      </c>
      <c r="J516" s="20" t="str">
        <f t="shared" si="130"/>
        <v>Mnt</v>
      </c>
      <c r="K516" s="20" t="str">
        <f t="shared" si="130"/>
        <v>Mnt</v>
      </c>
      <c r="L516" s="20" t="str">
        <f t="shared" si="130"/>
        <v>Mnt</v>
      </c>
      <c r="M516" s="20" t="str">
        <f t="shared" si="130"/>
        <v>Mnt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3</v>
      </c>
      <c r="H517" s="25">
        <f>+$H$5</f>
        <v>10</v>
      </c>
      <c r="I517" s="25">
        <f>+$I$5</f>
        <v>17</v>
      </c>
      <c r="J517" s="25">
        <f>+$J$5</f>
        <v>24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60</v>
      </c>
      <c r="H519" s="31">
        <f t="shared" ref="H519:L519" si="131">SUM(H520:H523)</f>
        <v>54</v>
      </c>
      <c r="I519" s="31">
        <f t="shared" si="131"/>
        <v>55</v>
      </c>
      <c r="J519" s="31">
        <f t="shared" si="131"/>
        <v>68</v>
      </c>
      <c r="K519" s="31">
        <f t="shared" si="131"/>
        <v>0</v>
      </c>
      <c r="L519" s="31">
        <f t="shared" si="131"/>
        <v>237</v>
      </c>
      <c r="M519" s="31">
        <f>ROUND((L519/$E$1),0)</f>
        <v>59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5</v>
      </c>
      <c r="H520" s="42">
        <v>6</v>
      </c>
      <c r="I520" s="42">
        <v>5</v>
      </c>
      <c r="J520" s="42">
        <v>6</v>
      </c>
      <c r="K520" s="42"/>
      <c r="L520" s="35">
        <f>SUM(G520:K520)</f>
        <v>22</v>
      </c>
      <c r="M520" s="35">
        <f t="shared" ref="M520:M528" si="132">ROUND((L520/$E$1),0)</f>
        <v>6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10</v>
      </c>
      <c r="H521" s="42">
        <v>9</v>
      </c>
      <c r="I521" s="42">
        <v>10</v>
      </c>
      <c r="J521" s="42">
        <v>17</v>
      </c>
      <c r="K521" s="42"/>
      <c r="L521" s="35">
        <f t="shared" ref="L521:L528" si="133">SUM(G521:K521)</f>
        <v>46</v>
      </c>
      <c r="M521" s="35">
        <f t="shared" si="132"/>
        <v>12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15</v>
      </c>
      <c r="H522" s="42">
        <v>9</v>
      </c>
      <c r="I522" s="42">
        <v>10</v>
      </c>
      <c r="J522" s="42">
        <v>10</v>
      </c>
      <c r="K522" s="42"/>
      <c r="L522" s="35">
        <f t="shared" si="133"/>
        <v>44</v>
      </c>
      <c r="M522" s="35">
        <f t="shared" si="132"/>
        <v>11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30</v>
      </c>
      <c r="H523" s="43">
        <v>30</v>
      </c>
      <c r="I523" s="43">
        <v>30</v>
      </c>
      <c r="J523" s="43">
        <v>35</v>
      </c>
      <c r="K523" s="43"/>
      <c r="L523" s="31">
        <f t="shared" si="133"/>
        <v>125</v>
      </c>
      <c r="M523" s="31">
        <f t="shared" si="132"/>
        <v>31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>
        <v>2</v>
      </c>
      <c r="I524" s="42">
        <v>5</v>
      </c>
      <c r="J524" s="42"/>
      <c r="K524" s="42"/>
      <c r="L524" s="35">
        <f t="shared" si="133"/>
        <v>7</v>
      </c>
      <c r="M524" s="35">
        <f t="shared" si="132"/>
        <v>2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>
        <v>2</v>
      </c>
      <c r="H526" s="42"/>
      <c r="I526" s="42">
        <v>5</v>
      </c>
      <c r="J526" s="42">
        <v>2</v>
      </c>
      <c r="K526" s="42"/>
      <c r="L526" s="35">
        <f t="shared" si="133"/>
        <v>9</v>
      </c>
      <c r="M526" s="35">
        <f t="shared" si="132"/>
        <v>2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 t="str">
        <f>+$G$3</f>
        <v>Year</v>
      </c>
      <c r="H531" s="10" t="str">
        <f>+G531</f>
        <v>Year</v>
      </c>
      <c r="I531" s="10" t="str">
        <f t="shared" ref="I531:M532" si="134">+H531</f>
        <v>Year</v>
      </c>
      <c r="J531" s="10" t="str">
        <f t="shared" si="134"/>
        <v>Year</v>
      </c>
      <c r="K531" s="10" t="str">
        <f t="shared" si="134"/>
        <v>Year</v>
      </c>
      <c r="L531" s="10" t="str">
        <f t="shared" si="134"/>
        <v>Year</v>
      </c>
      <c r="M531" s="10" t="str">
        <f t="shared" si="134"/>
        <v>Year</v>
      </c>
      <c r="N531" s="11"/>
      <c r="P531" s="44"/>
      <c r="S531" s="12" t="str">
        <f>+C531</f>
        <v>Mcuba</v>
      </c>
      <c r="T531" s="13">
        <f>+L535</f>
        <v>266</v>
      </c>
      <c r="U531" s="13">
        <f>+L536+L537</f>
        <v>73</v>
      </c>
      <c r="V531" s="13">
        <f>+L538+L539</f>
        <v>193</v>
      </c>
      <c r="W531" s="13">
        <f>+L542</f>
        <v>0</v>
      </c>
      <c r="X531" s="13">
        <f>+L540</f>
        <v>0</v>
      </c>
    </row>
    <row r="532" spans="1:24" x14ac:dyDescent="0.25">
      <c r="A532" s="14"/>
      <c r="B532" s="15"/>
      <c r="C532" s="41" t="str">
        <f>+$C516</f>
        <v>November 2024</v>
      </c>
      <c r="D532" s="18"/>
      <c r="E532" s="18"/>
      <c r="F532" s="18"/>
      <c r="G532" s="20" t="str">
        <f>+$G$4</f>
        <v>Mnt</v>
      </c>
      <c r="H532" s="20" t="str">
        <f>+G532</f>
        <v>Mnt</v>
      </c>
      <c r="I532" s="20" t="str">
        <f t="shared" si="134"/>
        <v>Mnt</v>
      </c>
      <c r="J532" s="20" t="str">
        <f t="shared" si="134"/>
        <v>Mnt</v>
      </c>
      <c r="K532" s="20" t="str">
        <f t="shared" si="134"/>
        <v>Mnt</v>
      </c>
      <c r="L532" s="20" t="str">
        <f t="shared" si="134"/>
        <v>Mnt</v>
      </c>
      <c r="M532" s="20" t="str">
        <f t="shared" si="134"/>
        <v>Mnt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3</v>
      </c>
      <c r="H533" s="25">
        <f>+$H$5</f>
        <v>10</v>
      </c>
      <c r="I533" s="25">
        <f>+$I$5</f>
        <v>17</v>
      </c>
      <c r="J533" s="25">
        <f>+$J$5</f>
        <v>24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89</v>
      </c>
      <c r="H535" s="31">
        <f t="shared" ref="H535:L535" si="135">SUM(H536:H539)</f>
        <v>68</v>
      </c>
      <c r="I535" s="31">
        <f t="shared" si="135"/>
        <v>39</v>
      </c>
      <c r="J535" s="31">
        <f t="shared" si="135"/>
        <v>70</v>
      </c>
      <c r="K535" s="31">
        <f t="shared" si="135"/>
        <v>0</v>
      </c>
      <c r="L535" s="31">
        <f t="shared" si="135"/>
        <v>266</v>
      </c>
      <c r="M535" s="31">
        <f>ROUND((L535/$E$1),0)</f>
        <v>67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6</v>
      </c>
      <c r="H536" s="42">
        <v>4</v>
      </c>
      <c r="I536" s="42">
        <v>3</v>
      </c>
      <c r="J536" s="42">
        <v>3</v>
      </c>
      <c r="K536" s="42"/>
      <c r="L536" s="35">
        <f>SUM(G536:K536)</f>
        <v>16</v>
      </c>
      <c r="M536" s="35">
        <f t="shared" ref="M536:M544" si="136">ROUND((L536/$E$1),0)</f>
        <v>4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16</v>
      </c>
      <c r="H537" s="42">
        <v>14</v>
      </c>
      <c r="I537" s="42">
        <v>12</v>
      </c>
      <c r="J537" s="42">
        <v>15</v>
      </c>
      <c r="K537" s="42"/>
      <c r="L537" s="35">
        <f t="shared" ref="L537:L544" si="137">SUM(G537:K537)</f>
        <v>57</v>
      </c>
      <c r="M537" s="35">
        <f t="shared" si="136"/>
        <v>14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25</v>
      </c>
      <c r="H538" s="42">
        <v>17</v>
      </c>
      <c r="I538" s="42">
        <v>13</v>
      </c>
      <c r="J538" s="42">
        <v>19</v>
      </c>
      <c r="K538" s="42"/>
      <c r="L538" s="35">
        <f t="shared" si="137"/>
        <v>74</v>
      </c>
      <c r="M538" s="35">
        <f t="shared" si="136"/>
        <v>19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42</v>
      </c>
      <c r="H539" s="43">
        <v>33</v>
      </c>
      <c r="I539" s="43">
        <v>11</v>
      </c>
      <c r="J539" s="43">
        <v>33</v>
      </c>
      <c r="K539" s="43"/>
      <c r="L539" s="31">
        <f t="shared" si="137"/>
        <v>119</v>
      </c>
      <c r="M539" s="31">
        <f t="shared" si="136"/>
        <v>30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/>
      <c r="J542" s="42"/>
      <c r="K542" s="42"/>
      <c r="L542" s="35">
        <f t="shared" si="137"/>
        <v>0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>
        <v>96</v>
      </c>
      <c r="H543" s="42">
        <v>96</v>
      </c>
      <c r="I543" s="42"/>
      <c r="J543" s="42">
        <v>128</v>
      </c>
      <c r="K543" s="42"/>
      <c r="L543" s="35">
        <f t="shared" si="137"/>
        <v>320</v>
      </c>
      <c r="M543" s="35">
        <f t="shared" si="136"/>
        <v>80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 t="str">
        <f>+$G$3</f>
        <v>Year</v>
      </c>
      <c r="H547" s="10" t="str">
        <f>+G547</f>
        <v>Year</v>
      </c>
      <c r="I547" s="10" t="str">
        <f t="shared" ref="I547:M548" si="138">+H547</f>
        <v>Year</v>
      </c>
      <c r="J547" s="10" t="str">
        <f t="shared" si="138"/>
        <v>Year</v>
      </c>
      <c r="K547" s="10" t="str">
        <f t="shared" si="138"/>
        <v>Year</v>
      </c>
      <c r="L547" s="10" t="str">
        <f t="shared" si="138"/>
        <v>Year</v>
      </c>
      <c r="M547" s="10" t="str">
        <f t="shared" si="138"/>
        <v>Year</v>
      </c>
      <c r="N547" s="11"/>
      <c r="P547" s="44"/>
      <c r="S547" s="12" t="str">
        <f>+C547</f>
        <v>Phonjwane</v>
      </c>
      <c r="T547" s="13">
        <f>+L551</f>
        <v>311</v>
      </c>
      <c r="U547" s="13">
        <f>+L552+L553</f>
        <v>60</v>
      </c>
      <c r="V547" s="13">
        <f>+L554+L555</f>
        <v>251</v>
      </c>
      <c r="W547" s="13">
        <f>+L558</f>
        <v>8</v>
      </c>
      <c r="X547" s="13">
        <f>+L556</f>
        <v>2</v>
      </c>
    </row>
    <row r="548" spans="1:24" x14ac:dyDescent="0.25">
      <c r="A548" s="14"/>
      <c r="B548" s="15"/>
      <c r="C548" s="41" t="str">
        <f>+$C532</f>
        <v>November 2024</v>
      </c>
      <c r="D548" s="18"/>
      <c r="E548" s="18"/>
      <c r="F548" s="18"/>
      <c r="G548" s="20" t="str">
        <f>+$G$4</f>
        <v>Mnt</v>
      </c>
      <c r="H548" s="20" t="str">
        <f>+G548</f>
        <v>Mnt</v>
      </c>
      <c r="I548" s="20" t="str">
        <f t="shared" si="138"/>
        <v>Mnt</v>
      </c>
      <c r="J548" s="20" t="str">
        <f t="shared" si="138"/>
        <v>Mnt</v>
      </c>
      <c r="K548" s="20" t="str">
        <f t="shared" si="138"/>
        <v>Mnt</v>
      </c>
      <c r="L548" s="20" t="str">
        <f t="shared" si="138"/>
        <v>Mnt</v>
      </c>
      <c r="M548" s="20" t="str">
        <f t="shared" si="138"/>
        <v>Mnt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3</v>
      </c>
      <c r="H549" s="25">
        <f>+$H$5</f>
        <v>10</v>
      </c>
      <c r="I549" s="25">
        <f>+$I$5</f>
        <v>17</v>
      </c>
      <c r="J549" s="25">
        <f>+$J$5</f>
        <v>24</v>
      </c>
      <c r="K549" s="25">
        <f>+$K$5</f>
        <v>0</v>
      </c>
      <c r="L549" s="25" t="s">
        <v>6</v>
      </c>
      <c r="M549" s="25" t="s">
        <v>7</v>
      </c>
      <c r="N549" s="26"/>
      <c r="P549" s="1" t="s">
        <v>90</v>
      </c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109</v>
      </c>
      <c r="H551" s="31">
        <f t="shared" ref="H551:L551" si="139">SUM(H552:H555)</f>
        <v>88</v>
      </c>
      <c r="I551" s="31">
        <f t="shared" si="139"/>
        <v>114</v>
      </c>
      <c r="J551" s="31">
        <f t="shared" si="139"/>
        <v>0</v>
      </c>
      <c r="K551" s="31">
        <f t="shared" si="139"/>
        <v>0</v>
      </c>
      <c r="L551" s="31">
        <f t="shared" si="139"/>
        <v>311</v>
      </c>
      <c r="M551" s="31">
        <f>ROUND((L551/$E$1),0)</f>
        <v>78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3</v>
      </c>
      <c r="H552" s="42">
        <v>4</v>
      </c>
      <c r="I552" s="42">
        <v>3</v>
      </c>
      <c r="J552" s="42"/>
      <c r="K552" s="42"/>
      <c r="L552" s="35">
        <f>SUM(G552:K552)</f>
        <v>10</v>
      </c>
      <c r="M552" s="35">
        <f t="shared" ref="M552:M560" si="140">ROUND((L552/$E$1),0)</f>
        <v>3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13</v>
      </c>
      <c r="H553" s="42">
        <v>19</v>
      </c>
      <c r="I553" s="42">
        <v>18</v>
      </c>
      <c r="J553" s="42"/>
      <c r="K553" s="42"/>
      <c r="L553" s="35">
        <f t="shared" ref="L553:L560" si="141">SUM(G553:K553)</f>
        <v>50</v>
      </c>
      <c r="M553" s="35">
        <f t="shared" si="140"/>
        <v>13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17</v>
      </c>
      <c r="H554" s="42">
        <v>13</v>
      </c>
      <c r="I554" s="42">
        <v>23</v>
      </c>
      <c r="J554" s="42"/>
      <c r="K554" s="42"/>
      <c r="L554" s="35">
        <f t="shared" si="141"/>
        <v>53</v>
      </c>
      <c r="M554" s="35">
        <f t="shared" si="140"/>
        <v>13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76</v>
      </c>
      <c r="H555" s="43">
        <v>52</v>
      </c>
      <c r="I555" s="43">
        <v>70</v>
      </c>
      <c r="J555" s="43"/>
      <c r="K555" s="43"/>
      <c r="L555" s="31">
        <f t="shared" si="141"/>
        <v>198</v>
      </c>
      <c r="M555" s="31">
        <f t="shared" si="140"/>
        <v>50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>
        <v>2</v>
      </c>
      <c r="H556" s="42"/>
      <c r="I556" s="42"/>
      <c r="J556" s="42"/>
      <c r="K556" s="42"/>
      <c r="L556" s="35">
        <f t="shared" si="141"/>
        <v>2</v>
      </c>
      <c r="M556" s="35">
        <f t="shared" si="140"/>
        <v>1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3</v>
      </c>
      <c r="H558" s="42">
        <v>4</v>
      </c>
      <c r="I558" s="42">
        <v>1</v>
      </c>
      <c r="J558" s="42"/>
      <c r="K558" s="42"/>
      <c r="L558" s="35">
        <f t="shared" si="141"/>
        <v>8</v>
      </c>
      <c r="M558" s="35">
        <f t="shared" si="140"/>
        <v>2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 t="str">
        <f>+$G$3</f>
        <v>Year</v>
      </c>
      <c r="H563" s="10" t="str">
        <f>+G563</f>
        <v>Year</v>
      </c>
      <c r="I563" s="10" t="str">
        <f t="shared" ref="I563:M564" si="142">+H563</f>
        <v>Year</v>
      </c>
      <c r="J563" s="10" t="str">
        <f t="shared" si="142"/>
        <v>Year</v>
      </c>
      <c r="K563" s="10" t="str">
        <f t="shared" si="142"/>
        <v>Year</v>
      </c>
      <c r="L563" s="10" t="str">
        <f t="shared" si="142"/>
        <v>Year</v>
      </c>
      <c r="M563" s="10" t="str">
        <f t="shared" si="142"/>
        <v>Year</v>
      </c>
      <c r="N563" s="11"/>
      <c r="P563" s="44"/>
      <c r="S563" s="12" t="str">
        <f>+C563</f>
        <v>Njakeni</v>
      </c>
      <c r="T563" s="13">
        <f>+L567</f>
        <v>195</v>
      </c>
      <c r="U563" s="13">
        <f>+L568+L569</f>
        <v>53</v>
      </c>
      <c r="V563" s="13">
        <f>+L570+L571</f>
        <v>142</v>
      </c>
      <c r="W563" s="13">
        <f>+L574</f>
        <v>13</v>
      </c>
      <c r="X563" s="13">
        <f>+L572</f>
        <v>7</v>
      </c>
    </row>
    <row r="564" spans="1:24" x14ac:dyDescent="0.25">
      <c r="A564" s="14"/>
      <c r="B564" s="15"/>
      <c r="C564" s="41" t="str">
        <f>+$C548</f>
        <v>November 2024</v>
      </c>
      <c r="D564" s="18"/>
      <c r="E564" s="18"/>
      <c r="F564" s="18"/>
      <c r="G564" s="20" t="str">
        <f>+$G$4</f>
        <v>Mnt</v>
      </c>
      <c r="H564" s="20" t="str">
        <f>+G564</f>
        <v>Mnt</v>
      </c>
      <c r="I564" s="20" t="str">
        <f t="shared" si="142"/>
        <v>Mnt</v>
      </c>
      <c r="J564" s="20" t="str">
        <f t="shared" si="142"/>
        <v>Mnt</v>
      </c>
      <c r="K564" s="20" t="str">
        <f t="shared" si="142"/>
        <v>Mnt</v>
      </c>
      <c r="L564" s="20" t="str">
        <f t="shared" si="142"/>
        <v>Mnt</v>
      </c>
      <c r="M564" s="20" t="str">
        <f t="shared" si="142"/>
        <v>Mnt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3</v>
      </c>
      <c r="H565" s="25">
        <f>+$H$5</f>
        <v>10</v>
      </c>
      <c r="I565" s="25">
        <f>+$I$5</f>
        <v>17</v>
      </c>
      <c r="J565" s="25">
        <f>+$J$5</f>
        <v>24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38</v>
      </c>
      <c r="H567" s="31">
        <f t="shared" ref="H567:L567" si="143">SUM(H568:H571)</f>
        <v>38</v>
      </c>
      <c r="I567" s="31">
        <f t="shared" si="143"/>
        <v>57</v>
      </c>
      <c r="J567" s="31">
        <f t="shared" si="143"/>
        <v>62</v>
      </c>
      <c r="K567" s="31">
        <f t="shared" si="143"/>
        <v>0</v>
      </c>
      <c r="L567" s="31">
        <f t="shared" si="143"/>
        <v>195</v>
      </c>
      <c r="M567" s="31">
        <f>ROUND((L567/$E$1),0)</f>
        <v>49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2</v>
      </c>
      <c r="H568" s="42">
        <v>2</v>
      </c>
      <c r="I568" s="42">
        <v>3</v>
      </c>
      <c r="J568" s="42">
        <v>3</v>
      </c>
      <c r="K568" s="42"/>
      <c r="L568" s="35">
        <f>SUM(G568:K568)</f>
        <v>10</v>
      </c>
      <c r="M568" s="35">
        <f t="shared" ref="M568:M576" si="144">ROUND((L568/$E$1),0)</f>
        <v>3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10</v>
      </c>
      <c r="H569" s="42">
        <v>10</v>
      </c>
      <c r="I569" s="42">
        <v>11</v>
      </c>
      <c r="J569" s="42">
        <v>12</v>
      </c>
      <c r="K569" s="42"/>
      <c r="L569" s="35">
        <f t="shared" ref="L569:L576" si="145">SUM(G569:K569)</f>
        <v>43</v>
      </c>
      <c r="M569" s="35">
        <f t="shared" si="144"/>
        <v>11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15</v>
      </c>
      <c r="H570" s="42">
        <v>10</v>
      </c>
      <c r="I570" s="42">
        <v>15</v>
      </c>
      <c r="J570" s="42">
        <v>14</v>
      </c>
      <c r="K570" s="42"/>
      <c r="L570" s="35">
        <f t="shared" si="145"/>
        <v>54</v>
      </c>
      <c r="M570" s="35">
        <f t="shared" si="144"/>
        <v>14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11</v>
      </c>
      <c r="H571" s="43">
        <v>16</v>
      </c>
      <c r="I571" s="43">
        <v>28</v>
      </c>
      <c r="J571" s="43">
        <v>33</v>
      </c>
      <c r="K571" s="43"/>
      <c r="L571" s="31">
        <f t="shared" si="145"/>
        <v>88</v>
      </c>
      <c r="M571" s="31">
        <f t="shared" si="144"/>
        <v>22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/>
      <c r="J572" s="42">
        <v>7</v>
      </c>
      <c r="K572" s="42"/>
      <c r="L572" s="35">
        <f t="shared" si="145"/>
        <v>7</v>
      </c>
      <c r="M572" s="35">
        <f t="shared" si="144"/>
        <v>2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4</v>
      </c>
      <c r="H574" s="42">
        <v>5</v>
      </c>
      <c r="I574" s="42">
        <v>3</v>
      </c>
      <c r="J574" s="42">
        <v>1</v>
      </c>
      <c r="K574" s="42"/>
      <c r="L574" s="35">
        <f t="shared" si="145"/>
        <v>13</v>
      </c>
      <c r="M574" s="35">
        <f t="shared" si="144"/>
        <v>3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148</v>
      </c>
      <c r="H575" s="42">
        <v>36</v>
      </c>
      <c r="I575" s="42">
        <v>554</v>
      </c>
      <c r="J575" s="42">
        <v>288</v>
      </c>
      <c r="K575" s="42"/>
      <c r="L575" s="35">
        <f t="shared" si="145"/>
        <v>1026</v>
      </c>
      <c r="M575" s="35">
        <f t="shared" si="144"/>
        <v>257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 t="str">
        <f>+$G$3</f>
        <v>Year</v>
      </c>
      <c r="H579" s="10" t="str">
        <f>+G579</f>
        <v>Year</v>
      </c>
      <c r="I579" s="10" t="str">
        <f t="shared" ref="I579:M580" si="146">+H579</f>
        <v>Year</v>
      </c>
      <c r="J579" s="10" t="str">
        <f t="shared" si="146"/>
        <v>Year</v>
      </c>
      <c r="K579" s="10" t="str">
        <f t="shared" si="146"/>
        <v>Year</v>
      </c>
      <c r="L579" s="10" t="str">
        <f t="shared" si="146"/>
        <v>Year</v>
      </c>
      <c r="M579" s="10" t="str">
        <f t="shared" si="146"/>
        <v>Year</v>
      </c>
      <c r="N579" s="11"/>
      <c r="P579" s="44"/>
      <c r="S579" s="12" t="str">
        <f>+C579</f>
        <v>Mantabeni</v>
      </c>
      <c r="T579" s="13">
        <f>+L583</f>
        <v>157</v>
      </c>
      <c r="U579" s="13">
        <f>+L584+L585</f>
        <v>32</v>
      </c>
      <c r="V579" s="13">
        <f>+L586+L587</f>
        <v>125</v>
      </c>
      <c r="W579" s="13">
        <f>+L590</f>
        <v>7</v>
      </c>
      <c r="X579" s="13">
        <f>+L588</f>
        <v>0</v>
      </c>
    </row>
    <row r="580" spans="1:24" x14ac:dyDescent="0.25">
      <c r="A580" s="14"/>
      <c r="B580" s="15"/>
      <c r="C580" s="41" t="str">
        <f>+$C564</f>
        <v>November 2024</v>
      </c>
      <c r="D580" s="18"/>
      <c r="E580" s="18"/>
      <c r="F580" s="18"/>
      <c r="G580" s="20" t="str">
        <f>+$G$4</f>
        <v>Mnt</v>
      </c>
      <c r="H580" s="20" t="str">
        <f>+G580</f>
        <v>Mnt</v>
      </c>
      <c r="I580" s="20" t="str">
        <f t="shared" si="146"/>
        <v>Mnt</v>
      </c>
      <c r="J580" s="20" t="str">
        <f t="shared" si="146"/>
        <v>Mnt</v>
      </c>
      <c r="K580" s="20" t="str">
        <f t="shared" si="146"/>
        <v>Mnt</v>
      </c>
      <c r="L580" s="20" t="str">
        <f t="shared" si="146"/>
        <v>Mnt</v>
      </c>
      <c r="M580" s="20" t="str">
        <f t="shared" si="146"/>
        <v>Mnt</v>
      </c>
      <c r="N580" s="21"/>
      <c r="P580" s="1" t="s">
        <v>94</v>
      </c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3</v>
      </c>
      <c r="H581" s="25">
        <f>+$H$5</f>
        <v>10</v>
      </c>
      <c r="I581" s="25">
        <f>+$I$5</f>
        <v>17</v>
      </c>
      <c r="J581" s="25">
        <f>+$J$5</f>
        <v>24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56</v>
      </c>
      <c r="H583" s="31">
        <f t="shared" ref="H583:L583" si="147">SUM(H584:H587)</f>
        <v>50</v>
      </c>
      <c r="I583" s="31">
        <f t="shared" si="147"/>
        <v>51</v>
      </c>
      <c r="J583" s="31">
        <f t="shared" si="147"/>
        <v>0</v>
      </c>
      <c r="K583" s="31">
        <f t="shared" si="147"/>
        <v>0</v>
      </c>
      <c r="L583" s="31">
        <f t="shared" si="147"/>
        <v>157</v>
      </c>
      <c r="M583" s="31">
        <f>ROUND((L583/$E$1),0)</f>
        <v>39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4</v>
      </c>
      <c r="H584" s="42">
        <v>3</v>
      </c>
      <c r="I584" s="42">
        <v>3</v>
      </c>
      <c r="J584" s="42"/>
      <c r="K584" s="42"/>
      <c r="L584" s="35">
        <f>SUM(G584:K584)</f>
        <v>10</v>
      </c>
      <c r="M584" s="35">
        <f t="shared" ref="M584:M592" si="148">ROUND((L584/$E$1),0)</f>
        <v>3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7</v>
      </c>
      <c r="H585" s="42">
        <v>5</v>
      </c>
      <c r="I585" s="42">
        <v>10</v>
      </c>
      <c r="J585" s="42"/>
      <c r="K585" s="42"/>
      <c r="L585" s="35">
        <f t="shared" ref="L585:L592" si="149">SUM(G585:K585)</f>
        <v>22</v>
      </c>
      <c r="M585" s="35">
        <f t="shared" si="148"/>
        <v>6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10</v>
      </c>
      <c r="H586" s="42">
        <v>6</v>
      </c>
      <c r="I586" s="42">
        <v>8</v>
      </c>
      <c r="J586" s="42"/>
      <c r="K586" s="42"/>
      <c r="L586" s="35">
        <f t="shared" si="149"/>
        <v>24</v>
      </c>
      <c r="M586" s="35">
        <f t="shared" si="148"/>
        <v>6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35</v>
      </c>
      <c r="H587" s="43">
        <v>36</v>
      </c>
      <c r="I587" s="43">
        <v>30</v>
      </c>
      <c r="J587" s="43"/>
      <c r="K587" s="43"/>
      <c r="L587" s="31">
        <f t="shared" si="149"/>
        <v>101</v>
      </c>
      <c r="M587" s="31">
        <f t="shared" si="148"/>
        <v>25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2</v>
      </c>
      <c r="H590" s="42">
        <v>3</v>
      </c>
      <c r="I590" s="42">
        <v>2</v>
      </c>
      <c r="J590" s="42"/>
      <c r="K590" s="42"/>
      <c r="L590" s="35">
        <f t="shared" si="149"/>
        <v>7</v>
      </c>
      <c r="M590" s="35">
        <f t="shared" si="148"/>
        <v>2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/>
      <c r="H591" s="42">
        <v>128</v>
      </c>
      <c r="I591" s="42">
        <v>128</v>
      </c>
      <c r="J591" s="42"/>
      <c r="K591" s="42"/>
      <c r="L591" s="35">
        <f t="shared" si="149"/>
        <v>256</v>
      </c>
      <c r="M591" s="35">
        <f t="shared" si="148"/>
        <v>64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 t="str">
        <f>+$G$3</f>
        <v>Year</v>
      </c>
      <c r="H595" s="10" t="str">
        <f>+G595</f>
        <v>Year</v>
      </c>
      <c r="I595" s="10" t="str">
        <f t="shared" ref="I595:M596" si="150">+H595</f>
        <v>Year</v>
      </c>
      <c r="J595" s="10" t="str">
        <f t="shared" si="150"/>
        <v>Year</v>
      </c>
      <c r="K595" s="10" t="str">
        <f t="shared" si="150"/>
        <v>Year</v>
      </c>
      <c r="L595" s="10" t="str">
        <f t="shared" si="150"/>
        <v>Year</v>
      </c>
      <c r="M595" s="10" t="str">
        <f t="shared" si="150"/>
        <v>Year</v>
      </c>
      <c r="N595" s="11"/>
      <c r="S595" s="12" t="str">
        <f>+C595</f>
        <v>Makhungutja</v>
      </c>
      <c r="T595" s="13">
        <f>+L599</f>
        <v>242</v>
      </c>
      <c r="U595" s="13">
        <f>+L600+L601</f>
        <v>69</v>
      </c>
      <c r="V595" s="13">
        <f>+L602+L603</f>
        <v>173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November 2024</v>
      </c>
      <c r="D596" s="18"/>
      <c r="E596" s="18"/>
      <c r="F596" s="18"/>
      <c r="G596" s="20" t="str">
        <f>+$G$4</f>
        <v>Mnt</v>
      </c>
      <c r="H596" s="20" t="str">
        <f>+G596</f>
        <v>Mnt</v>
      </c>
      <c r="I596" s="20" t="str">
        <f t="shared" si="150"/>
        <v>Mnt</v>
      </c>
      <c r="J596" s="20" t="str">
        <f t="shared" si="150"/>
        <v>Mnt</v>
      </c>
      <c r="K596" s="20" t="str">
        <f t="shared" si="150"/>
        <v>Mnt</v>
      </c>
      <c r="L596" s="20" t="str">
        <f t="shared" si="150"/>
        <v>Mnt</v>
      </c>
      <c r="M596" s="20" t="str">
        <f t="shared" si="150"/>
        <v>Mnt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3</v>
      </c>
      <c r="H597" s="25">
        <f>+$H$5</f>
        <v>10</v>
      </c>
      <c r="I597" s="25">
        <f>+$I$5</f>
        <v>17</v>
      </c>
      <c r="J597" s="25">
        <f>+$J$5</f>
        <v>24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114</v>
      </c>
      <c r="H599" s="31">
        <f t="shared" ref="H599:L599" si="151">SUM(H600:H603)</f>
        <v>46</v>
      </c>
      <c r="I599" s="31">
        <f t="shared" si="151"/>
        <v>49</v>
      </c>
      <c r="J599" s="31">
        <f t="shared" si="151"/>
        <v>33</v>
      </c>
      <c r="K599" s="31">
        <f t="shared" si="151"/>
        <v>0</v>
      </c>
      <c r="L599" s="31">
        <f t="shared" si="151"/>
        <v>242</v>
      </c>
      <c r="M599" s="31">
        <f>ROUND((L599/$E$1),0)</f>
        <v>61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>
        <v>8</v>
      </c>
      <c r="H600" s="42">
        <v>6</v>
      </c>
      <c r="I600" s="42">
        <v>8</v>
      </c>
      <c r="J600" s="42">
        <v>9</v>
      </c>
      <c r="K600" s="42"/>
      <c r="L600" s="35">
        <f>SUM(G600:K600)</f>
        <v>31</v>
      </c>
      <c r="M600" s="35">
        <f t="shared" ref="M600:M608" si="152">ROUND((L600/$E$1),0)</f>
        <v>8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>
        <v>16</v>
      </c>
      <c r="H601" s="42">
        <v>8</v>
      </c>
      <c r="I601" s="42">
        <v>6</v>
      </c>
      <c r="J601" s="42">
        <v>8</v>
      </c>
      <c r="K601" s="42"/>
      <c r="L601" s="35">
        <f t="shared" ref="L601:L608" si="153">SUM(G601:K601)</f>
        <v>38</v>
      </c>
      <c r="M601" s="35">
        <f t="shared" si="152"/>
        <v>10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>
        <v>23</v>
      </c>
      <c r="H602" s="42">
        <v>10</v>
      </c>
      <c r="I602" s="42">
        <v>10</v>
      </c>
      <c r="J602" s="42">
        <v>12</v>
      </c>
      <c r="K602" s="42"/>
      <c r="L602" s="35">
        <f t="shared" si="153"/>
        <v>55</v>
      </c>
      <c r="M602" s="35">
        <f t="shared" si="152"/>
        <v>14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>
        <v>67</v>
      </c>
      <c r="H603" s="43">
        <v>22</v>
      </c>
      <c r="I603" s="43">
        <v>25</v>
      </c>
      <c r="J603" s="43">
        <v>4</v>
      </c>
      <c r="K603" s="43"/>
      <c r="L603" s="31">
        <f t="shared" si="153"/>
        <v>118</v>
      </c>
      <c r="M603" s="31">
        <f t="shared" si="152"/>
        <v>30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 t="str">
        <f>+$G$3</f>
        <v>Year</v>
      </c>
      <c r="H611" s="10" t="str">
        <f>+G611</f>
        <v>Year</v>
      </c>
      <c r="I611" s="10" t="str">
        <f t="shared" ref="I611:M612" si="154">+H611</f>
        <v>Year</v>
      </c>
      <c r="J611" s="10" t="str">
        <f t="shared" si="154"/>
        <v>Year</v>
      </c>
      <c r="K611" s="10" t="str">
        <f t="shared" si="154"/>
        <v>Year</v>
      </c>
      <c r="L611" s="10" t="str">
        <f t="shared" si="154"/>
        <v>Year</v>
      </c>
      <c r="M611" s="10" t="str">
        <f t="shared" si="154"/>
        <v>Year</v>
      </c>
      <c r="N611" s="11"/>
      <c r="S611" s="12" t="str">
        <f>+C611</f>
        <v>Moneni</v>
      </c>
      <c r="T611" s="13">
        <f>+L615</f>
        <v>401</v>
      </c>
      <c r="U611" s="13">
        <f>+L616+L617</f>
        <v>96</v>
      </c>
      <c r="V611" s="13">
        <f>+L618+L619</f>
        <v>305</v>
      </c>
      <c r="W611" s="13">
        <f>+L622</f>
        <v>16</v>
      </c>
      <c r="X611" s="13">
        <f>+L620</f>
        <v>6</v>
      </c>
    </row>
    <row r="612" spans="1:24" x14ac:dyDescent="0.25">
      <c r="A612" s="14"/>
      <c r="B612" s="15"/>
      <c r="C612" s="41" t="str">
        <f>+$C596</f>
        <v>November 2024</v>
      </c>
      <c r="D612" s="18"/>
      <c r="E612" s="18"/>
      <c r="F612" s="18"/>
      <c r="G612" s="20" t="str">
        <f>+$G$4</f>
        <v>Mnt</v>
      </c>
      <c r="H612" s="20" t="str">
        <f>+G612</f>
        <v>Mnt</v>
      </c>
      <c r="I612" s="20" t="str">
        <f t="shared" si="154"/>
        <v>Mnt</v>
      </c>
      <c r="J612" s="20" t="str">
        <f t="shared" si="154"/>
        <v>Mnt</v>
      </c>
      <c r="K612" s="20" t="str">
        <f t="shared" si="154"/>
        <v>Mnt</v>
      </c>
      <c r="L612" s="20" t="str">
        <f t="shared" si="154"/>
        <v>Mnt</v>
      </c>
      <c r="M612" s="20" t="str">
        <f t="shared" si="154"/>
        <v>Mnt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3</v>
      </c>
      <c r="H613" s="25">
        <f>+$H$5</f>
        <v>10</v>
      </c>
      <c r="I613" s="25">
        <f>+$I$5</f>
        <v>17</v>
      </c>
      <c r="J613" s="25">
        <f>+$J$5</f>
        <v>24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81</v>
      </c>
      <c r="H615" s="31">
        <f t="shared" ref="H615:L615" si="155">SUM(H616:H619)</f>
        <v>84</v>
      </c>
      <c r="I615" s="31">
        <f t="shared" si="155"/>
        <v>122</v>
      </c>
      <c r="J615" s="31">
        <f t="shared" si="155"/>
        <v>114</v>
      </c>
      <c r="K615" s="31">
        <f t="shared" si="155"/>
        <v>0</v>
      </c>
      <c r="L615" s="31">
        <f t="shared" si="155"/>
        <v>401</v>
      </c>
      <c r="M615" s="31">
        <f>ROUND((L615/$E$1),0)</f>
        <v>100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6</v>
      </c>
      <c r="H616" s="42">
        <v>5</v>
      </c>
      <c r="I616" s="42">
        <v>6</v>
      </c>
      <c r="J616" s="42">
        <v>7</v>
      </c>
      <c r="K616" s="42"/>
      <c r="L616" s="35">
        <f>SUM(G616:K616)</f>
        <v>24</v>
      </c>
      <c r="M616" s="35">
        <f t="shared" ref="M616:M624" si="156">ROUND((L616/$E$1),0)</f>
        <v>6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18</v>
      </c>
      <c r="H617" s="42">
        <v>14</v>
      </c>
      <c r="I617" s="42">
        <v>23</v>
      </c>
      <c r="J617" s="42">
        <v>17</v>
      </c>
      <c r="K617" s="42"/>
      <c r="L617" s="35">
        <f t="shared" ref="L617:L624" si="157">SUM(G617:K617)</f>
        <v>72</v>
      </c>
      <c r="M617" s="35">
        <f t="shared" si="156"/>
        <v>18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16</v>
      </c>
      <c r="H618" s="42">
        <v>19</v>
      </c>
      <c r="I618" s="42">
        <v>29</v>
      </c>
      <c r="J618" s="42">
        <v>25</v>
      </c>
      <c r="K618" s="42"/>
      <c r="L618" s="35">
        <f t="shared" si="157"/>
        <v>89</v>
      </c>
      <c r="M618" s="35">
        <f t="shared" si="156"/>
        <v>22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41</v>
      </c>
      <c r="H619" s="43">
        <v>46</v>
      </c>
      <c r="I619" s="43">
        <v>64</v>
      </c>
      <c r="J619" s="43">
        <v>65</v>
      </c>
      <c r="K619" s="43"/>
      <c r="L619" s="31">
        <f t="shared" si="157"/>
        <v>216</v>
      </c>
      <c r="M619" s="31">
        <f t="shared" si="156"/>
        <v>54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>
        <v>6</v>
      </c>
      <c r="I620" s="42"/>
      <c r="J620" s="42"/>
      <c r="K620" s="42"/>
      <c r="L620" s="35">
        <f t="shared" si="157"/>
        <v>6</v>
      </c>
      <c r="M620" s="35">
        <f t="shared" si="156"/>
        <v>2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2</v>
      </c>
      <c r="H622" s="42">
        <v>5</v>
      </c>
      <c r="I622" s="42">
        <v>3</v>
      </c>
      <c r="J622" s="42">
        <v>6</v>
      </c>
      <c r="K622" s="42"/>
      <c r="L622" s="35">
        <f t="shared" si="157"/>
        <v>16</v>
      </c>
      <c r="M622" s="35">
        <f t="shared" si="156"/>
        <v>4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 t="str">
        <f>+$G$3</f>
        <v>Year</v>
      </c>
      <c r="H627" s="10" t="str">
        <f>+G627</f>
        <v>Year</v>
      </c>
      <c r="I627" s="10" t="str">
        <f t="shared" ref="I627:M628" si="158">+H627</f>
        <v>Year</v>
      </c>
      <c r="J627" s="10" t="str">
        <f t="shared" si="158"/>
        <v>Year</v>
      </c>
      <c r="K627" s="10" t="str">
        <f t="shared" si="158"/>
        <v>Year</v>
      </c>
      <c r="L627" s="10" t="str">
        <f t="shared" si="158"/>
        <v>Year</v>
      </c>
      <c r="M627" s="10" t="str">
        <f t="shared" si="158"/>
        <v>Year</v>
      </c>
      <c r="N627" s="11"/>
      <c r="S627" s="12" t="str">
        <f>+C627</f>
        <v>Mabhukwini</v>
      </c>
      <c r="T627" s="13">
        <f>+L631</f>
        <v>218</v>
      </c>
      <c r="U627" s="13">
        <f>+L632+L633</f>
        <v>66</v>
      </c>
      <c r="V627" s="13">
        <f>+L634+L635</f>
        <v>152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November 2024</v>
      </c>
      <c r="D628" s="18"/>
      <c r="E628" s="18"/>
      <c r="F628" s="18"/>
      <c r="G628" s="20" t="str">
        <f>+$G$4</f>
        <v>Mnt</v>
      </c>
      <c r="H628" s="20" t="str">
        <f>+G628</f>
        <v>Mnt</v>
      </c>
      <c r="I628" s="20" t="str">
        <f t="shared" si="158"/>
        <v>Mnt</v>
      </c>
      <c r="J628" s="20" t="str">
        <f t="shared" si="158"/>
        <v>Mnt</v>
      </c>
      <c r="K628" s="20" t="str">
        <f t="shared" si="158"/>
        <v>Mnt</v>
      </c>
      <c r="L628" s="20" t="str">
        <f t="shared" si="158"/>
        <v>Mnt</v>
      </c>
      <c r="M628" s="20" t="str">
        <f t="shared" si="158"/>
        <v>Mnt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3</v>
      </c>
      <c r="H629" s="25">
        <f>+$H$5</f>
        <v>10</v>
      </c>
      <c r="I629" s="25">
        <f>+$I$5</f>
        <v>17</v>
      </c>
      <c r="J629" s="25">
        <f>+$J$5</f>
        <v>24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71</v>
      </c>
      <c r="H631" s="31">
        <f t="shared" ref="H631:L631" si="159">SUM(H632:H635)</f>
        <v>31</v>
      </c>
      <c r="I631" s="31">
        <f t="shared" si="159"/>
        <v>62</v>
      </c>
      <c r="J631" s="31">
        <f t="shared" si="159"/>
        <v>54</v>
      </c>
      <c r="K631" s="31">
        <f t="shared" si="159"/>
        <v>0</v>
      </c>
      <c r="L631" s="31">
        <f t="shared" si="159"/>
        <v>218</v>
      </c>
      <c r="M631" s="31">
        <f>ROUND((L631/$E$1),0)</f>
        <v>55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4</v>
      </c>
      <c r="H632" s="42">
        <v>2</v>
      </c>
      <c r="I632" s="42">
        <v>4</v>
      </c>
      <c r="J632" s="42">
        <v>2</v>
      </c>
      <c r="K632" s="42"/>
      <c r="L632" s="35">
        <f>SUM(G632:K632)</f>
        <v>12</v>
      </c>
      <c r="M632" s="35">
        <f t="shared" ref="M632:M640" si="160">ROUND((L632/$E$1),0)</f>
        <v>3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15</v>
      </c>
      <c r="H633" s="42">
        <v>10</v>
      </c>
      <c r="I633" s="42">
        <v>16</v>
      </c>
      <c r="J633" s="42">
        <v>13</v>
      </c>
      <c r="K633" s="42"/>
      <c r="L633" s="35">
        <f t="shared" ref="L633:L640" si="161">SUM(G633:K633)</f>
        <v>54</v>
      </c>
      <c r="M633" s="35">
        <f t="shared" si="160"/>
        <v>14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12</v>
      </c>
      <c r="H634" s="42">
        <v>5</v>
      </c>
      <c r="I634" s="42">
        <v>12</v>
      </c>
      <c r="J634" s="42">
        <v>7</v>
      </c>
      <c r="K634" s="42"/>
      <c r="L634" s="35">
        <f t="shared" si="161"/>
        <v>36</v>
      </c>
      <c r="M634" s="35">
        <f t="shared" si="160"/>
        <v>9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40</v>
      </c>
      <c r="H635" s="43">
        <v>14</v>
      </c>
      <c r="I635" s="43">
        <v>30</v>
      </c>
      <c r="J635" s="43">
        <v>32</v>
      </c>
      <c r="K635" s="43"/>
      <c r="L635" s="31">
        <f t="shared" si="161"/>
        <v>116</v>
      </c>
      <c r="M635" s="31">
        <f t="shared" si="160"/>
        <v>29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 t="str">
        <f>+$G$3</f>
        <v>Year</v>
      </c>
      <c r="H643" s="10" t="str">
        <f>+G643</f>
        <v>Year</v>
      </c>
      <c r="I643" s="10" t="str">
        <f t="shared" ref="I643:M644" si="162">+H643</f>
        <v>Year</v>
      </c>
      <c r="J643" s="10" t="str">
        <f t="shared" si="162"/>
        <v>Year</v>
      </c>
      <c r="K643" s="10" t="str">
        <f t="shared" si="162"/>
        <v>Year</v>
      </c>
      <c r="L643" s="10" t="str">
        <f t="shared" si="162"/>
        <v>Year</v>
      </c>
      <c r="M643" s="10" t="str">
        <f t="shared" si="162"/>
        <v>Year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November 2024</v>
      </c>
      <c r="D644" s="18"/>
      <c r="E644" s="18"/>
      <c r="F644" s="18"/>
      <c r="G644" s="20" t="str">
        <f>+$G$4</f>
        <v>Mnt</v>
      </c>
      <c r="H644" s="20" t="str">
        <f>+G644</f>
        <v>Mnt</v>
      </c>
      <c r="I644" s="20" t="str">
        <f t="shared" si="162"/>
        <v>Mnt</v>
      </c>
      <c r="J644" s="20" t="str">
        <f t="shared" si="162"/>
        <v>Mnt</v>
      </c>
      <c r="K644" s="20" t="str">
        <f t="shared" si="162"/>
        <v>Mnt</v>
      </c>
      <c r="L644" s="20" t="str">
        <f t="shared" si="162"/>
        <v>Mnt</v>
      </c>
      <c r="M644" s="20" t="str">
        <f t="shared" si="162"/>
        <v>Mnt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3</v>
      </c>
      <c r="H645" s="25">
        <f>+$H$5</f>
        <v>10</v>
      </c>
      <c r="I645" s="25">
        <f>+$I$5</f>
        <v>17</v>
      </c>
      <c r="J645" s="25">
        <f>+$J$5</f>
        <v>24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64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>
        <f t="shared" si="164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>
        <f t="shared" si="164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>
        <f t="shared" si="164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 t="str">
        <f>+$G$3</f>
        <v>Year</v>
      </c>
      <c r="H659" s="10" t="str">
        <f>+G659</f>
        <v>Year</v>
      </c>
      <c r="I659" s="10" t="str">
        <f t="shared" ref="I659:M660" si="166">+H659</f>
        <v>Year</v>
      </c>
      <c r="J659" s="10" t="str">
        <f t="shared" si="166"/>
        <v>Year</v>
      </c>
      <c r="K659" s="10" t="str">
        <f t="shared" si="166"/>
        <v>Year</v>
      </c>
      <c r="L659" s="10" t="str">
        <f t="shared" si="166"/>
        <v>Year</v>
      </c>
      <c r="M659" s="10" t="str">
        <f t="shared" si="166"/>
        <v>Year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November 2024</v>
      </c>
      <c r="D660" s="18"/>
      <c r="E660" s="18"/>
      <c r="F660" s="18"/>
      <c r="G660" s="20" t="str">
        <f>+$G$4</f>
        <v>Mnt</v>
      </c>
      <c r="H660" s="20" t="str">
        <f>+G660</f>
        <v>Mnt</v>
      </c>
      <c r="I660" s="20" t="str">
        <f t="shared" si="166"/>
        <v>Mnt</v>
      </c>
      <c r="J660" s="20" t="str">
        <f t="shared" si="166"/>
        <v>Mnt</v>
      </c>
      <c r="K660" s="20" t="str">
        <f t="shared" si="166"/>
        <v>Mnt</v>
      </c>
      <c r="L660" s="20" t="str">
        <f t="shared" si="166"/>
        <v>Mnt</v>
      </c>
      <c r="M660" s="20" t="str">
        <f t="shared" si="166"/>
        <v>Mnt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3</v>
      </c>
      <c r="H661" s="25">
        <f>+$H$5</f>
        <v>10</v>
      </c>
      <c r="I661" s="25">
        <f>+$I$5</f>
        <v>17</v>
      </c>
      <c r="J661" s="25">
        <f>+$J$5</f>
        <v>24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 t="str">
        <f>+$G$3</f>
        <v>Year</v>
      </c>
      <c r="H675" s="10" t="str">
        <f>+G675</f>
        <v>Year</v>
      </c>
      <c r="I675" s="10" t="str">
        <f t="shared" ref="I675:M676" si="170">+H675</f>
        <v>Year</v>
      </c>
      <c r="J675" s="10" t="str">
        <f t="shared" si="170"/>
        <v>Year</v>
      </c>
      <c r="K675" s="10" t="str">
        <f t="shared" si="170"/>
        <v>Year</v>
      </c>
      <c r="L675" s="10" t="str">
        <f t="shared" si="170"/>
        <v>Year</v>
      </c>
      <c r="M675" s="10" t="str">
        <f t="shared" si="170"/>
        <v>Year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November 2024</v>
      </c>
      <c r="D676" s="18"/>
      <c r="E676" s="18"/>
      <c r="F676" s="18"/>
      <c r="G676" s="20" t="str">
        <f>+$G$4</f>
        <v>Mnt</v>
      </c>
      <c r="H676" s="20" t="str">
        <f>+G676</f>
        <v>Mnt</v>
      </c>
      <c r="I676" s="20" t="str">
        <f t="shared" si="170"/>
        <v>Mnt</v>
      </c>
      <c r="J676" s="20" t="str">
        <f t="shared" si="170"/>
        <v>Mnt</v>
      </c>
      <c r="K676" s="20" t="str">
        <f t="shared" si="170"/>
        <v>Mnt</v>
      </c>
      <c r="L676" s="20" t="str">
        <f t="shared" si="170"/>
        <v>Mnt</v>
      </c>
      <c r="M676" s="20" t="str">
        <f t="shared" si="170"/>
        <v>Mnt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3</v>
      </c>
      <c r="H677" s="25">
        <f>+$H$5</f>
        <v>10</v>
      </c>
      <c r="I677" s="25">
        <f>+$I$5</f>
        <v>17</v>
      </c>
      <c r="J677" s="25">
        <f>+$J$5</f>
        <v>24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 t="str">
        <f>+$G$3</f>
        <v>Year</v>
      </c>
      <c r="H691" s="10" t="str">
        <f>+G691</f>
        <v>Year</v>
      </c>
      <c r="I691" s="10" t="str">
        <f t="shared" ref="I691:M692" si="174">+H691</f>
        <v>Year</v>
      </c>
      <c r="J691" s="10" t="str">
        <f t="shared" si="174"/>
        <v>Year</v>
      </c>
      <c r="K691" s="10" t="str">
        <f t="shared" si="174"/>
        <v>Year</v>
      </c>
      <c r="L691" s="10" t="str">
        <f t="shared" si="174"/>
        <v>Year</v>
      </c>
      <c r="M691" s="10" t="str">
        <f t="shared" si="174"/>
        <v>Year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November 2024</v>
      </c>
      <c r="D692" s="18"/>
      <c r="E692" s="18"/>
      <c r="F692" s="18"/>
      <c r="G692" s="20" t="str">
        <f>+$G$4</f>
        <v>Mnt</v>
      </c>
      <c r="H692" s="20" t="str">
        <f>+G692</f>
        <v>Mnt</v>
      </c>
      <c r="I692" s="20" t="str">
        <f t="shared" si="174"/>
        <v>Mnt</v>
      </c>
      <c r="J692" s="20" t="str">
        <f t="shared" si="174"/>
        <v>Mnt</v>
      </c>
      <c r="K692" s="20" t="str">
        <f t="shared" si="174"/>
        <v>Mnt</v>
      </c>
      <c r="L692" s="20" t="str">
        <f t="shared" si="174"/>
        <v>Mnt</v>
      </c>
      <c r="M692" s="20" t="str">
        <f t="shared" si="174"/>
        <v>Mnt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3</v>
      </c>
      <c r="H693" s="25">
        <f>+$H$5</f>
        <v>10</v>
      </c>
      <c r="I693" s="25">
        <f>+$I$5</f>
        <v>17</v>
      </c>
      <c r="J693" s="25">
        <f>+$J$5</f>
        <v>24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 t="str">
        <f>+$G$3</f>
        <v>Year</v>
      </c>
      <c r="H707" s="10" t="str">
        <f>+G707</f>
        <v>Year</v>
      </c>
      <c r="I707" s="10" t="str">
        <f t="shared" ref="I707:M708" si="178">+H707</f>
        <v>Year</v>
      </c>
      <c r="J707" s="10" t="str">
        <f t="shared" si="178"/>
        <v>Year</v>
      </c>
      <c r="K707" s="10" t="str">
        <f t="shared" si="178"/>
        <v>Year</v>
      </c>
      <c r="L707" s="10" t="str">
        <f t="shared" si="178"/>
        <v>Year</v>
      </c>
      <c r="M707" s="10" t="str">
        <f t="shared" si="178"/>
        <v>Year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November 2024</v>
      </c>
      <c r="D708" s="18"/>
      <c r="E708" s="18"/>
      <c r="F708" s="18"/>
      <c r="G708" s="20" t="str">
        <f>+$G$4</f>
        <v>Mnt</v>
      </c>
      <c r="H708" s="20" t="str">
        <f>+G708</f>
        <v>Mnt</v>
      </c>
      <c r="I708" s="20" t="str">
        <f t="shared" si="178"/>
        <v>Mnt</v>
      </c>
      <c r="J708" s="20" t="str">
        <f t="shared" si="178"/>
        <v>Mnt</v>
      </c>
      <c r="K708" s="20" t="str">
        <f t="shared" si="178"/>
        <v>Mnt</v>
      </c>
      <c r="L708" s="20" t="str">
        <f t="shared" si="178"/>
        <v>Mnt</v>
      </c>
      <c r="M708" s="20" t="str">
        <f t="shared" si="178"/>
        <v>Mnt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3</v>
      </c>
      <c r="H709" s="25">
        <f>+$H$5</f>
        <v>10</v>
      </c>
      <c r="I709" s="25">
        <f>+$I$5</f>
        <v>17</v>
      </c>
      <c r="J709" s="25">
        <f>+$J$5</f>
        <v>24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 t="str">
        <f>+$G$3</f>
        <v>Year</v>
      </c>
      <c r="H723" s="10" t="str">
        <f>+G723</f>
        <v>Year</v>
      </c>
      <c r="I723" s="10" t="str">
        <f t="shared" ref="I723:M724" si="182">+H723</f>
        <v>Year</v>
      </c>
      <c r="J723" s="10" t="str">
        <f t="shared" si="182"/>
        <v>Year</v>
      </c>
      <c r="K723" s="10" t="str">
        <f t="shared" si="182"/>
        <v>Year</v>
      </c>
      <c r="L723" s="10" t="str">
        <f t="shared" si="182"/>
        <v>Year</v>
      </c>
      <c r="M723" s="10" t="str">
        <f t="shared" si="182"/>
        <v>Year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November 2024</v>
      </c>
      <c r="D724" s="18"/>
      <c r="E724" s="18"/>
      <c r="F724" s="18"/>
      <c r="G724" s="20" t="str">
        <f>+$G$4</f>
        <v>Mnt</v>
      </c>
      <c r="H724" s="20" t="str">
        <f>+G724</f>
        <v>Mnt</v>
      </c>
      <c r="I724" s="20" t="str">
        <f t="shared" si="182"/>
        <v>Mnt</v>
      </c>
      <c r="J724" s="20" t="str">
        <f t="shared" si="182"/>
        <v>Mnt</v>
      </c>
      <c r="K724" s="20" t="str">
        <f t="shared" si="182"/>
        <v>Mnt</v>
      </c>
      <c r="L724" s="20" t="str">
        <f t="shared" si="182"/>
        <v>Mnt</v>
      </c>
      <c r="M724" s="20" t="str">
        <f t="shared" si="182"/>
        <v>Mnt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3</v>
      </c>
      <c r="H725" s="25">
        <f>+$H$5</f>
        <v>10</v>
      </c>
      <c r="I725" s="25">
        <f>+$I$5</f>
        <v>17</v>
      </c>
      <c r="J725" s="25">
        <f>+$J$5</f>
        <v>24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 t="str">
        <f>+$G$3</f>
        <v>Year</v>
      </c>
      <c r="H739" s="10" t="str">
        <f>+G739</f>
        <v>Year</v>
      </c>
      <c r="I739" s="10" t="str">
        <f t="shared" ref="I739:M740" si="186">+H739</f>
        <v>Year</v>
      </c>
      <c r="J739" s="10" t="str">
        <f t="shared" si="186"/>
        <v>Year</v>
      </c>
      <c r="K739" s="10" t="str">
        <f t="shared" si="186"/>
        <v>Year</v>
      </c>
      <c r="L739" s="10" t="str">
        <f t="shared" si="186"/>
        <v>Year</v>
      </c>
      <c r="M739" s="10" t="str">
        <f t="shared" si="186"/>
        <v>Year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November 2024</v>
      </c>
      <c r="D740" s="18"/>
      <c r="E740" s="18"/>
      <c r="F740" s="18"/>
      <c r="G740" s="20" t="str">
        <f>+$G$4</f>
        <v>Mnt</v>
      </c>
      <c r="H740" s="20" t="str">
        <f>+G740</f>
        <v>Mnt</v>
      </c>
      <c r="I740" s="20" t="str">
        <f t="shared" si="186"/>
        <v>Mnt</v>
      </c>
      <c r="J740" s="20" t="str">
        <f t="shared" si="186"/>
        <v>Mnt</v>
      </c>
      <c r="K740" s="20" t="str">
        <f t="shared" si="186"/>
        <v>Mnt</v>
      </c>
      <c r="L740" s="20" t="str">
        <f t="shared" si="186"/>
        <v>Mnt</v>
      </c>
      <c r="M740" s="20" t="str">
        <f t="shared" si="186"/>
        <v>Mnt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3</v>
      </c>
      <c r="H741" s="25">
        <f>+$H$5</f>
        <v>10</v>
      </c>
      <c r="I741" s="25">
        <f>+$I$5</f>
        <v>17</v>
      </c>
      <c r="J741" s="25">
        <f>+$J$5</f>
        <v>24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 t="str">
        <f>+$G$3</f>
        <v>Year</v>
      </c>
      <c r="H755" s="10" t="str">
        <f>+G755</f>
        <v>Year</v>
      </c>
      <c r="I755" s="10" t="str">
        <f t="shared" ref="I755:M756" si="190">+H755</f>
        <v>Year</v>
      </c>
      <c r="J755" s="10" t="str">
        <f t="shared" si="190"/>
        <v>Year</v>
      </c>
      <c r="K755" s="10" t="str">
        <f t="shared" si="190"/>
        <v>Year</v>
      </c>
      <c r="L755" s="10" t="str">
        <f t="shared" si="190"/>
        <v>Year</v>
      </c>
      <c r="M755" s="10" t="str">
        <f t="shared" si="190"/>
        <v>Year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November 2024</v>
      </c>
      <c r="D756" s="18"/>
      <c r="E756" s="18"/>
      <c r="F756" s="18"/>
      <c r="G756" s="20" t="str">
        <f>+$G$4</f>
        <v>Mnt</v>
      </c>
      <c r="H756" s="20" t="str">
        <f>+G756</f>
        <v>Mnt</v>
      </c>
      <c r="I756" s="20" t="str">
        <f t="shared" si="190"/>
        <v>Mnt</v>
      </c>
      <c r="J756" s="20" t="str">
        <f t="shared" si="190"/>
        <v>Mnt</v>
      </c>
      <c r="K756" s="20" t="str">
        <f t="shared" si="190"/>
        <v>Mnt</v>
      </c>
      <c r="L756" s="20" t="str">
        <f t="shared" si="190"/>
        <v>Mnt</v>
      </c>
      <c r="M756" s="20" t="str">
        <f t="shared" si="190"/>
        <v>Mnt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3</v>
      </c>
      <c r="H757" s="25">
        <f>+$H$5</f>
        <v>10</v>
      </c>
      <c r="I757" s="25">
        <f>+$I$5</f>
        <v>17</v>
      </c>
      <c r="J757" s="25">
        <f>+$J$5</f>
        <v>24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 t="str">
        <f>+$G$3</f>
        <v>Year</v>
      </c>
      <c r="H771" s="10" t="str">
        <f>+G771</f>
        <v>Year</v>
      </c>
      <c r="I771" s="10" t="str">
        <f t="shared" ref="I771:M772" si="194">+H771</f>
        <v>Year</v>
      </c>
      <c r="J771" s="10" t="str">
        <f t="shared" si="194"/>
        <v>Year</v>
      </c>
      <c r="K771" s="10" t="str">
        <f t="shared" si="194"/>
        <v>Year</v>
      </c>
      <c r="L771" s="10" t="str">
        <f t="shared" si="194"/>
        <v>Year</v>
      </c>
      <c r="M771" s="10" t="str">
        <f t="shared" si="194"/>
        <v>Year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November 2024</v>
      </c>
      <c r="D772" s="18"/>
      <c r="E772" s="18"/>
      <c r="F772" s="18"/>
      <c r="G772" s="20" t="str">
        <f>+$G$4</f>
        <v>Mnt</v>
      </c>
      <c r="H772" s="20" t="str">
        <f>+G772</f>
        <v>Mnt</v>
      </c>
      <c r="I772" s="20" t="str">
        <f t="shared" si="194"/>
        <v>Mnt</v>
      </c>
      <c r="J772" s="20" t="str">
        <f t="shared" si="194"/>
        <v>Mnt</v>
      </c>
      <c r="K772" s="20" t="str">
        <f t="shared" si="194"/>
        <v>Mnt</v>
      </c>
      <c r="L772" s="20" t="str">
        <f t="shared" si="194"/>
        <v>Mnt</v>
      </c>
      <c r="M772" s="20" t="str">
        <f t="shared" si="194"/>
        <v>Mnt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3</v>
      </c>
      <c r="H773" s="25">
        <f>+$H$5</f>
        <v>10</v>
      </c>
      <c r="I773" s="25">
        <f>+$I$5</f>
        <v>17</v>
      </c>
      <c r="J773" s="25">
        <f>+$J$5</f>
        <v>24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 t="str">
        <f>+$G$3</f>
        <v>Year</v>
      </c>
      <c r="H787" s="10" t="str">
        <f>+G787</f>
        <v>Year</v>
      </c>
      <c r="I787" s="10" t="str">
        <f t="shared" ref="I787:M788" si="198">+H787</f>
        <v>Year</v>
      </c>
      <c r="J787" s="10" t="str">
        <f t="shared" si="198"/>
        <v>Year</v>
      </c>
      <c r="K787" s="10" t="str">
        <f t="shared" si="198"/>
        <v>Year</v>
      </c>
      <c r="L787" s="10" t="str">
        <f t="shared" si="198"/>
        <v>Year</v>
      </c>
      <c r="M787" s="10" t="str">
        <f t="shared" si="198"/>
        <v>Year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November 2024</v>
      </c>
      <c r="D788" s="18"/>
      <c r="E788" s="18"/>
      <c r="F788" s="18"/>
      <c r="G788" s="20" t="str">
        <f>+$G$4</f>
        <v>Mnt</v>
      </c>
      <c r="H788" s="20" t="str">
        <f>+G788</f>
        <v>Mnt</v>
      </c>
      <c r="I788" s="20" t="str">
        <f t="shared" si="198"/>
        <v>Mnt</v>
      </c>
      <c r="J788" s="20" t="str">
        <f t="shared" si="198"/>
        <v>Mnt</v>
      </c>
      <c r="K788" s="20" t="str">
        <f t="shared" si="198"/>
        <v>Mnt</v>
      </c>
      <c r="L788" s="20" t="str">
        <f t="shared" si="198"/>
        <v>Mnt</v>
      </c>
      <c r="M788" s="20" t="str">
        <f t="shared" si="198"/>
        <v>Mnt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3</v>
      </c>
      <c r="H789" s="25">
        <f>+$H$5</f>
        <v>10</v>
      </c>
      <c r="I789" s="25">
        <f>+$I$5</f>
        <v>17</v>
      </c>
      <c r="J789" s="25">
        <f>+$J$5</f>
        <v>24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 t="str">
        <f>+$G$3</f>
        <v>Year</v>
      </c>
      <c r="H803" s="10" t="str">
        <f>+G803</f>
        <v>Year</v>
      </c>
      <c r="I803" s="10" t="str">
        <f t="shared" ref="I803:M804" si="202">+H803</f>
        <v>Year</v>
      </c>
      <c r="J803" s="10" t="str">
        <f t="shared" si="202"/>
        <v>Year</v>
      </c>
      <c r="K803" s="10" t="str">
        <f t="shared" si="202"/>
        <v>Year</v>
      </c>
      <c r="L803" s="10" t="str">
        <f t="shared" si="202"/>
        <v>Year</v>
      </c>
      <c r="M803" s="10" t="str">
        <f t="shared" si="202"/>
        <v>Year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November 2024</v>
      </c>
      <c r="D804" s="18"/>
      <c r="E804" s="18"/>
      <c r="F804" s="18"/>
      <c r="G804" s="20" t="str">
        <f>+$G$4</f>
        <v>Mnt</v>
      </c>
      <c r="H804" s="20" t="str">
        <f>+G804</f>
        <v>Mnt</v>
      </c>
      <c r="I804" s="20" t="str">
        <f t="shared" si="202"/>
        <v>Mnt</v>
      </c>
      <c r="J804" s="20" t="str">
        <f t="shared" si="202"/>
        <v>Mnt</v>
      </c>
      <c r="K804" s="20" t="str">
        <f t="shared" si="202"/>
        <v>Mnt</v>
      </c>
      <c r="L804" s="20" t="str">
        <f t="shared" si="202"/>
        <v>Mnt</v>
      </c>
      <c r="M804" s="20" t="str">
        <f t="shared" si="202"/>
        <v>Mnt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3</v>
      </c>
      <c r="H805" s="25">
        <f>+$H$5</f>
        <v>10</v>
      </c>
      <c r="I805" s="25">
        <f>+$I$5</f>
        <v>17</v>
      </c>
      <c r="J805" s="25">
        <f>+$J$5</f>
        <v>24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851"/>
  <sheetViews>
    <sheetView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5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 t="s">
        <v>57</v>
      </c>
      <c r="H3" s="10" t="str">
        <f>+G3</f>
        <v>Year</v>
      </c>
      <c r="I3" s="10" t="str">
        <f t="shared" ref="I3:M4" si="0">+H3</f>
        <v>Year</v>
      </c>
      <c r="J3" s="10" t="str">
        <f t="shared" si="0"/>
        <v>Year</v>
      </c>
      <c r="K3" s="10" t="str">
        <f t="shared" si="0"/>
        <v>Year</v>
      </c>
      <c r="L3" s="10" t="str">
        <f t="shared" si="0"/>
        <v>Year</v>
      </c>
      <c r="M3" s="10" t="str">
        <f t="shared" si="0"/>
        <v>Year</v>
      </c>
      <c r="N3" s="11"/>
      <c r="S3" s="12" t="str">
        <f>+C3</f>
        <v>Total ICBC</v>
      </c>
      <c r="T3" s="13">
        <f>+L7</f>
        <v>13553</v>
      </c>
      <c r="U3" s="13">
        <f>+L8+L9</f>
        <v>3608</v>
      </c>
      <c r="V3" s="13">
        <f>+L10+L11</f>
        <v>9945</v>
      </c>
      <c r="W3" s="13">
        <f>+L14</f>
        <v>586</v>
      </c>
      <c r="X3" s="13">
        <f>+L12</f>
        <v>157</v>
      </c>
    </row>
    <row r="4" spans="1:41" x14ac:dyDescent="0.25">
      <c r="A4" s="14"/>
      <c r="B4" s="15"/>
      <c r="C4" s="16" t="s">
        <v>95</v>
      </c>
      <c r="D4" s="17"/>
      <c r="E4" s="18"/>
      <c r="F4" s="18"/>
      <c r="G4" s="19" t="s">
        <v>56</v>
      </c>
      <c r="H4" s="20" t="str">
        <f>+G4</f>
        <v>Mnt</v>
      </c>
      <c r="I4" s="20" t="str">
        <f t="shared" si="0"/>
        <v>Mnt</v>
      </c>
      <c r="J4" s="20" t="str">
        <f t="shared" si="0"/>
        <v>Mnt</v>
      </c>
      <c r="K4" s="20" t="str">
        <f t="shared" si="0"/>
        <v>Mnt</v>
      </c>
      <c r="L4" s="20" t="str">
        <f t="shared" si="0"/>
        <v>Mnt</v>
      </c>
      <c r="M4" s="20" t="str">
        <f t="shared" si="0"/>
        <v>Mnt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1</v>
      </c>
      <c r="H5" s="24">
        <v>8</v>
      </c>
      <c r="I5" s="24">
        <v>15</v>
      </c>
      <c r="J5" s="24">
        <v>22</v>
      </c>
      <c r="K5" s="24">
        <v>29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2657</v>
      </c>
      <c r="H7" s="31">
        <f t="shared" ref="H7:L7" si="1">SUM(H8:H11)</f>
        <v>3162</v>
      </c>
      <c r="I7" s="31">
        <f t="shared" si="1"/>
        <v>2683</v>
      </c>
      <c r="J7" s="31">
        <f t="shared" si="1"/>
        <v>2523</v>
      </c>
      <c r="K7" s="31">
        <f t="shared" si="1"/>
        <v>2528</v>
      </c>
      <c r="L7" s="31">
        <f t="shared" si="1"/>
        <v>13553</v>
      </c>
      <c r="M7" s="31">
        <f>ROUND((L7/$E$1),0)</f>
        <v>2711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184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236</v>
      </c>
      <c r="I8" s="35">
        <f t="shared" si="2"/>
        <v>197</v>
      </c>
      <c r="J8" s="35">
        <f t="shared" si="2"/>
        <v>157</v>
      </c>
      <c r="K8" s="35">
        <f t="shared" si="2"/>
        <v>185</v>
      </c>
      <c r="L8" s="35">
        <f>SUM(G8:K8)</f>
        <v>959</v>
      </c>
      <c r="M8" s="35">
        <f t="shared" ref="M8:M16" si="3">ROUND((L8/$E$1),0)</f>
        <v>192</v>
      </c>
      <c r="N8" s="32"/>
      <c r="O8" s="33"/>
      <c r="P8" s="34"/>
      <c r="Q8" s="34"/>
      <c r="S8" s="13"/>
      <c r="T8" s="13"/>
      <c r="U8" s="13"/>
      <c r="V8" s="13"/>
      <c r="W8" s="13"/>
      <c r="X8" s="13"/>
      <c r="Y8" s="13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513</v>
      </c>
      <c r="H9" s="35">
        <f t="shared" si="4"/>
        <v>615</v>
      </c>
      <c r="I9" s="35">
        <f t="shared" si="4"/>
        <v>559</v>
      </c>
      <c r="J9" s="35">
        <f t="shared" si="4"/>
        <v>444</v>
      </c>
      <c r="K9" s="35">
        <f t="shared" si="4"/>
        <v>518</v>
      </c>
      <c r="L9" s="35">
        <f t="shared" ref="L9:L16" si="5">SUM(G9:K9)</f>
        <v>2649</v>
      </c>
      <c r="M9" s="35">
        <f t="shared" si="3"/>
        <v>530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666</v>
      </c>
      <c r="H10" s="35">
        <f t="shared" si="4"/>
        <v>781</v>
      </c>
      <c r="I10" s="35">
        <f t="shared" si="4"/>
        <v>650</v>
      </c>
      <c r="J10" s="35">
        <f t="shared" si="4"/>
        <v>630</v>
      </c>
      <c r="K10" s="35">
        <f t="shared" si="4"/>
        <v>684</v>
      </c>
      <c r="L10" s="35">
        <f t="shared" si="5"/>
        <v>3411</v>
      </c>
      <c r="M10" s="35">
        <f t="shared" si="3"/>
        <v>682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1294</v>
      </c>
      <c r="H11" s="31">
        <f t="shared" si="4"/>
        <v>1530</v>
      </c>
      <c r="I11" s="31">
        <f t="shared" si="4"/>
        <v>1277</v>
      </c>
      <c r="J11" s="31">
        <f t="shared" si="4"/>
        <v>1292</v>
      </c>
      <c r="K11" s="31">
        <f t="shared" si="4"/>
        <v>1141</v>
      </c>
      <c r="L11" s="31">
        <f t="shared" si="5"/>
        <v>6534</v>
      </c>
      <c r="M11" s="31">
        <f t="shared" si="3"/>
        <v>1307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25</v>
      </c>
      <c r="H12" s="35">
        <f t="shared" si="4"/>
        <v>43</v>
      </c>
      <c r="I12" s="35">
        <f t="shared" si="4"/>
        <v>13</v>
      </c>
      <c r="J12" s="35">
        <f t="shared" si="4"/>
        <v>18</v>
      </c>
      <c r="K12" s="35">
        <f t="shared" si="4"/>
        <v>58</v>
      </c>
      <c r="L12" s="35">
        <f t="shared" si="5"/>
        <v>157</v>
      </c>
      <c r="M12" s="35">
        <f t="shared" si="3"/>
        <v>31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1</v>
      </c>
      <c r="L13" s="35">
        <f t="shared" si="5"/>
        <v>1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128</v>
      </c>
      <c r="H14" s="35">
        <f t="shared" si="4"/>
        <v>130</v>
      </c>
      <c r="I14" s="35">
        <f t="shared" si="4"/>
        <v>109</v>
      </c>
      <c r="J14" s="35">
        <f t="shared" si="4"/>
        <v>114</v>
      </c>
      <c r="K14" s="35">
        <f t="shared" si="4"/>
        <v>105</v>
      </c>
      <c r="L14" s="35">
        <f t="shared" si="5"/>
        <v>586</v>
      </c>
      <c r="M14" s="35">
        <f t="shared" si="3"/>
        <v>117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1911</v>
      </c>
      <c r="H15" s="35">
        <f t="shared" si="4"/>
        <v>2608</v>
      </c>
      <c r="I15" s="35">
        <f t="shared" si="4"/>
        <v>2168</v>
      </c>
      <c r="J15" s="35">
        <f t="shared" si="4"/>
        <v>1783</v>
      </c>
      <c r="K15" s="35">
        <f t="shared" si="4"/>
        <v>1018</v>
      </c>
      <c r="L15" s="35">
        <f t="shared" si="5"/>
        <v>9488</v>
      </c>
      <c r="M15" s="35">
        <f t="shared" si="3"/>
        <v>1898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 t="str">
        <f>+$G$3</f>
        <v>Year</v>
      </c>
      <c r="H19" s="10" t="str">
        <f>+G19</f>
        <v>Year</v>
      </c>
      <c r="I19" s="10" t="str">
        <f t="shared" ref="I19:M20" si="6">+H19</f>
        <v>Year</v>
      </c>
      <c r="J19" s="10" t="str">
        <f t="shared" si="6"/>
        <v>Year</v>
      </c>
      <c r="K19" s="10" t="str">
        <f t="shared" si="6"/>
        <v>Year</v>
      </c>
      <c r="L19" s="10" t="str">
        <f t="shared" si="6"/>
        <v>Year</v>
      </c>
      <c r="M19" s="10" t="str">
        <f t="shared" si="6"/>
        <v>Year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1019</v>
      </c>
      <c r="U19" s="13">
        <f>+L24+L25</f>
        <v>390</v>
      </c>
      <c r="V19" s="13">
        <f>+L26+L27</f>
        <v>629</v>
      </c>
      <c r="W19" s="13">
        <f>+L30</f>
        <v>14</v>
      </c>
      <c r="X19" s="13">
        <f>+L28</f>
        <v>0</v>
      </c>
    </row>
    <row r="20" spans="1:24" x14ac:dyDescent="0.25">
      <c r="A20" s="14"/>
      <c r="B20" s="15"/>
      <c r="C20" s="41" t="str">
        <f>+$C4</f>
        <v>December 2024</v>
      </c>
      <c r="D20" s="18"/>
      <c r="E20" s="18"/>
      <c r="F20" s="18"/>
      <c r="G20" s="20" t="str">
        <f>+$G$4</f>
        <v>Mnt</v>
      </c>
      <c r="H20" s="20" t="str">
        <f>+G20</f>
        <v>Mnt</v>
      </c>
      <c r="I20" s="20" t="str">
        <f t="shared" si="6"/>
        <v>Mnt</v>
      </c>
      <c r="J20" s="20" t="str">
        <f t="shared" si="6"/>
        <v>Mnt</v>
      </c>
      <c r="K20" s="20" t="str">
        <f t="shared" si="6"/>
        <v>Mnt</v>
      </c>
      <c r="L20" s="20" t="str">
        <f t="shared" si="6"/>
        <v>Mnt</v>
      </c>
      <c r="M20" s="20" t="str">
        <f t="shared" si="6"/>
        <v>Mnt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1</v>
      </c>
      <c r="H21" s="25">
        <f>+$H$5</f>
        <v>8</v>
      </c>
      <c r="I21" s="25">
        <f>+$I$5</f>
        <v>15</v>
      </c>
      <c r="J21" s="25">
        <f>+$J$5</f>
        <v>22</v>
      </c>
      <c r="K21" s="25">
        <f>+$K$5</f>
        <v>29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151</v>
      </c>
      <c r="H23" s="31">
        <f t="shared" ref="H23:L23" si="7">SUM(H24:H27)</f>
        <v>198</v>
      </c>
      <c r="I23" s="31">
        <f t="shared" si="7"/>
        <v>306</v>
      </c>
      <c r="J23" s="31">
        <f t="shared" si="7"/>
        <v>213</v>
      </c>
      <c r="K23" s="31">
        <f t="shared" si="7"/>
        <v>151</v>
      </c>
      <c r="L23" s="31">
        <f t="shared" si="7"/>
        <v>1019</v>
      </c>
      <c r="M23" s="31">
        <f>ROUND((L23/$E$1),0)</f>
        <v>204</v>
      </c>
      <c r="N23" s="32"/>
      <c r="O23" s="34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21</v>
      </c>
      <c r="H24" s="42">
        <v>19</v>
      </c>
      <c r="I24" s="42">
        <v>42</v>
      </c>
      <c r="J24" s="42">
        <v>18</v>
      </c>
      <c r="K24" s="42">
        <v>17</v>
      </c>
      <c r="L24" s="35">
        <f>SUM(G24:K24)</f>
        <v>117</v>
      </c>
      <c r="M24" s="35">
        <f t="shared" ref="M24:M32" si="8">ROUND((L24/$E$1),0)</f>
        <v>23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47</v>
      </c>
      <c r="H25" s="42">
        <v>42</v>
      </c>
      <c r="I25" s="42">
        <v>104</v>
      </c>
      <c r="J25" s="42">
        <v>48</v>
      </c>
      <c r="K25" s="42">
        <v>32</v>
      </c>
      <c r="L25" s="35">
        <f t="shared" ref="L25:L32" si="9">SUM(G25:K25)</f>
        <v>273</v>
      </c>
      <c r="M25" s="35">
        <f t="shared" si="8"/>
        <v>55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72</v>
      </c>
      <c r="H26" s="42">
        <v>87</v>
      </c>
      <c r="I26" s="42">
        <v>123</v>
      </c>
      <c r="J26" s="42">
        <v>88</v>
      </c>
      <c r="K26" s="42">
        <v>56</v>
      </c>
      <c r="L26" s="35">
        <f t="shared" si="9"/>
        <v>426</v>
      </c>
      <c r="M26" s="35">
        <f t="shared" si="8"/>
        <v>85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11</v>
      </c>
      <c r="H27" s="43">
        <v>50</v>
      </c>
      <c r="I27" s="43">
        <v>37</v>
      </c>
      <c r="J27" s="43">
        <v>59</v>
      </c>
      <c r="K27" s="43">
        <v>46</v>
      </c>
      <c r="L27" s="31">
        <f t="shared" si="9"/>
        <v>203</v>
      </c>
      <c r="M27" s="31">
        <f t="shared" si="8"/>
        <v>41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7</v>
      </c>
      <c r="H30" s="42">
        <v>7</v>
      </c>
      <c r="I30" s="42"/>
      <c r="J30" s="42"/>
      <c r="K30" s="42"/>
      <c r="L30" s="35">
        <f t="shared" si="9"/>
        <v>14</v>
      </c>
      <c r="M30" s="35">
        <f t="shared" si="8"/>
        <v>3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 t="str">
        <f>+$G$3</f>
        <v>Year</v>
      </c>
      <c r="H35" s="10" t="str">
        <f>+G35</f>
        <v>Year</v>
      </c>
      <c r="I35" s="10" t="str">
        <f t="shared" ref="I35:M36" si="10">+H35</f>
        <v>Year</v>
      </c>
      <c r="J35" s="10" t="str">
        <f t="shared" si="10"/>
        <v>Year</v>
      </c>
      <c r="K35" s="10" t="str">
        <f t="shared" si="10"/>
        <v>Year</v>
      </c>
      <c r="L35" s="10" t="str">
        <f t="shared" si="10"/>
        <v>Year</v>
      </c>
      <c r="M35" s="10" t="str">
        <f t="shared" si="10"/>
        <v>Year</v>
      </c>
      <c r="N35" s="11"/>
      <c r="O35" s="44"/>
      <c r="P35" s="44"/>
      <c r="Q35" s="44"/>
      <c r="S35" s="12" t="str">
        <f>+C35</f>
        <v>Ngwenya</v>
      </c>
      <c r="T35" s="13">
        <f>+L39</f>
        <v>406</v>
      </c>
      <c r="U35" s="13">
        <f>+L40+L41</f>
        <v>111</v>
      </c>
      <c r="V35" s="13">
        <f>+L42+L43</f>
        <v>295</v>
      </c>
      <c r="W35" s="13">
        <f>+L46</f>
        <v>48</v>
      </c>
      <c r="X35" s="13">
        <f>+L44</f>
        <v>15</v>
      </c>
    </row>
    <row r="36" spans="1:24" x14ac:dyDescent="0.25">
      <c r="A36" s="14"/>
      <c r="B36" s="15"/>
      <c r="C36" s="41" t="str">
        <f>+$C20</f>
        <v>December 2024</v>
      </c>
      <c r="D36" s="18"/>
      <c r="E36" s="18"/>
      <c r="F36" s="18"/>
      <c r="G36" s="20" t="str">
        <f>+$G$4</f>
        <v>Mnt</v>
      </c>
      <c r="H36" s="20" t="str">
        <f>+G36</f>
        <v>Mnt</v>
      </c>
      <c r="I36" s="20" t="str">
        <f t="shared" si="10"/>
        <v>Mnt</v>
      </c>
      <c r="J36" s="20" t="str">
        <f t="shared" si="10"/>
        <v>Mnt</v>
      </c>
      <c r="K36" s="20" t="str">
        <f t="shared" si="10"/>
        <v>Mnt</v>
      </c>
      <c r="L36" s="20" t="str">
        <f t="shared" si="10"/>
        <v>Mnt</v>
      </c>
      <c r="M36" s="20" t="str">
        <f t="shared" si="10"/>
        <v>Mnt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1</v>
      </c>
      <c r="H37" s="25">
        <f>+$H$5</f>
        <v>8</v>
      </c>
      <c r="I37" s="25">
        <f>+$I$5</f>
        <v>15</v>
      </c>
      <c r="J37" s="25">
        <f>+$J$5</f>
        <v>22</v>
      </c>
      <c r="K37" s="25">
        <f>+$K$5</f>
        <v>29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86</v>
      </c>
      <c r="H39" s="31">
        <f t="shared" ref="H39:L39" si="11">SUM(H40:H43)</f>
        <v>72</v>
      </c>
      <c r="I39" s="31">
        <f t="shared" si="11"/>
        <v>67</v>
      </c>
      <c r="J39" s="31">
        <f t="shared" si="11"/>
        <v>84</v>
      </c>
      <c r="K39" s="31">
        <f t="shared" si="11"/>
        <v>97</v>
      </c>
      <c r="L39" s="31">
        <f t="shared" si="11"/>
        <v>406</v>
      </c>
      <c r="M39" s="31">
        <f>ROUND((L39/$E$1),0)</f>
        <v>81</v>
      </c>
      <c r="N39" s="32"/>
      <c r="O39" s="3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8</v>
      </c>
      <c r="H40" s="42">
        <v>5</v>
      </c>
      <c r="I40" s="42">
        <v>4</v>
      </c>
      <c r="J40" s="42">
        <v>6</v>
      </c>
      <c r="K40" s="42">
        <v>7</v>
      </c>
      <c r="L40" s="35">
        <f>SUM(G40:K40)</f>
        <v>30</v>
      </c>
      <c r="M40" s="35">
        <f t="shared" ref="M40:M48" si="12">ROUND((L40/$E$1),0)</f>
        <v>6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18</v>
      </c>
      <c r="H41" s="42">
        <v>12</v>
      </c>
      <c r="I41" s="42">
        <v>13</v>
      </c>
      <c r="J41" s="42">
        <v>18</v>
      </c>
      <c r="K41" s="42">
        <v>20</v>
      </c>
      <c r="L41" s="35">
        <f t="shared" ref="L41:L48" si="13">SUM(G41:K41)</f>
        <v>81</v>
      </c>
      <c r="M41" s="35">
        <f t="shared" si="12"/>
        <v>16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20</v>
      </c>
      <c r="H42" s="42">
        <v>20</v>
      </c>
      <c r="I42" s="42">
        <v>15</v>
      </c>
      <c r="J42" s="42">
        <v>20</v>
      </c>
      <c r="K42" s="42">
        <v>25</v>
      </c>
      <c r="L42" s="35">
        <f t="shared" si="13"/>
        <v>100</v>
      </c>
      <c r="M42" s="35">
        <f t="shared" si="12"/>
        <v>20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40</v>
      </c>
      <c r="H43" s="43">
        <v>35</v>
      </c>
      <c r="I43" s="43">
        <v>35</v>
      </c>
      <c r="J43" s="43">
        <v>40</v>
      </c>
      <c r="K43" s="43">
        <v>45</v>
      </c>
      <c r="L43" s="31">
        <f t="shared" si="13"/>
        <v>195</v>
      </c>
      <c r="M43" s="31">
        <f t="shared" si="12"/>
        <v>39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>
        <v>2</v>
      </c>
      <c r="H44" s="42">
        <v>4</v>
      </c>
      <c r="I44" s="42"/>
      <c r="J44" s="42">
        <v>3</v>
      </c>
      <c r="K44" s="42">
        <v>6</v>
      </c>
      <c r="L44" s="35">
        <f t="shared" si="13"/>
        <v>15</v>
      </c>
      <c r="M44" s="35">
        <f t="shared" si="12"/>
        <v>3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10</v>
      </c>
      <c r="H46" s="42">
        <v>13</v>
      </c>
      <c r="I46" s="42">
        <v>11</v>
      </c>
      <c r="J46" s="42">
        <v>10</v>
      </c>
      <c r="K46" s="42">
        <v>4</v>
      </c>
      <c r="L46" s="35">
        <f t="shared" si="13"/>
        <v>48</v>
      </c>
      <c r="M46" s="35">
        <f t="shared" si="12"/>
        <v>10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128</v>
      </c>
      <c r="H47" s="42">
        <v>128</v>
      </c>
      <c r="I47" s="42">
        <v>64</v>
      </c>
      <c r="J47" s="42">
        <v>128</v>
      </c>
      <c r="K47" s="42">
        <v>64</v>
      </c>
      <c r="L47" s="35">
        <f t="shared" si="13"/>
        <v>512</v>
      </c>
      <c r="M47" s="35">
        <f t="shared" si="12"/>
        <v>102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 t="str">
        <f>+$G$3</f>
        <v>Year</v>
      </c>
      <c r="H51" s="10" t="str">
        <f>+G51</f>
        <v>Year</v>
      </c>
      <c r="I51" s="10" t="str">
        <f t="shared" ref="I51:M52" si="14">+H51</f>
        <v>Year</v>
      </c>
      <c r="J51" s="10" t="str">
        <f t="shared" si="14"/>
        <v>Year</v>
      </c>
      <c r="K51" s="10" t="str">
        <f t="shared" si="14"/>
        <v>Year</v>
      </c>
      <c r="L51" s="10" t="str">
        <f t="shared" si="14"/>
        <v>Year</v>
      </c>
      <c r="M51" s="10" t="str">
        <f t="shared" si="14"/>
        <v>Year</v>
      </c>
      <c r="N51" s="11"/>
      <c r="O51" s="44"/>
      <c r="P51" s="44"/>
      <c r="Q51" s="44"/>
      <c r="S51" s="12" t="str">
        <f>+C51</f>
        <v>Lavumisa</v>
      </c>
      <c r="T51" s="13">
        <f>+L55</f>
        <v>318</v>
      </c>
      <c r="U51" s="13">
        <f>+L56+L57</f>
        <v>88</v>
      </c>
      <c r="V51" s="13">
        <f>+L58+L59</f>
        <v>230</v>
      </c>
      <c r="W51" s="13">
        <f>+L62</f>
        <v>28</v>
      </c>
      <c r="X51" s="13">
        <f>+L60</f>
        <v>0</v>
      </c>
    </row>
    <row r="52" spans="1:24" x14ac:dyDescent="0.25">
      <c r="A52" s="14"/>
      <c r="B52" s="15"/>
      <c r="C52" s="41" t="str">
        <f>+$C36</f>
        <v>December 2024</v>
      </c>
      <c r="D52" s="18"/>
      <c r="E52" s="18"/>
      <c r="F52" s="18"/>
      <c r="G52" s="20" t="str">
        <f>+$G$4</f>
        <v>Mnt</v>
      </c>
      <c r="H52" s="20" t="str">
        <f>+G52</f>
        <v>Mnt</v>
      </c>
      <c r="I52" s="20" t="str">
        <f t="shared" si="14"/>
        <v>Mnt</v>
      </c>
      <c r="J52" s="20" t="str">
        <f t="shared" si="14"/>
        <v>Mnt</v>
      </c>
      <c r="K52" s="20" t="str">
        <f t="shared" si="14"/>
        <v>Mnt</v>
      </c>
      <c r="L52" s="20" t="str">
        <f t="shared" si="14"/>
        <v>Mnt</v>
      </c>
      <c r="M52" s="20" t="str">
        <f t="shared" si="14"/>
        <v>Mnt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1</v>
      </c>
      <c r="H53" s="25">
        <f>+$H$5</f>
        <v>8</v>
      </c>
      <c r="I53" s="25">
        <f>+$I$5</f>
        <v>15</v>
      </c>
      <c r="J53" s="25">
        <f>+$J$5</f>
        <v>22</v>
      </c>
      <c r="K53" s="25">
        <f>+$K$5</f>
        <v>29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73</v>
      </c>
      <c r="H55" s="31">
        <f t="shared" ref="H55:L55" si="15">SUM(H56:H59)</f>
        <v>60</v>
      </c>
      <c r="I55" s="31">
        <f t="shared" si="15"/>
        <v>29</v>
      </c>
      <c r="J55" s="31">
        <f t="shared" si="15"/>
        <v>78</v>
      </c>
      <c r="K55" s="31">
        <f t="shared" si="15"/>
        <v>78</v>
      </c>
      <c r="L55" s="31">
        <f t="shared" si="15"/>
        <v>318</v>
      </c>
      <c r="M55" s="31">
        <f>ROUND((L55/$E$1),0)</f>
        <v>64</v>
      </c>
      <c r="N55" s="32"/>
      <c r="O55" s="3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8</v>
      </c>
      <c r="H56" s="42">
        <v>2</v>
      </c>
      <c r="I56" s="42">
        <v>2</v>
      </c>
      <c r="J56" s="42">
        <v>3</v>
      </c>
      <c r="K56" s="42">
        <v>3</v>
      </c>
      <c r="L56" s="35">
        <f>SUM(G56:K56)</f>
        <v>18</v>
      </c>
      <c r="M56" s="35">
        <f t="shared" ref="M56:M64" si="16">ROUND((L56/$E$1),0)</f>
        <v>4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18</v>
      </c>
      <c r="H57" s="42">
        <v>14</v>
      </c>
      <c r="I57" s="42">
        <v>4</v>
      </c>
      <c r="J57" s="42">
        <v>18</v>
      </c>
      <c r="K57" s="42">
        <v>16</v>
      </c>
      <c r="L57" s="35">
        <f t="shared" ref="L57:L64" si="17">SUM(G57:K57)</f>
        <v>70</v>
      </c>
      <c r="M57" s="35">
        <f t="shared" si="16"/>
        <v>14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16</v>
      </c>
      <c r="H58" s="42">
        <v>16</v>
      </c>
      <c r="I58" s="42">
        <v>13</v>
      </c>
      <c r="J58" s="42">
        <v>23</v>
      </c>
      <c r="K58" s="42">
        <v>23</v>
      </c>
      <c r="L58" s="35">
        <f t="shared" si="17"/>
        <v>91</v>
      </c>
      <c r="M58" s="35">
        <f t="shared" si="16"/>
        <v>18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31</v>
      </c>
      <c r="H59" s="43">
        <v>28</v>
      </c>
      <c r="I59" s="43">
        <v>10</v>
      </c>
      <c r="J59" s="43">
        <v>34</v>
      </c>
      <c r="K59" s="43">
        <v>36</v>
      </c>
      <c r="L59" s="31">
        <f t="shared" si="17"/>
        <v>139</v>
      </c>
      <c r="M59" s="31">
        <f t="shared" si="16"/>
        <v>28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/>
      <c r="H62" s="42">
        <v>9</v>
      </c>
      <c r="I62" s="42">
        <v>6</v>
      </c>
      <c r="J62" s="42">
        <v>7</v>
      </c>
      <c r="K62" s="42">
        <v>6</v>
      </c>
      <c r="L62" s="35">
        <f t="shared" si="17"/>
        <v>28</v>
      </c>
      <c r="M62" s="35">
        <f t="shared" si="16"/>
        <v>6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 t="str">
        <f>+$G$3</f>
        <v>Year</v>
      </c>
      <c r="H67" s="10" t="str">
        <f>+G67</f>
        <v>Year</v>
      </c>
      <c r="I67" s="10" t="str">
        <f t="shared" ref="I67:M68" si="18">+H67</f>
        <v>Year</v>
      </c>
      <c r="J67" s="10" t="str">
        <f t="shared" si="18"/>
        <v>Year</v>
      </c>
      <c r="K67" s="10" t="str">
        <f t="shared" si="18"/>
        <v>Year</v>
      </c>
      <c r="L67" s="10" t="str">
        <f t="shared" si="18"/>
        <v>Year</v>
      </c>
      <c r="M67" s="10" t="str">
        <f t="shared" si="18"/>
        <v>Year</v>
      </c>
      <c r="N67" s="11"/>
      <c r="O67" s="44"/>
      <c r="P67" s="44"/>
      <c r="Q67" s="44"/>
      <c r="S67" s="12" t="str">
        <f>+C67</f>
        <v>Engcamini</v>
      </c>
      <c r="T67" s="13">
        <f>+L71</f>
        <v>568</v>
      </c>
      <c r="U67" s="13">
        <f>+L72+L73</f>
        <v>103</v>
      </c>
      <c r="V67" s="13">
        <f>+L74+L75</f>
        <v>465</v>
      </c>
      <c r="W67" s="13">
        <f>+L78</f>
        <v>9</v>
      </c>
      <c r="X67" s="13">
        <f>+L76</f>
        <v>0</v>
      </c>
    </row>
    <row r="68" spans="1:24" x14ac:dyDescent="0.25">
      <c r="A68" s="14"/>
      <c r="B68" s="15"/>
      <c r="C68" s="41" t="str">
        <f>+$C52</f>
        <v>December 2024</v>
      </c>
      <c r="D68" s="18"/>
      <c r="E68" s="18"/>
      <c r="F68" s="18"/>
      <c r="G68" s="20" t="str">
        <f>+$G$4</f>
        <v>Mnt</v>
      </c>
      <c r="H68" s="20" t="str">
        <f>+G68</f>
        <v>Mnt</v>
      </c>
      <c r="I68" s="20" t="str">
        <f t="shared" si="18"/>
        <v>Mnt</v>
      </c>
      <c r="J68" s="20" t="str">
        <f t="shared" si="18"/>
        <v>Mnt</v>
      </c>
      <c r="K68" s="20" t="str">
        <f t="shared" si="18"/>
        <v>Mnt</v>
      </c>
      <c r="L68" s="20" t="str">
        <f t="shared" si="18"/>
        <v>Mnt</v>
      </c>
      <c r="M68" s="20" t="str">
        <f t="shared" si="18"/>
        <v>Mnt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1</v>
      </c>
      <c r="H69" s="25">
        <f>+$H$5</f>
        <v>8</v>
      </c>
      <c r="I69" s="25">
        <f>+$I$5</f>
        <v>15</v>
      </c>
      <c r="J69" s="25">
        <f>+$J$5</f>
        <v>22</v>
      </c>
      <c r="K69" s="25">
        <f>+$K$5</f>
        <v>29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104</v>
      </c>
      <c r="H71" s="31">
        <f t="shared" ref="H71:L71" si="19">SUM(H72:H75)</f>
        <v>197</v>
      </c>
      <c r="I71" s="31">
        <f t="shared" si="19"/>
        <v>98</v>
      </c>
      <c r="J71" s="31">
        <f t="shared" si="19"/>
        <v>105</v>
      </c>
      <c r="K71" s="31">
        <f t="shared" si="19"/>
        <v>64</v>
      </c>
      <c r="L71" s="31">
        <f t="shared" si="19"/>
        <v>568</v>
      </c>
      <c r="M71" s="31">
        <f>ROUND((L71/$E$1),0)</f>
        <v>114</v>
      </c>
      <c r="N71" s="32"/>
      <c r="O71" s="3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1</v>
      </c>
      <c r="H72" s="42">
        <v>4</v>
      </c>
      <c r="I72" s="42">
        <v>2</v>
      </c>
      <c r="J72" s="42">
        <v>2</v>
      </c>
      <c r="K72" s="42">
        <v>7</v>
      </c>
      <c r="L72" s="35">
        <f>SUM(G72:K72)</f>
        <v>16</v>
      </c>
      <c r="M72" s="35">
        <f t="shared" ref="M72:M80" si="20">ROUND((L72/$E$1),0)</f>
        <v>3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13</v>
      </c>
      <c r="H73" s="42">
        <v>30</v>
      </c>
      <c r="I73" s="42">
        <v>14</v>
      </c>
      <c r="J73" s="42">
        <v>13</v>
      </c>
      <c r="K73" s="42">
        <v>17</v>
      </c>
      <c r="L73" s="35">
        <f t="shared" ref="L73:L80" si="21">SUM(G73:K73)</f>
        <v>87</v>
      </c>
      <c r="M73" s="35">
        <f t="shared" si="20"/>
        <v>17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13</v>
      </c>
      <c r="H74" s="42">
        <v>25</v>
      </c>
      <c r="I74" s="42">
        <v>9</v>
      </c>
      <c r="J74" s="42">
        <v>14</v>
      </c>
      <c r="K74" s="42">
        <v>16</v>
      </c>
      <c r="L74" s="35">
        <f t="shared" si="21"/>
        <v>77</v>
      </c>
      <c r="M74" s="35">
        <f t="shared" si="20"/>
        <v>15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77</v>
      </c>
      <c r="H75" s="43">
        <v>138</v>
      </c>
      <c r="I75" s="43">
        <v>73</v>
      </c>
      <c r="J75" s="43">
        <v>76</v>
      </c>
      <c r="K75" s="43">
        <v>24</v>
      </c>
      <c r="L75" s="31">
        <f t="shared" si="21"/>
        <v>388</v>
      </c>
      <c r="M75" s="31">
        <f t="shared" si="20"/>
        <v>78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/>
      <c r="H76" s="42"/>
      <c r="I76" s="42"/>
      <c r="J76" s="42"/>
      <c r="K76" s="42"/>
      <c r="L76" s="35">
        <f t="shared" si="21"/>
        <v>0</v>
      </c>
      <c r="M76" s="35">
        <f t="shared" si="20"/>
        <v>0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>
        <v>2</v>
      </c>
      <c r="H78" s="42">
        <v>4</v>
      </c>
      <c r="I78" s="42"/>
      <c r="J78" s="42">
        <v>1</v>
      </c>
      <c r="K78" s="42">
        <v>2</v>
      </c>
      <c r="L78" s="35">
        <f t="shared" si="21"/>
        <v>9</v>
      </c>
      <c r="M78" s="35">
        <f t="shared" si="20"/>
        <v>2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>
        <v>120</v>
      </c>
      <c r="H79" s="42">
        <v>82</v>
      </c>
      <c r="I79" s="42">
        <v>6</v>
      </c>
      <c r="J79" s="42"/>
      <c r="K79" s="42"/>
      <c r="L79" s="35">
        <f t="shared" si="21"/>
        <v>208</v>
      </c>
      <c r="M79" s="35">
        <f t="shared" si="20"/>
        <v>42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 t="str">
        <f>+$G$3</f>
        <v>Year</v>
      </c>
      <c r="H83" s="10" t="str">
        <f>+G83</f>
        <v>Year</v>
      </c>
      <c r="I83" s="10" t="str">
        <f t="shared" ref="I83:M84" si="22">+H83</f>
        <v>Year</v>
      </c>
      <c r="J83" s="10" t="str">
        <f t="shared" si="22"/>
        <v>Year</v>
      </c>
      <c r="K83" s="10" t="str">
        <f t="shared" si="22"/>
        <v>Year</v>
      </c>
      <c r="L83" s="10" t="str">
        <f t="shared" si="22"/>
        <v>Year</v>
      </c>
      <c r="M83" s="10" t="str">
        <f t="shared" si="22"/>
        <v>Year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December 2024</v>
      </c>
      <c r="D84" s="18"/>
      <c r="E84" s="18"/>
      <c r="F84" s="18"/>
      <c r="G84" s="20" t="str">
        <f>+$G$4</f>
        <v>Mnt</v>
      </c>
      <c r="H84" s="20" t="str">
        <f>+G84</f>
        <v>Mnt</v>
      </c>
      <c r="I84" s="20" t="str">
        <f t="shared" si="22"/>
        <v>Mnt</v>
      </c>
      <c r="J84" s="20" t="str">
        <f t="shared" si="22"/>
        <v>Mnt</v>
      </c>
      <c r="K84" s="20" t="str">
        <f t="shared" si="22"/>
        <v>Mnt</v>
      </c>
      <c r="L84" s="20" t="str">
        <f t="shared" si="22"/>
        <v>Mnt</v>
      </c>
      <c r="M84" s="20" t="str">
        <f t="shared" si="22"/>
        <v>Mnt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1</v>
      </c>
      <c r="H85" s="25">
        <f>+$H$5</f>
        <v>8</v>
      </c>
      <c r="I85" s="25">
        <f>+$I$5</f>
        <v>15</v>
      </c>
      <c r="J85" s="25">
        <f>+$J$5</f>
        <v>22</v>
      </c>
      <c r="K85" s="25">
        <f>+$K$5</f>
        <v>29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3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 t="str">
        <f>+$G$3</f>
        <v>Year</v>
      </c>
      <c r="H99" s="10" t="str">
        <f>+G99</f>
        <v>Year</v>
      </c>
      <c r="I99" s="10" t="str">
        <f t="shared" ref="I99:M100" si="26">+H99</f>
        <v>Year</v>
      </c>
      <c r="J99" s="10" t="str">
        <f t="shared" si="26"/>
        <v>Year</v>
      </c>
      <c r="K99" s="10" t="str">
        <f t="shared" si="26"/>
        <v>Year</v>
      </c>
      <c r="L99" s="10" t="str">
        <f t="shared" si="26"/>
        <v>Year</v>
      </c>
      <c r="M99" s="10" t="str">
        <f t="shared" si="26"/>
        <v>Year</v>
      </c>
      <c r="N99" s="11"/>
      <c r="O99" s="44"/>
      <c r="P99" s="44"/>
      <c r="Q99" s="44"/>
      <c r="S99" s="12" t="str">
        <f>+C99</f>
        <v>Ngwempisi</v>
      </c>
      <c r="T99" s="13">
        <f>+L103</f>
        <v>328</v>
      </c>
      <c r="U99" s="13">
        <f>+L104+L105</f>
        <v>117</v>
      </c>
      <c r="V99" s="13">
        <f>+L106+L107</f>
        <v>211</v>
      </c>
      <c r="W99" s="13">
        <f>+L110</f>
        <v>4</v>
      </c>
      <c r="X99" s="13">
        <f>+L108</f>
        <v>0</v>
      </c>
    </row>
    <row r="100" spans="1:24" x14ac:dyDescent="0.25">
      <c r="A100" s="14"/>
      <c r="B100" s="15"/>
      <c r="C100" s="41" t="str">
        <f>+$C84</f>
        <v>December 2024</v>
      </c>
      <c r="D100" s="18"/>
      <c r="E100" s="18"/>
      <c r="F100" s="18"/>
      <c r="G100" s="20" t="str">
        <f>+$G$4</f>
        <v>Mnt</v>
      </c>
      <c r="H100" s="20" t="str">
        <f>+G100</f>
        <v>Mnt</v>
      </c>
      <c r="I100" s="20" t="str">
        <f t="shared" si="26"/>
        <v>Mnt</v>
      </c>
      <c r="J100" s="20" t="str">
        <f t="shared" si="26"/>
        <v>Mnt</v>
      </c>
      <c r="K100" s="20" t="str">
        <f t="shared" si="26"/>
        <v>Mnt</v>
      </c>
      <c r="L100" s="20" t="str">
        <f t="shared" si="26"/>
        <v>Mnt</v>
      </c>
      <c r="M100" s="20" t="str">
        <f t="shared" si="26"/>
        <v>Mnt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1</v>
      </c>
      <c r="H101" s="25">
        <f>+$H$5</f>
        <v>8</v>
      </c>
      <c r="I101" s="25">
        <f>+$I$5</f>
        <v>15</v>
      </c>
      <c r="J101" s="25">
        <f>+$J$5</f>
        <v>22</v>
      </c>
      <c r="K101" s="25">
        <f>+$K$5</f>
        <v>29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84</v>
      </c>
      <c r="H103" s="31">
        <f t="shared" ref="H103:L103" si="27">SUM(H104:H107)</f>
        <v>91</v>
      </c>
      <c r="I103" s="31">
        <f t="shared" si="27"/>
        <v>80</v>
      </c>
      <c r="J103" s="31">
        <f t="shared" si="27"/>
        <v>0</v>
      </c>
      <c r="K103" s="31">
        <f t="shared" si="27"/>
        <v>73</v>
      </c>
      <c r="L103" s="31">
        <f t="shared" si="27"/>
        <v>328</v>
      </c>
      <c r="M103" s="31">
        <f>ROUND((L103/$E$1),0)</f>
        <v>66</v>
      </c>
      <c r="N103" s="32"/>
      <c r="O103" s="3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4</v>
      </c>
      <c r="H104" s="42">
        <v>5</v>
      </c>
      <c r="I104" s="42">
        <v>5</v>
      </c>
      <c r="J104" s="42"/>
      <c r="K104" s="42">
        <v>5</v>
      </c>
      <c r="L104" s="35">
        <f>SUM(G104:K104)</f>
        <v>19</v>
      </c>
      <c r="M104" s="35">
        <f t="shared" ref="M104:M112" si="28">ROUND((L104/$E$1),0)</f>
        <v>4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25</v>
      </c>
      <c r="H105" s="42">
        <v>27</v>
      </c>
      <c r="I105" s="42">
        <v>23</v>
      </c>
      <c r="J105" s="42"/>
      <c r="K105" s="42">
        <v>23</v>
      </c>
      <c r="L105" s="35">
        <f t="shared" ref="L105:L112" si="29">SUM(G105:K105)</f>
        <v>98</v>
      </c>
      <c r="M105" s="35">
        <f t="shared" si="28"/>
        <v>20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18</v>
      </c>
      <c r="H106" s="42">
        <v>21</v>
      </c>
      <c r="I106" s="42">
        <v>18</v>
      </c>
      <c r="J106" s="42"/>
      <c r="K106" s="42">
        <v>16</v>
      </c>
      <c r="L106" s="35">
        <f t="shared" si="29"/>
        <v>73</v>
      </c>
      <c r="M106" s="35">
        <f t="shared" si="28"/>
        <v>15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37</v>
      </c>
      <c r="H107" s="43">
        <v>38</v>
      </c>
      <c r="I107" s="43">
        <v>34</v>
      </c>
      <c r="J107" s="43"/>
      <c r="K107" s="43">
        <v>29</v>
      </c>
      <c r="L107" s="31">
        <f t="shared" si="29"/>
        <v>138</v>
      </c>
      <c r="M107" s="31">
        <f t="shared" si="28"/>
        <v>28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/>
      <c r="H110" s="42"/>
      <c r="I110" s="42"/>
      <c r="J110" s="42"/>
      <c r="K110" s="42">
        <v>4</v>
      </c>
      <c r="L110" s="35">
        <f t="shared" si="29"/>
        <v>4</v>
      </c>
      <c r="M110" s="35">
        <f t="shared" si="28"/>
        <v>1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 t="str">
        <f>+$G$3</f>
        <v>Year</v>
      </c>
      <c r="H115" s="10" t="str">
        <f>+G115</f>
        <v>Year</v>
      </c>
      <c r="I115" s="10" t="str">
        <f t="shared" ref="I115:M116" si="30">+H115</f>
        <v>Year</v>
      </c>
      <c r="J115" s="10" t="str">
        <f t="shared" si="30"/>
        <v>Year</v>
      </c>
      <c r="K115" s="10" t="str">
        <f t="shared" si="30"/>
        <v>Year</v>
      </c>
      <c r="L115" s="10" t="str">
        <f t="shared" si="30"/>
        <v>Year</v>
      </c>
      <c r="M115" s="10" t="str">
        <f t="shared" si="30"/>
        <v>Year</v>
      </c>
      <c r="N115" s="11"/>
      <c r="O115" s="44"/>
      <c r="P115" s="44"/>
      <c r="Q115" s="44"/>
      <c r="S115" s="12" t="str">
        <f>+C115</f>
        <v>Gebeni</v>
      </c>
      <c r="T115" s="13">
        <f>+L119</f>
        <v>335</v>
      </c>
      <c r="U115" s="13">
        <f>+L120+L121</f>
        <v>83</v>
      </c>
      <c r="V115" s="13">
        <f>+L122+L123</f>
        <v>252</v>
      </c>
      <c r="W115" s="13">
        <f>+L126</f>
        <v>23</v>
      </c>
      <c r="X115" s="13">
        <f>+L124</f>
        <v>1</v>
      </c>
    </row>
    <row r="116" spans="1:24" x14ac:dyDescent="0.25">
      <c r="A116" s="14"/>
      <c r="B116" s="15"/>
      <c r="C116" s="41" t="str">
        <f>+$C100</f>
        <v>December 2024</v>
      </c>
      <c r="D116" s="18"/>
      <c r="E116" s="18"/>
      <c r="F116" s="18"/>
      <c r="G116" s="20" t="str">
        <f>+$G$4</f>
        <v>Mnt</v>
      </c>
      <c r="H116" s="20" t="str">
        <f>+G116</f>
        <v>Mnt</v>
      </c>
      <c r="I116" s="20" t="str">
        <f t="shared" si="30"/>
        <v>Mnt</v>
      </c>
      <c r="J116" s="20" t="str">
        <f t="shared" si="30"/>
        <v>Mnt</v>
      </c>
      <c r="K116" s="20" t="str">
        <f t="shared" si="30"/>
        <v>Mnt</v>
      </c>
      <c r="L116" s="20" t="str">
        <f t="shared" si="30"/>
        <v>Mnt</v>
      </c>
      <c r="M116" s="20" t="str">
        <f t="shared" si="30"/>
        <v>Mnt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1</v>
      </c>
      <c r="H117" s="25">
        <f>+$H$5</f>
        <v>8</v>
      </c>
      <c r="I117" s="25">
        <f>+$I$5</f>
        <v>15</v>
      </c>
      <c r="J117" s="25">
        <f>+$J$5</f>
        <v>22</v>
      </c>
      <c r="K117" s="25">
        <f>+$K$5</f>
        <v>29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68</v>
      </c>
      <c r="H119" s="31">
        <f t="shared" ref="H119:L119" si="31">SUM(H120:H123)</f>
        <v>66</v>
      </c>
      <c r="I119" s="31">
        <f t="shared" si="31"/>
        <v>60</v>
      </c>
      <c r="J119" s="31">
        <f t="shared" si="31"/>
        <v>93</v>
      </c>
      <c r="K119" s="31">
        <f t="shared" si="31"/>
        <v>48</v>
      </c>
      <c r="L119" s="31">
        <f t="shared" si="31"/>
        <v>335</v>
      </c>
      <c r="M119" s="31">
        <f>ROUND((L119/$E$1),0)</f>
        <v>67</v>
      </c>
      <c r="N119" s="32"/>
      <c r="O119" s="3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2</v>
      </c>
      <c r="H120" s="42">
        <v>3</v>
      </c>
      <c r="I120" s="42">
        <v>3</v>
      </c>
      <c r="J120" s="42">
        <v>5</v>
      </c>
      <c r="K120" s="42">
        <v>4</v>
      </c>
      <c r="L120" s="35">
        <f>SUM(G120:K120)</f>
        <v>17</v>
      </c>
      <c r="M120" s="35">
        <f t="shared" ref="M120:M128" si="32">ROUND((L120/$E$1),0)</f>
        <v>3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17</v>
      </c>
      <c r="H121" s="42">
        <v>12</v>
      </c>
      <c r="I121" s="42">
        <v>13</v>
      </c>
      <c r="J121" s="42">
        <v>18</v>
      </c>
      <c r="K121" s="42">
        <v>6</v>
      </c>
      <c r="L121" s="35">
        <f t="shared" ref="L121:L128" si="33">SUM(G121:K121)</f>
        <v>66</v>
      </c>
      <c r="M121" s="35">
        <f t="shared" si="32"/>
        <v>13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19</v>
      </c>
      <c r="H122" s="42">
        <v>21</v>
      </c>
      <c r="I122" s="42">
        <v>12</v>
      </c>
      <c r="J122" s="42">
        <v>22</v>
      </c>
      <c r="K122" s="42">
        <v>17</v>
      </c>
      <c r="L122" s="35">
        <f t="shared" si="33"/>
        <v>91</v>
      </c>
      <c r="M122" s="35">
        <f t="shared" si="32"/>
        <v>18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30</v>
      </c>
      <c r="H123" s="43">
        <v>30</v>
      </c>
      <c r="I123" s="43">
        <v>32</v>
      </c>
      <c r="J123" s="43">
        <v>48</v>
      </c>
      <c r="K123" s="43">
        <v>21</v>
      </c>
      <c r="L123" s="31">
        <f t="shared" si="33"/>
        <v>161</v>
      </c>
      <c r="M123" s="31">
        <f t="shared" si="32"/>
        <v>32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/>
      <c r="H124" s="42"/>
      <c r="I124" s="42"/>
      <c r="J124" s="42">
        <v>1</v>
      </c>
      <c r="K124" s="42"/>
      <c r="L124" s="35">
        <f t="shared" si="33"/>
        <v>1</v>
      </c>
      <c r="M124" s="35">
        <f t="shared" si="32"/>
        <v>0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12</v>
      </c>
      <c r="H126" s="42"/>
      <c r="I126" s="42"/>
      <c r="J126" s="42">
        <v>11</v>
      </c>
      <c r="K126" s="42"/>
      <c r="L126" s="35">
        <f t="shared" si="33"/>
        <v>23</v>
      </c>
      <c r="M126" s="35">
        <f t="shared" si="32"/>
        <v>5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/>
      <c r="H127" s="42"/>
      <c r="I127" s="42"/>
      <c r="J127" s="42"/>
      <c r="K127" s="42"/>
      <c r="L127" s="35">
        <f t="shared" si="33"/>
        <v>0</v>
      </c>
      <c r="M127" s="35">
        <f t="shared" si="32"/>
        <v>0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 t="str">
        <f>+$G$3</f>
        <v>Year</v>
      </c>
      <c r="H131" s="10" t="str">
        <f>+G131</f>
        <v>Year</v>
      </c>
      <c r="I131" s="10" t="str">
        <f t="shared" ref="I131:M132" si="34">+H131</f>
        <v>Year</v>
      </c>
      <c r="J131" s="10" t="str">
        <f t="shared" si="34"/>
        <v>Year</v>
      </c>
      <c r="K131" s="10" t="str">
        <f t="shared" si="34"/>
        <v>Year</v>
      </c>
      <c r="L131" s="10" t="str">
        <f t="shared" si="34"/>
        <v>Year</v>
      </c>
      <c r="M131" s="10" t="str">
        <f t="shared" si="34"/>
        <v>Year</v>
      </c>
      <c r="N131" s="11"/>
      <c r="O131" s="44"/>
      <c r="P131" s="44"/>
      <c r="Q131" s="44"/>
      <c r="S131" s="12" t="str">
        <f>+C131</f>
        <v>Mpolonjeni CLC</v>
      </c>
      <c r="T131" s="13">
        <f>+L135</f>
        <v>229</v>
      </c>
      <c r="U131" s="13">
        <f>+L136+L137</f>
        <v>78</v>
      </c>
      <c r="V131" s="13">
        <f>+L138+L139</f>
        <v>151</v>
      </c>
      <c r="W131" s="13">
        <f>+L142</f>
        <v>0</v>
      </c>
      <c r="X131" s="13">
        <f>+L140</f>
        <v>0</v>
      </c>
    </row>
    <row r="132" spans="1:24" x14ac:dyDescent="0.25">
      <c r="A132" s="14"/>
      <c r="B132" s="15"/>
      <c r="C132" s="41" t="str">
        <f>+$C116</f>
        <v>December 2024</v>
      </c>
      <c r="D132" s="18"/>
      <c r="E132" s="18"/>
      <c r="F132" s="18"/>
      <c r="G132" s="20" t="str">
        <f>+$G$4</f>
        <v>Mnt</v>
      </c>
      <c r="H132" s="20" t="str">
        <f>+G132</f>
        <v>Mnt</v>
      </c>
      <c r="I132" s="20" t="str">
        <f t="shared" si="34"/>
        <v>Mnt</v>
      </c>
      <c r="J132" s="20" t="str">
        <f t="shared" si="34"/>
        <v>Mnt</v>
      </c>
      <c r="K132" s="20" t="str">
        <f t="shared" si="34"/>
        <v>Mnt</v>
      </c>
      <c r="L132" s="20" t="str">
        <f t="shared" si="34"/>
        <v>Mnt</v>
      </c>
      <c r="M132" s="20" t="str">
        <f t="shared" si="34"/>
        <v>Mnt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1</v>
      </c>
      <c r="H133" s="25">
        <f>+$H$5</f>
        <v>8</v>
      </c>
      <c r="I133" s="25">
        <f>+$I$5</f>
        <v>15</v>
      </c>
      <c r="J133" s="25">
        <f>+$J$5</f>
        <v>22</v>
      </c>
      <c r="K133" s="25">
        <f>+$K$5</f>
        <v>29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62</v>
      </c>
      <c r="H135" s="31">
        <f t="shared" ref="H135:L135" si="35">SUM(H136:H139)</f>
        <v>64</v>
      </c>
      <c r="I135" s="31">
        <f t="shared" si="35"/>
        <v>60</v>
      </c>
      <c r="J135" s="31">
        <f t="shared" si="35"/>
        <v>0</v>
      </c>
      <c r="K135" s="31">
        <f t="shared" si="35"/>
        <v>43</v>
      </c>
      <c r="L135" s="31">
        <f t="shared" si="35"/>
        <v>229</v>
      </c>
      <c r="M135" s="31">
        <f>ROUND((L135/$E$1),0)</f>
        <v>46</v>
      </c>
      <c r="N135" s="32"/>
      <c r="O135" s="3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5</v>
      </c>
      <c r="H136" s="42">
        <v>5</v>
      </c>
      <c r="I136" s="42">
        <v>5</v>
      </c>
      <c r="J136" s="42"/>
      <c r="K136" s="42">
        <v>3</v>
      </c>
      <c r="L136" s="35">
        <f>SUM(G136:K136)</f>
        <v>18</v>
      </c>
      <c r="M136" s="35">
        <f t="shared" ref="M136:M144" si="36">ROUND((L136/$E$1),0)</f>
        <v>4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16</v>
      </c>
      <c r="H137" s="42">
        <v>16</v>
      </c>
      <c r="I137" s="42">
        <v>16</v>
      </c>
      <c r="J137" s="42"/>
      <c r="K137" s="42">
        <v>12</v>
      </c>
      <c r="L137" s="35">
        <f t="shared" ref="L137:L144" si="37">SUM(G137:K137)</f>
        <v>60</v>
      </c>
      <c r="M137" s="35">
        <f t="shared" si="36"/>
        <v>12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11</v>
      </c>
      <c r="H138" s="42">
        <v>11</v>
      </c>
      <c r="I138" s="42">
        <v>11</v>
      </c>
      <c r="J138" s="42"/>
      <c r="K138" s="42">
        <v>9</v>
      </c>
      <c r="L138" s="35">
        <f t="shared" si="37"/>
        <v>42</v>
      </c>
      <c r="M138" s="35">
        <f t="shared" si="36"/>
        <v>8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30</v>
      </c>
      <c r="H139" s="43">
        <v>32</v>
      </c>
      <c r="I139" s="43">
        <v>28</v>
      </c>
      <c r="J139" s="43"/>
      <c r="K139" s="43">
        <v>19</v>
      </c>
      <c r="L139" s="31">
        <f t="shared" si="37"/>
        <v>109</v>
      </c>
      <c r="M139" s="31">
        <f t="shared" si="36"/>
        <v>22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/>
      <c r="I142" s="42"/>
      <c r="J142" s="42"/>
      <c r="K142" s="42"/>
      <c r="L142" s="35">
        <f t="shared" si="37"/>
        <v>0</v>
      </c>
      <c r="M142" s="35">
        <f t="shared" si="36"/>
        <v>0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>
        <v>96</v>
      </c>
      <c r="H143" s="42">
        <v>54</v>
      </c>
      <c r="I143" s="42">
        <v>64</v>
      </c>
      <c r="J143" s="42"/>
      <c r="K143" s="42">
        <v>50</v>
      </c>
      <c r="L143" s="35">
        <f t="shared" si="37"/>
        <v>264</v>
      </c>
      <c r="M143" s="35">
        <f t="shared" si="36"/>
        <v>53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 t="str">
        <f>+$G$3</f>
        <v>Year</v>
      </c>
      <c r="H147" s="10" t="str">
        <f>+G147</f>
        <v>Year</v>
      </c>
      <c r="I147" s="10" t="str">
        <f t="shared" ref="I147:M148" si="38">+H147</f>
        <v>Year</v>
      </c>
      <c r="J147" s="10" t="str">
        <f t="shared" si="38"/>
        <v>Year</v>
      </c>
      <c r="K147" s="10" t="str">
        <f t="shared" si="38"/>
        <v>Year</v>
      </c>
      <c r="L147" s="10" t="str">
        <f t="shared" si="38"/>
        <v>Year</v>
      </c>
      <c r="M147" s="10" t="str">
        <f t="shared" si="38"/>
        <v>Year</v>
      </c>
      <c r="N147" s="11"/>
      <c r="O147" s="44"/>
      <c r="P147" s="44"/>
      <c r="Q147" s="44"/>
      <c r="S147" s="12" t="str">
        <f>+C147</f>
        <v>Msahweni CLC</v>
      </c>
      <c r="T147" s="13">
        <f>+L151</f>
        <v>466</v>
      </c>
      <c r="U147" s="13">
        <f>+L152+L153</f>
        <v>175</v>
      </c>
      <c r="V147" s="13">
        <f>+L154+L155</f>
        <v>291</v>
      </c>
      <c r="W147" s="13">
        <f>+L158</f>
        <v>13</v>
      </c>
      <c r="X147" s="13">
        <f>+L156</f>
        <v>36</v>
      </c>
    </row>
    <row r="148" spans="1:24" x14ac:dyDescent="0.25">
      <c r="A148" s="14"/>
      <c r="B148" s="15"/>
      <c r="C148" s="41" t="str">
        <f>+$C132</f>
        <v>December 2024</v>
      </c>
      <c r="D148" s="18"/>
      <c r="E148" s="18"/>
      <c r="F148" s="18"/>
      <c r="G148" s="20" t="str">
        <f>+$G$4</f>
        <v>Mnt</v>
      </c>
      <c r="H148" s="20" t="str">
        <f>+G148</f>
        <v>Mnt</v>
      </c>
      <c r="I148" s="20" t="str">
        <f t="shared" si="38"/>
        <v>Mnt</v>
      </c>
      <c r="J148" s="20" t="str">
        <f t="shared" si="38"/>
        <v>Mnt</v>
      </c>
      <c r="K148" s="20" t="str">
        <f t="shared" si="38"/>
        <v>Mnt</v>
      </c>
      <c r="L148" s="20" t="str">
        <f t="shared" si="38"/>
        <v>Mnt</v>
      </c>
      <c r="M148" s="20" t="str">
        <f t="shared" si="38"/>
        <v>Mnt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1</v>
      </c>
      <c r="H149" s="25">
        <f>+$H$5</f>
        <v>8</v>
      </c>
      <c r="I149" s="25">
        <f>+$I$5</f>
        <v>15</v>
      </c>
      <c r="J149" s="25">
        <f>+$J$5</f>
        <v>22</v>
      </c>
      <c r="K149" s="25">
        <f>+$K$5</f>
        <v>29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112</v>
      </c>
      <c r="H151" s="31">
        <f t="shared" ref="H151:L151" si="39">SUM(H152:H155)</f>
        <v>96</v>
      </c>
      <c r="I151" s="31">
        <f t="shared" si="39"/>
        <v>98</v>
      </c>
      <c r="J151" s="31">
        <f t="shared" si="39"/>
        <v>0</v>
      </c>
      <c r="K151" s="31">
        <f t="shared" si="39"/>
        <v>160</v>
      </c>
      <c r="L151" s="31">
        <f t="shared" si="39"/>
        <v>466</v>
      </c>
      <c r="M151" s="31">
        <f>ROUND((L151/$E$1),0)</f>
        <v>93</v>
      </c>
      <c r="N151" s="32"/>
      <c r="O151" s="3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6</v>
      </c>
      <c r="H152" s="42">
        <v>9</v>
      </c>
      <c r="I152" s="42">
        <v>8</v>
      </c>
      <c r="J152" s="42"/>
      <c r="K152" s="42">
        <v>15</v>
      </c>
      <c r="L152" s="35">
        <f>SUM(G152:K152)</f>
        <v>38</v>
      </c>
      <c r="M152" s="35">
        <f t="shared" ref="M152:M160" si="40">ROUND((L152/$E$1),0)</f>
        <v>8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31</v>
      </c>
      <c r="H153" s="42">
        <v>29</v>
      </c>
      <c r="I153" s="42">
        <v>31</v>
      </c>
      <c r="J153" s="42"/>
      <c r="K153" s="42">
        <v>46</v>
      </c>
      <c r="L153" s="35">
        <f t="shared" ref="L153:L160" si="41">SUM(G153:K153)</f>
        <v>137</v>
      </c>
      <c r="M153" s="35">
        <f t="shared" si="40"/>
        <v>27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39</v>
      </c>
      <c r="H154" s="42">
        <v>18</v>
      </c>
      <c r="I154" s="42">
        <v>21</v>
      </c>
      <c r="J154" s="42"/>
      <c r="K154" s="42">
        <v>52</v>
      </c>
      <c r="L154" s="35">
        <f t="shared" si="41"/>
        <v>130</v>
      </c>
      <c r="M154" s="35">
        <f t="shared" si="40"/>
        <v>26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36</v>
      </c>
      <c r="H155" s="43">
        <v>40</v>
      </c>
      <c r="I155" s="43">
        <v>38</v>
      </c>
      <c r="J155" s="43"/>
      <c r="K155" s="43">
        <v>47</v>
      </c>
      <c r="L155" s="31">
        <f t="shared" si="41"/>
        <v>161</v>
      </c>
      <c r="M155" s="31">
        <f t="shared" si="40"/>
        <v>32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>
        <v>2</v>
      </c>
      <c r="I156" s="42"/>
      <c r="J156" s="42"/>
      <c r="K156" s="42">
        <v>34</v>
      </c>
      <c r="L156" s="35">
        <f t="shared" si="41"/>
        <v>36</v>
      </c>
      <c r="M156" s="35">
        <f t="shared" si="40"/>
        <v>7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>
        <v>6</v>
      </c>
      <c r="H158" s="42">
        <v>3</v>
      </c>
      <c r="I158" s="42">
        <v>2</v>
      </c>
      <c r="J158" s="42"/>
      <c r="K158" s="42">
        <v>2</v>
      </c>
      <c r="L158" s="35">
        <f t="shared" si="41"/>
        <v>13</v>
      </c>
      <c r="M158" s="35">
        <f t="shared" si="40"/>
        <v>3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35</v>
      </c>
      <c r="H159" s="42">
        <v>18</v>
      </c>
      <c r="I159" s="42">
        <v>20</v>
      </c>
      <c r="J159" s="42"/>
      <c r="K159" s="42">
        <v>26</v>
      </c>
      <c r="L159" s="35">
        <f t="shared" si="41"/>
        <v>99</v>
      </c>
      <c r="M159" s="35">
        <f t="shared" si="40"/>
        <v>20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 t="str">
        <f>+$G$3</f>
        <v>Year</v>
      </c>
      <c r="H163" s="10" t="str">
        <f>+G163</f>
        <v>Year</v>
      </c>
      <c r="I163" s="10" t="str">
        <f t="shared" ref="I163:M164" si="42">+H163</f>
        <v>Year</v>
      </c>
      <c r="J163" s="10" t="str">
        <f t="shared" si="42"/>
        <v>Year</v>
      </c>
      <c r="K163" s="10" t="str">
        <f t="shared" si="42"/>
        <v>Year</v>
      </c>
      <c r="L163" s="10" t="str">
        <f t="shared" si="42"/>
        <v>Year</v>
      </c>
      <c r="M163" s="10" t="str">
        <f t="shared" si="42"/>
        <v>Year</v>
      </c>
      <c r="N163" s="11"/>
      <c r="O163" s="44"/>
      <c r="P163" s="44"/>
      <c r="Q163" s="44"/>
      <c r="S163" s="12" t="str">
        <f>+C163</f>
        <v>Mhlangatane</v>
      </c>
      <c r="T163" s="13">
        <f>+L167</f>
        <v>158</v>
      </c>
      <c r="U163" s="13">
        <f>+L168+L169</f>
        <v>43</v>
      </c>
      <c r="V163" s="13">
        <f>+L170+L171</f>
        <v>115</v>
      </c>
      <c r="W163" s="13">
        <f>+L174</f>
        <v>8</v>
      </c>
      <c r="X163" s="13">
        <f>+L172</f>
        <v>0</v>
      </c>
    </row>
    <row r="164" spans="1:24" x14ac:dyDescent="0.25">
      <c r="A164" s="14"/>
      <c r="B164" s="15"/>
      <c r="C164" s="41" t="str">
        <f>+$C148</f>
        <v>December 2024</v>
      </c>
      <c r="D164" s="18"/>
      <c r="E164" s="18"/>
      <c r="F164" s="18"/>
      <c r="G164" s="20" t="str">
        <f>+$G$4</f>
        <v>Mnt</v>
      </c>
      <c r="H164" s="20" t="str">
        <f>+G164</f>
        <v>Mnt</v>
      </c>
      <c r="I164" s="20" t="str">
        <f t="shared" si="42"/>
        <v>Mnt</v>
      </c>
      <c r="J164" s="20" t="str">
        <f t="shared" si="42"/>
        <v>Mnt</v>
      </c>
      <c r="K164" s="20" t="str">
        <f t="shared" si="42"/>
        <v>Mnt</v>
      </c>
      <c r="L164" s="20" t="str">
        <f t="shared" si="42"/>
        <v>Mnt</v>
      </c>
      <c r="M164" s="20" t="str">
        <f t="shared" si="42"/>
        <v>Mnt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1</v>
      </c>
      <c r="H165" s="25">
        <f>+$H$5</f>
        <v>8</v>
      </c>
      <c r="I165" s="25">
        <f>+$I$5</f>
        <v>15</v>
      </c>
      <c r="J165" s="25">
        <f>+$J$5</f>
        <v>22</v>
      </c>
      <c r="K165" s="25">
        <f>+$K$5</f>
        <v>29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33</v>
      </c>
      <c r="H167" s="31">
        <f t="shared" ref="H167:L167" si="43">SUM(H168:H171)</f>
        <v>40</v>
      </c>
      <c r="I167" s="31">
        <f t="shared" si="43"/>
        <v>35</v>
      </c>
      <c r="J167" s="31">
        <f t="shared" si="43"/>
        <v>20</v>
      </c>
      <c r="K167" s="31">
        <f t="shared" si="43"/>
        <v>30</v>
      </c>
      <c r="L167" s="31">
        <f t="shared" si="43"/>
        <v>158</v>
      </c>
      <c r="M167" s="31">
        <f>ROUND((L167/$E$1),0)</f>
        <v>32</v>
      </c>
      <c r="N167" s="32"/>
      <c r="O167" s="3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1</v>
      </c>
      <c r="H168" s="42">
        <v>1</v>
      </c>
      <c r="I168" s="42">
        <v>1</v>
      </c>
      <c r="J168" s="42">
        <v>3</v>
      </c>
      <c r="K168" s="42">
        <v>1</v>
      </c>
      <c r="L168" s="35">
        <f>SUM(G168:K168)</f>
        <v>7</v>
      </c>
      <c r="M168" s="35">
        <f t="shared" ref="M168:M176" si="44">ROUND((L168/$E$1),0)</f>
        <v>1</v>
      </c>
      <c r="N168" s="32"/>
      <c r="O168" s="3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6</v>
      </c>
      <c r="H169" s="42">
        <v>9</v>
      </c>
      <c r="I169" s="42">
        <v>10</v>
      </c>
      <c r="J169" s="42">
        <v>5</v>
      </c>
      <c r="K169" s="42">
        <v>6</v>
      </c>
      <c r="L169" s="35">
        <f t="shared" ref="L169:L176" si="45">SUM(G169:K169)</f>
        <v>36</v>
      </c>
      <c r="M169" s="35">
        <f t="shared" si="44"/>
        <v>7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6</v>
      </c>
      <c r="H170" s="42">
        <v>7</v>
      </c>
      <c r="I170" s="42">
        <v>7</v>
      </c>
      <c r="J170" s="42">
        <v>4</v>
      </c>
      <c r="K170" s="42">
        <v>8</v>
      </c>
      <c r="L170" s="35">
        <f t="shared" si="45"/>
        <v>32</v>
      </c>
      <c r="M170" s="35">
        <f t="shared" si="44"/>
        <v>6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20</v>
      </c>
      <c r="H171" s="43">
        <v>23</v>
      </c>
      <c r="I171" s="43">
        <v>17</v>
      </c>
      <c r="J171" s="43">
        <v>8</v>
      </c>
      <c r="K171" s="43">
        <v>15</v>
      </c>
      <c r="L171" s="31">
        <f t="shared" si="45"/>
        <v>83</v>
      </c>
      <c r="M171" s="31">
        <f t="shared" si="44"/>
        <v>17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3</v>
      </c>
      <c r="H174" s="42">
        <v>1</v>
      </c>
      <c r="I174" s="42">
        <v>1</v>
      </c>
      <c r="J174" s="42">
        <v>0</v>
      </c>
      <c r="K174" s="42">
        <v>3</v>
      </c>
      <c r="L174" s="35">
        <f t="shared" si="45"/>
        <v>8</v>
      </c>
      <c r="M174" s="35">
        <f t="shared" si="44"/>
        <v>2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36</v>
      </c>
      <c r="H175" s="42">
        <v>70</v>
      </c>
      <c r="I175" s="42">
        <v>144</v>
      </c>
      <c r="J175" s="42">
        <v>120</v>
      </c>
      <c r="K175" s="42">
        <v>82</v>
      </c>
      <c r="L175" s="35">
        <f t="shared" si="45"/>
        <v>452</v>
      </c>
      <c r="M175" s="35">
        <f t="shared" si="44"/>
        <v>90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 t="str">
        <f>+$G$3</f>
        <v>Year</v>
      </c>
      <c r="H179" s="10" t="str">
        <f>+G179</f>
        <v>Year</v>
      </c>
      <c r="I179" s="10" t="str">
        <f t="shared" ref="I179:M180" si="46">+H179</f>
        <v>Year</v>
      </c>
      <c r="J179" s="10" t="str">
        <f t="shared" si="46"/>
        <v>Year</v>
      </c>
      <c r="K179" s="10" t="str">
        <f t="shared" si="46"/>
        <v>Year</v>
      </c>
      <c r="L179" s="10" t="str">
        <f t="shared" si="46"/>
        <v>Year</v>
      </c>
      <c r="M179" s="10" t="str">
        <f t="shared" si="46"/>
        <v>Year</v>
      </c>
      <c r="N179" s="11"/>
      <c r="O179" s="44"/>
      <c r="P179" s="44"/>
      <c r="Q179" s="44"/>
      <c r="S179" s="12" t="str">
        <f>+C179</f>
        <v>Tibane</v>
      </c>
      <c r="T179" s="13">
        <f>+L183</f>
        <v>357</v>
      </c>
      <c r="U179" s="13">
        <f>+L184+L185</f>
        <v>75</v>
      </c>
      <c r="V179" s="13">
        <f>+L186+L187</f>
        <v>282</v>
      </c>
      <c r="W179" s="13">
        <f>+L190</f>
        <v>17</v>
      </c>
      <c r="X179" s="13">
        <f>+L188</f>
        <v>4</v>
      </c>
    </row>
    <row r="180" spans="1:24" x14ac:dyDescent="0.25">
      <c r="A180" s="14"/>
      <c r="B180" s="15"/>
      <c r="C180" s="41" t="str">
        <f>+$C164</f>
        <v>December 2024</v>
      </c>
      <c r="D180" s="18"/>
      <c r="E180" s="18"/>
      <c r="F180" s="18"/>
      <c r="G180" s="20" t="str">
        <f>+$G$4</f>
        <v>Mnt</v>
      </c>
      <c r="H180" s="20" t="str">
        <f>+G180</f>
        <v>Mnt</v>
      </c>
      <c r="I180" s="20" t="str">
        <f t="shared" si="46"/>
        <v>Mnt</v>
      </c>
      <c r="J180" s="20" t="str">
        <f t="shared" si="46"/>
        <v>Mnt</v>
      </c>
      <c r="K180" s="20" t="str">
        <f t="shared" si="46"/>
        <v>Mnt</v>
      </c>
      <c r="L180" s="20" t="str">
        <f t="shared" si="46"/>
        <v>Mnt</v>
      </c>
      <c r="M180" s="20" t="str">
        <f t="shared" si="46"/>
        <v>Mnt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1</v>
      </c>
      <c r="H181" s="25">
        <f>+$H$5</f>
        <v>8</v>
      </c>
      <c r="I181" s="25">
        <f>+$I$5</f>
        <v>15</v>
      </c>
      <c r="J181" s="25">
        <f>+$J$5</f>
        <v>22</v>
      </c>
      <c r="K181" s="25">
        <f>+$K$5</f>
        <v>29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67</v>
      </c>
      <c r="H183" s="31">
        <f t="shared" ref="H183:L183" si="47">SUM(H184:H187)</f>
        <v>73</v>
      </c>
      <c r="I183" s="31">
        <f t="shared" si="47"/>
        <v>75</v>
      </c>
      <c r="J183" s="31">
        <f t="shared" si="47"/>
        <v>72</v>
      </c>
      <c r="K183" s="31">
        <f t="shared" si="47"/>
        <v>70</v>
      </c>
      <c r="L183" s="31">
        <f t="shared" si="47"/>
        <v>357</v>
      </c>
      <c r="M183" s="31">
        <f>ROUND((L183/$E$1),0)</f>
        <v>71</v>
      </c>
      <c r="N183" s="32"/>
      <c r="O183" s="3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2</v>
      </c>
      <c r="H184" s="42">
        <v>2</v>
      </c>
      <c r="I184" s="42">
        <v>2</v>
      </c>
      <c r="J184" s="42">
        <v>1</v>
      </c>
      <c r="K184" s="42">
        <v>1</v>
      </c>
      <c r="L184" s="35">
        <f>SUM(G184:K184)</f>
        <v>8</v>
      </c>
      <c r="M184" s="35">
        <f t="shared" ref="M184:M192" si="48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11</v>
      </c>
      <c r="H185" s="42">
        <v>13</v>
      </c>
      <c r="I185" s="42">
        <v>14</v>
      </c>
      <c r="J185" s="42">
        <v>15</v>
      </c>
      <c r="K185" s="42">
        <v>14</v>
      </c>
      <c r="L185" s="35">
        <f t="shared" ref="L185:L192" si="49">SUM(G185:K185)</f>
        <v>67</v>
      </c>
      <c r="M185" s="35">
        <f t="shared" si="48"/>
        <v>13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16</v>
      </c>
      <c r="H186" s="42">
        <v>18</v>
      </c>
      <c r="I186" s="42">
        <v>18</v>
      </c>
      <c r="J186" s="42">
        <v>16</v>
      </c>
      <c r="K186" s="42">
        <v>15</v>
      </c>
      <c r="L186" s="35">
        <f t="shared" si="49"/>
        <v>83</v>
      </c>
      <c r="M186" s="35">
        <f t="shared" si="48"/>
        <v>17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38</v>
      </c>
      <c r="H187" s="43">
        <v>40</v>
      </c>
      <c r="I187" s="43">
        <v>41</v>
      </c>
      <c r="J187" s="43">
        <v>40</v>
      </c>
      <c r="K187" s="43">
        <v>40</v>
      </c>
      <c r="L187" s="31">
        <f t="shared" si="49"/>
        <v>199</v>
      </c>
      <c r="M187" s="31">
        <f t="shared" si="48"/>
        <v>40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>
        <v>2</v>
      </c>
      <c r="H188" s="42">
        <v>1</v>
      </c>
      <c r="I188" s="42"/>
      <c r="J188" s="42"/>
      <c r="K188" s="42">
        <v>1</v>
      </c>
      <c r="L188" s="35">
        <f t="shared" si="49"/>
        <v>4</v>
      </c>
      <c r="M188" s="35">
        <f t="shared" si="48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4</v>
      </c>
      <c r="H190" s="42">
        <v>3</v>
      </c>
      <c r="I190" s="42">
        <v>3</v>
      </c>
      <c r="J190" s="42">
        <v>4</v>
      </c>
      <c r="K190" s="42">
        <v>3</v>
      </c>
      <c r="L190" s="35">
        <f t="shared" si="49"/>
        <v>17</v>
      </c>
      <c r="M190" s="35">
        <f t="shared" si="48"/>
        <v>3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96</v>
      </c>
      <c r="H191" s="42">
        <v>96</v>
      </c>
      <c r="I191" s="42">
        <v>96</v>
      </c>
      <c r="J191" s="42">
        <v>128</v>
      </c>
      <c r="K191" s="42">
        <v>64</v>
      </c>
      <c r="L191" s="35">
        <f t="shared" si="49"/>
        <v>480</v>
      </c>
      <c r="M191" s="35">
        <f t="shared" si="48"/>
        <v>96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 t="str">
        <f>+$G$3</f>
        <v>Year</v>
      </c>
      <c r="H195" s="10" t="str">
        <f>+G195</f>
        <v>Year</v>
      </c>
      <c r="I195" s="10" t="str">
        <f t="shared" ref="I195:M196" si="50">+H195</f>
        <v>Year</v>
      </c>
      <c r="J195" s="10" t="str">
        <f t="shared" si="50"/>
        <v>Year</v>
      </c>
      <c r="K195" s="10" t="str">
        <f t="shared" si="50"/>
        <v>Year</v>
      </c>
      <c r="L195" s="10" t="str">
        <f t="shared" si="50"/>
        <v>Year</v>
      </c>
      <c r="M195" s="10" t="str">
        <f t="shared" si="50"/>
        <v>Year</v>
      </c>
      <c r="N195" s="11"/>
      <c r="O195" s="44"/>
      <c r="P195" s="44"/>
      <c r="Q195" s="44"/>
      <c r="S195" s="12" t="str">
        <f>+C195</f>
        <v>Nyathela</v>
      </c>
      <c r="T195" s="13">
        <f>+L199</f>
        <v>292</v>
      </c>
      <c r="U195" s="13">
        <f>+L200+L201</f>
        <v>56</v>
      </c>
      <c r="V195" s="13">
        <f>+L202+L203</f>
        <v>236</v>
      </c>
      <c r="W195" s="13">
        <f>+L206</f>
        <v>15</v>
      </c>
      <c r="X195" s="13">
        <f>+L204</f>
        <v>4</v>
      </c>
    </row>
    <row r="196" spans="1:24" x14ac:dyDescent="0.25">
      <c r="A196" s="14"/>
      <c r="B196" s="15"/>
      <c r="C196" s="41" t="str">
        <f>+$C180</f>
        <v>December 2024</v>
      </c>
      <c r="D196" s="18"/>
      <c r="E196" s="18"/>
      <c r="F196" s="18"/>
      <c r="G196" s="20" t="str">
        <f>+$G$4</f>
        <v>Mnt</v>
      </c>
      <c r="H196" s="20" t="str">
        <f>+G196</f>
        <v>Mnt</v>
      </c>
      <c r="I196" s="20" t="str">
        <f t="shared" si="50"/>
        <v>Mnt</v>
      </c>
      <c r="J196" s="20" t="str">
        <f t="shared" si="50"/>
        <v>Mnt</v>
      </c>
      <c r="K196" s="20" t="str">
        <f t="shared" si="50"/>
        <v>Mnt</v>
      </c>
      <c r="L196" s="20" t="str">
        <f t="shared" si="50"/>
        <v>Mnt</v>
      </c>
      <c r="M196" s="20" t="str">
        <f t="shared" si="50"/>
        <v>Mnt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1</v>
      </c>
      <c r="H197" s="25">
        <f>+$H$5</f>
        <v>8</v>
      </c>
      <c r="I197" s="25">
        <f>+$I$5</f>
        <v>15</v>
      </c>
      <c r="J197" s="25">
        <f>+$J$5</f>
        <v>22</v>
      </c>
      <c r="K197" s="25">
        <f>+$K$5</f>
        <v>29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62</v>
      </c>
      <c r="H199" s="31">
        <f t="shared" ref="H199:L199" si="51">SUM(H200:H203)</f>
        <v>51</v>
      </c>
      <c r="I199" s="31">
        <f t="shared" si="51"/>
        <v>59</v>
      </c>
      <c r="J199" s="31">
        <f t="shared" si="51"/>
        <v>60</v>
      </c>
      <c r="K199" s="31">
        <f t="shared" si="51"/>
        <v>60</v>
      </c>
      <c r="L199" s="31">
        <f t="shared" si="51"/>
        <v>292</v>
      </c>
      <c r="M199" s="31">
        <f>ROUND((L199/$E$1),0)</f>
        <v>58</v>
      </c>
      <c r="N199" s="32"/>
      <c r="O199" s="3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4</v>
      </c>
      <c r="H200" s="42">
        <v>3</v>
      </c>
      <c r="I200" s="42">
        <v>3</v>
      </c>
      <c r="J200" s="42">
        <v>3</v>
      </c>
      <c r="K200" s="42">
        <v>3</v>
      </c>
      <c r="L200" s="35">
        <f>SUM(G200:K200)</f>
        <v>16</v>
      </c>
      <c r="M200" s="35">
        <f t="shared" ref="M200:M208" si="52">ROUND((L200/$E$1),0)</f>
        <v>3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10</v>
      </c>
      <c r="H201" s="42">
        <v>6</v>
      </c>
      <c r="I201" s="42">
        <v>7</v>
      </c>
      <c r="J201" s="42">
        <v>8</v>
      </c>
      <c r="K201" s="42">
        <v>9</v>
      </c>
      <c r="L201" s="35">
        <f t="shared" ref="L201:L208" si="53">SUM(G201:K201)</f>
        <v>40</v>
      </c>
      <c r="M201" s="35">
        <f t="shared" si="52"/>
        <v>8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21</v>
      </c>
      <c r="H202" s="42">
        <v>22</v>
      </c>
      <c r="I202" s="42">
        <v>25</v>
      </c>
      <c r="J202" s="42">
        <v>27</v>
      </c>
      <c r="K202" s="42">
        <v>27</v>
      </c>
      <c r="L202" s="35">
        <f t="shared" si="53"/>
        <v>122</v>
      </c>
      <c r="M202" s="35">
        <f t="shared" si="52"/>
        <v>24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27</v>
      </c>
      <c r="H203" s="43">
        <v>20</v>
      </c>
      <c r="I203" s="43">
        <v>24</v>
      </c>
      <c r="J203" s="43">
        <v>22</v>
      </c>
      <c r="K203" s="43">
        <v>21</v>
      </c>
      <c r="L203" s="31">
        <f t="shared" si="53"/>
        <v>114</v>
      </c>
      <c r="M203" s="31">
        <f t="shared" si="52"/>
        <v>23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>
        <v>3</v>
      </c>
      <c r="J204" s="42"/>
      <c r="K204" s="42">
        <v>1</v>
      </c>
      <c r="L204" s="35">
        <f t="shared" si="53"/>
        <v>4</v>
      </c>
      <c r="M204" s="35">
        <f t="shared" si="52"/>
        <v>1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3</v>
      </c>
      <c r="H206" s="42">
        <v>3</v>
      </c>
      <c r="I206" s="42">
        <v>3</v>
      </c>
      <c r="J206" s="42">
        <v>4</v>
      </c>
      <c r="K206" s="42">
        <v>2</v>
      </c>
      <c r="L206" s="35">
        <f t="shared" si="53"/>
        <v>15</v>
      </c>
      <c r="M206" s="35">
        <f t="shared" si="52"/>
        <v>3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/>
      <c r="H207" s="42">
        <v>128</v>
      </c>
      <c r="I207" s="42">
        <v>128</v>
      </c>
      <c r="J207" s="42">
        <v>96</v>
      </c>
      <c r="K207" s="42">
        <v>64</v>
      </c>
      <c r="L207" s="35">
        <f t="shared" si="53"/>
        <v>416</v>
      </c>
      <c r="M207" s="35">
        <f t="shared" si="52"/>
        <v>83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 t="str">
        <f>+$G$3</f>
        <v>Year</v>
      </c>
      <c r="H211" s="10" t="str">
        <f>+G211</f>
        <v>Year</v>
      </c>
      <c r="I211" s="10" t="str">
        <f t="shared" ref="I211:M212" si="54">+H211</f>
        <v>Year</v>
      </c>
      <c r="J211" s="10" t="str">
        <f t="shared" si="54"/>
        <v>Year</v>
      </c>
      <c r="K211" s="10" t="str">
        <f t="shared" si="54"/>
        <v>Year</v>
      </c>
      <c r="L211" s="10" t="str">
        <f t="shared" si="54"/>
        <v>Year</v>
      </c>
      <c r="M211" s="10" t="str">
        <f t="shared" si="54"/>
        <v>Year</v>
      </c>
      <c r="N211" s="11"/>
      <c r="O211" s="44"/>
      <c r="P211" s="44"/>
      <c r="Q211" s="44"/>
      <c r="S211" s="12" t="str">
        <f>+C211</f>
        <v>Mlindazwe</v>
      </c>
      <c r="T211" s="13">
        <f>+L215</f>
        <v>283</v>
      </c>
      <c r="U211" s="13">
        <f>+L216+L217</f>
        <v>48</v>
      </c>
      <c r="V211" s="13">
        <f>+L218+L219</f>
        <v>235</v>
      </c>
      <c r="W211" s="13">
        <f>+L222</f>
        <v>14</v>
      </c>
      <c r="X211" s="13">
        <f>+L220</f>
        <v>0</v>
      </c>
    </row>
    <row r="212" spans="1:24" x14ac:dyDescent="0.25">
      <c r="A212" s="14"/>
      <c r="B212" s="15"/>
      <c r="C212" s="41" t="str">
        <f>+$C196</f>
        <v>December 2024</v>
      </c>
      <c r="D212" s="18"/>
      <c r="E212" s="18"/>
      <c r="F212" s="18"/>
      <c r="G212" s="20" t="str">
        <f>+$G$4</f>
        <v>Mnt</v>
      </c>
      <c r="H212" s="20" t="str">
        <f>+G212</f>
        <v>Mnt</v>
      </c>
      <c r="I212" s="20" t="str">
        <f t="shared" si="54"/>
        <v>Mnt</v>
      </c>
      <c r="J212" s="20" t="str">
        <f t="shared" si="54"/>
        <v>Mnt</v>
      </c>
      <c r="K212" s="20" t="str">
        <f t="shared" si="54"/>
        <v>Mnt</v>
      </c>
      <c r="L212" s="20" t="str">
        <f t="shared" si="54"/>
        <v>Mnt</v>
      </c>
      <c r="M212" s="20" t="str">
        <f t="shared" si="54"/>
        <v>Mnt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1</v>
      </c>
      <c r="H213" s="25">
        <f>+$H$5</f>
        <v>8</v>
      </c>
      <c r="I213" s="25">
        <f>+$I$5</f>
        <v>15</v>
      </c>
      <c r="J213" s="25">
        <f>+$J$5</f>
        <v>22</v>
      </c>
      <c r="K213" s="25">
        <f>+$K$5</f>
        <v>29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81</v>
      </c>
      <c r="H215" s="31">
        <f t="shared" ref="H215:L215" si="55">SUM(H216:H219)</f>
        <v>0</v>
      </c>
      <c r="I215" s="31">
        <f t="shared" si="55"/>
        <v>86</v>
      </c>
      <c r="J215" s="31">
        <f t="shared" si="55"/>
        <v>68</v>
      </c>
      <c r="K215" s="31">
        <f t="shared" si="55"/>
        <v>48</v>
      </c>
      <c r="L215" s="31">
        <f t="shared" si="55"/>
        <v>283</v>
      </c>
      <c r="M215" s="31">
        <f>ROUND((L215/$E$1),0)</f>
        <v>57</v>
      </c>
      <c r="N215" s="32"/>
      <c r="O215" s="3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2</v>
      </c>
      <c r="H216" s="42"/>
      <c r="I216" s="42">
        <v>1</v>
      </c>
      <c r="J216" s="42">
        <v>1</v>
      </c>
      <c r="K216" s="42">
        <v>1</v>
      </c>
      <c r="L216" s="35">
        <f>SUM(G216:K216)</f>
        <v>5</v>
      </c>
      <c r="M216" s="35">
        <f t="shared" ref="M216:M224" si="56">ROUND((L216/$E$1),0)</f>
        <v>1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10</v>
      </c>
      <c r="H217" s="42"/>
      <c r="I217" s="42">
        <v>14</v>
      </c>
      <c r="J217" s="42">
        <v>9</v>
      </c>
      <c r="K217" s="42">
        <v>10</v>
      </c>
      <c r="L217" s="35">
        <f t="shared" ref="L217:L224" si="57">SUM(G217:K217)</f>
        <v>43</v>
      </c>
      <c r="M217" s="35">
        <f t="shared" si="56"/>
        <v>9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23</v>
      </c>
      <c r="H218" s="42"/>
      <c r="I218" s="42">
        <v>19</v>
      </c>
      <c r="J218" s="42">
        <v>16</v>
      </c>
      <c r="K218" s="42">
        <v>13</v>
      </c>
      <c r="L218" s="35">
        <f t="shared" si="57"/>
        <v>71</v>
      </c>
      <c r="M218" s="35">
        <f t="shared" si="56"/>
        <v>14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46</v>
      </c>
      <c r="H219" s="43"/>
      <c r="I219" s="43">
        <v>52</v>
      </c>
      <c r="J219" s="43">
        <v>42</v>
      </c>
      <c r="K219" s="43">
        <v>24</v>
      </c>
      <c r="L219" s="31">
        <f t="shared" si="57"/>
        <v>164</v>
      </c>
      <c r="M219" s="31">
        <f t="shared" si="56"/>
        <v>33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>
        <f t="shared" si="56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4</v>
      </c>
      <c r="H222" s="42">
        <v>2</v>
      </c>
      <c r="I222" s="42">
        <v>3</v>
      </c>
      <c r="J222" s="42">
        <v>3</v>
      </c>
      <c r="K222" s="42">
        <v>2</v>
      </c>
      <c r="L222" s="35">
        <f t="shared" si="57"/>
        <v>14</v>
      </c>
      <c r="M222" s="35">
        <f t="shared" si="56"/>
        <v>3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32</v>
      </c>
      <c r="H223" s="42"/>
      <c r="I223" s="42">
        <v>252</v>
      </c>
      <c r="J223" s="42">
        <v>20</v>
      </c>
      <c r="K223" s="42">
        <v>10</v>
      </c>
      <c r="L223" s="35">
        <f t="shared" si="57"/>
        <v>314</v>
      </c>
      <c r="M223" s="35">
        <f t="shared" si="56"/>
        <v>63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 t="str">
        <f>+$G$3</f>
        <v>Year</v>
      </c>
      <c r="H227" s="10" t="str">
        <f>+G227</f>
        <v>Year</v>
      </c>
      <c r="I227" s="10" t="str">
        <f t="shared" ref="I227:M228" si="58">+H227</f>
        <v>Year</v>
      </c>
      <c r="J227" s="10" t="str">
        <f t="shared" si="58"/>
        <v>Year</v>
      </c>
      <c r="K227" s="10" t="str">
        <f t="shared" si="58"/>
        <v>Year</v>
      </c>
      <c r="L227" s="10" t="str">
        <f t="shared" si="58"/>
        <v>Year</v>
      </c>
      <c r="M227" s="10" t="str">
        <f t="shared" si="58"/>
        <v>Year</v>
      </c>
      <c r="N227" s="11"/>
      <c r="O227" s="44"/>
      <c r="P227" s="44"/>
      <c r="Q227" s="44"/>
      <c r="S227" s="12" t="str">
        <f>+C227</f>
        <v>Lundzi</v>
      </c>
      <c r="T227" s="13">
        <f>+L231</f>
        <v>506</v>
      </c>
      <c r="U227" s="13">
        <f>+L232+L233</f>
        <v>230</v>
      </c>
      <c r="V227" s="13">
        <f>+L234+L235</f>
        <v>276</v>
      </c>
      <c r="W227" s="13">
        <f>+L238</f>
        <v>14</v>
      </c>
      <c r="X227" s="13">
        <f>+L236</f>
        <v>15</v>
      </c>
    </row>
    <row r="228" spans="1:24" x14ac:dyDescent="0.25">
      <c r="A228" s="14"/>
      <c r="B228" s="15"/>
      <c r="C228" s="41" t="str">
        <f>+$C212</f>
        <v>December 2024</v>
      </c>
      <c r="D228" s="18"/>
      <c r="E228" s="18"/>
      <c r="F228" s="18"/>
      <c r="G228" s="20" t="str">
        <f>+$G$4</f>
        <v>Mnt</v>
      </c>
      <c r="H228" s="20" t="str">
        <f>+G228</f>
        <v>Mnt</v>
      </c>
      <c r="I228" s="20" t="str">
        <f t="shared" si="58"/>
        <v>Mnt</v>
      </c>
      <c r="J228" s="20" t="str">
        <f t="shared" si="58"/>
        <v>Mnt</v>
      </c>
      <c r="K228" s="20" t="str">
        <f t="shared" si="58"/>
        <v>Mnt</v>
      </c>
      <c r="L228" s="20" t="str">
        <f t="shared" si="58"/>
        <v>Mnt</v>
      </c>
      <c r="M228" s="20" t="str">
        <f t="shared" si="58"/>
        <v>Mnt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1</v>
      </c>
      <c r="H229" s="25">
        <f>+$H$5</f>
        <v>8</v>
      </c>
      <c r="I229" s="25">
        <f>+$I$5</f>
        <v>15</v>
      </c>
      <c r="J229" s="25">
        <f>+$J$5</f>
        <v>22</v>
      </c>
      <c r="K229" s="25">
        <f>+$K$5</f>
        <v>29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53</v>
      </c>
      <c r="H231" s="31">
        <f t="shared" ref="H231:L231" si="59">SUM(H232:H235)</f>
        <v>285</v>
      </c>
      <c r="I231" s="31">
        <f t="shared" si="59"/>
        <v>56</v>
      </c>
      <c r="J231" s="31">
        <f t="shared" si="59"/>
        <v>56</v>
      </c>
      <c r="K231" s="31">
        <f t="shared" si="59"/>
        <v>56</v>
      </c>
      <c r="L231" s="31">
        <f t="shared" si="59"/>
        <v>506</v>
      </c>
      <c r="M231" s="31">
        <f>ROUND((L231/$E$1),0)</f>
        <v>101</v>
      </c>
      <c r="N231" s="32"/>
      <c r="O231" s="3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9</v>
      </c>
      <c r="H232" s="42">
        <v>56</v>
      </c>
      <c r="I232" s="42">
        <v>8</v>
      </c>
      <c r="J232" s="42">
        <v>8</v>
      </c>
      <c r="K232" s="42">
        <v>8</v>
      </c>
      <c r="L232" s="35">
        <f>SUM(G232:K232)</f>
        <v>89</v>
      </c>
      <c r="M232" s="35">
        <f t="shared" ref="M232:M240" si="60">ROUND((L232/$E$1),0)</f>
        <v>18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13</v>
      </c>
      <c r="H233" s="42">
        <v>83</v>
      </c>
      <c r="I233" s="42">
        <v>15</v>
      </c>
      <c r="J233" s="42">
        <v>15</v>
      </c>
      <c r="K233" s="42">
        <v>15</v>
      </c>
      <c r="L233" s="35">
        <f t="shared" ref="L233:L240" si="61">SUM(G233:K233)</f>
        <v>141</v>
      </c>
      <c r="M233" s="35">
        <f t="shared" si="60"/>
        <v>28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5</v>
      </c>
      <c r="H234" s="42">
        <v>98</v>
      </c>
      <c r="I234" s="42">
        <v>10</v>
      </c>
      <c r="J234" s="42">
        <v>10</v>
      </c>
      <c r="K234" s="42">
        <v>10</v>
      </c>
      <c r="L234" s="35">
        <f t="shared" si="61"/>
        <v>133</v>
      </c>
      <c r="M234" s="35">
        <f t="shared" si="60"/>
        <v>27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26</v>
      </c>
      <c r="H235" s="43">
        <v>48</v>
      </c>
      <c r="I235" s="43">
        <v>23</v>
      </c>
      <c r="J235" s="43">
        <v>23</v>
      </c>
      <c r="K235" s="43">
        <v>23</v>
      </c>
      <c r="L235" s="31">
        <f t="shared" si="61"/>
        <v>143</v>
      </c>
      <c r="M235" s="31">
        <f t="shared" si="60"/>
        <v>29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>
        <v>15</v>
      </c>
      <c r="I236" s="42"/>
      <c r="J236" s="42"/>
      <c r="K236" s="42"/>
      <c r="L236" s="35">
        <f t="shared" si="61"/>
        <v>15</v>
      </c>
      <c r="M236" s="35">
        <f t="shared" si="60"/>
        <v>3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>
        <v>3</v>
      </c>
      <c r="H238" s="42">
        <v>2</v>
      </c>
      <c r="I238" s="42">
        <v>3</v>
      </c>
      <c r="J238" s="42">
        <v>3</v>
      </c>
      <c r="K238" s="42">
        <v>3</v>
      </c>
      <c r="L238" s="35">
        <f t="shared" si="61"/>
        <v>14</v>
      </c>
      <c r="M238" s="35">
        <f t="shared" si="60"/>
        <v>3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>
        <f t="shared" si="60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 t="str">
        <f>+$G$3</f>
        <v>Year</v>
      </c>
      <c r="H243" s="10" t="str">
        <f>+G243</f>
        <v>Year</v>
      </c>
      <c r="I243" s="10" t="str">
        <f t="shared" ref="I243:M244" si="62">+H243</f>
        <v>Year</v>
      </c>
      <c r="J243" s="10" t="str">
        <f t="shared" si="62"/>
        <v>Year</v>
      </c>
      <c r="K243" s="10" t="str">
        <f t="shared" si="62"/>
        <v>Year</v>
      </c>
      <c r="L243" s="10" t="str">
        <f t="shared" si="62"/>
        <v>Year</v>
      </c>
      <c r="M243" s="10" t="str">
        <f t="shared" si="62"/>
        <v>Year</v>
      </c>
      <c r="N243" s="11"/>
      <c r="O243" s="44"/>
      <c r="P243" s="44"/>
      <c r="Q243" s="44"/>
      <c r="S243" s="12" t="str">
        <f>+C243</f>
        <v>Esigcaweni</v>
      </c>
      <c r="T243" s="13">
        <f>+L247</f>
        <v>712</v>
      </c>
      <c r="U243" s="13">
        <f>+L248+L249</f>
        <v>113</v>
      </c>
      <c r="V243" s="13">
        <f>+L250+L251</f>
        <v>599</v>
      </c>
      <c r="W243" s="13">
        <f>+L254</f>
        <v>45</v>
      </c>
      <c r="X243" s="13">
        <f>+L252</f>
        <v>0</v>
      </c>
    </row>
    <row r="244" spans="1:24" x14ac:dyDescent="0.25">
      <c r="A244" s="14"/>
      <c r="B244" s="15"/>
      <c r="C244" s="41" t="str">
        <f>+$C228</f>
        <v>December 2024</v>
      </c>
      <c r="D244" s="18"/>
      <c r="E244" s="18"/>
      <c r="F244" s="18"/>
      <c r="G244" s="20" t="str">
        <f>+$G$4</f>
        <v>Mnt</v>
      </c>
      <c r="H244" s="20" t="str">
        <f>+G244</f>
        <v>Mnt</v>
      </c>
      <c r="I244" s="20" t="str">
        <f t="shared" si="62"/>
        <v>Mnt</v>
      </c>
      <c r="J244" s="20" t="str">
        <f t="shared" si="62"/>
        <v>Mnt</v>
      </c>
      <c r="K244" s="20" t="str">
        <f t="shared" si="62"/>
        <v>Mnt</v>
      </c>
      <c r="L244" s="20" t="str">
        <f t="shared" si="62"/>
        <v>Mnt</v>
      </c>
      <c r="M244" s="20" t="str">
        <f t="shared" si="62"/>
        <v>Mnt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1</v>
      </c>
      <c r="H245" s="25">
        <f>+$H$5</f>
        <v>8</v>
      </c>
      <c r="I245" s="25">
        <f>+$I$5</f>
        <v>15</v>
      </c>
      <c r="J245" s="25">
        <f>+$J$5</f>
        <v>22</v>
      </c>
      <c r="K245" s="25">
        <f>+$K$5</f>
        <v>29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129</v>
      </c>
      <c r="H247" s="31">
        <f t="shared" ref="H247:L247" si="63">SUM(H248:H251)</f>
        <v>133</v>
      </c>
      <c r="I247" s="31">
        <f t="shared" si="63"/>
        <v>129</v>
      </c>
      <c r="J247" s="31">
        <f t="shared" si="63"/>
        <v>199</v>
      </c>
      <c r="K247" s="31">
        <f t="shared" si="63"/>
        <v>122</v>
      </c>
      <c r="L247" s="31">
        <f t="shared" si="63"/>
        <v>712</v>
      </c>
      <c r="M247" s="31">
        <f>ROUND((L247/$E$1),0)</f>
        <v>142</v>
      </c>
      <c r="N247" s="32"/>
      <c r="O247" s="34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5</v>
      </c>
      <c r="H248" s="42">
        <v>6</v>
      </c>
      <c r="I248" s="42">
        <v>5</v>
      </c>
      <c r="J248" s="42">
        <v>10</v>
      </c>
      <c r="K248" s="42">
        <v>6</v>
      </c>
      <c r="L248" s="35">
        <f>SUM(G248:K248)</f>
        <v>32</v>
      </c>
      <c r="M248" s="35">
        <f t="shared" ref="M248:M256" si="64">ROUND((L248/$E$1),0)</f>
        <v>6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12</v>
      </c>
      <c r="H249" s="42">
        <v>14</v>
      </c>
      <c r="I249" s="42">
        <v>15</v>
      </c>
      <c r="J249" s="42">
        <v>25</v>
      </c>
      <c r="K249" s="42">
        <v>15</v>
      </c>
      <c r="L249" s="35">
        <f t="shared" ref="L249:L256" si="65">SUM(G249:K249)</f>
        <v>81</v>
      </c>
      <c r="M249" s="35">
        <f t="shared" si="64"/>
        <v>16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33</v>
      </c>
      <c r="H250" s="42">
        <v>34</v>
      </c>
      <c r="I250" s="42">
        <v>29</v>
      </c>
      <c r="J250" s="42">
        <v>48</v>
      </c>
      <c r="K250" s="42">
        <v>28</v>
      </c>
      <c r="L250" s="35">
        <f t="shared" si="65"/>
        <v>172</v>
      </c>
      <c r="M250" s="35">
        <f t="shared" si="64"/>
        <v>34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79</v>
      </c>
      <c r="H251" s="43">
        <v>79</v>
      </c>
      <c r="I251" s="43">
        <v>80</v>
      </c>
      <c r="J251" s="43">
        <v>116</v>
      </c>
      <c r="K251" s="43">
        <v>73</v>
      </c>
      <c r="L251" s="31">
        <f t="shared" si="65"/>
        <v>427</v>
      </c>
      <c r="M251" s="31">
        <f t="shared" si="64"/>
        <v>85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9</v>
      </c>
      <c r="H254" s="42">
        <v>9</v>
      </c>
      <c r="I254" s="42">
        <v>12</v>
      </c>
      <c r="J254" s="42">
        <v>9</v>
      </c>
      <c r="K254" s="42">
        <v>6</v>
      </c>
      <c r="L254" s="35">
        <f t="shared" si="65"/>
        <v>45</v>
      </c>
      <c r="M254" s="35">
        <f t="shared" si="64"/>
        <v>9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 t="str">
        <f>+$G$3</f>
        <v>Year</v>
      </c>
      <c r="H259" s="10" t="str">
        <f>+G259</f>
        <v>Year</v>
      </c>
      <c r="I259" s="10" t="str">
        <f t="shared" ref="I259:M260" si="66">+H259</f>
        <v>Year</v>
      </c>
      <c r="J259" s="10" t="str">
        <f t="shared" si="66"/>
        <v>Year</v>
      </c>
      <c r="K259" s="10" t="str">
        <f t="shared" si="66"/>
        <v>Year</v>
      </c>
      <c r="L259" s="10" t="str">
        <f t="shared" si="66"/>
        <v>Year</v>
      </c>
      <c r="M259" s="10" t="str">
        <f t="shared" si="66"/>
        <v>Year</v>
      </c>
      <c r="N259" s="11"/>
      <c r="S259" s="12" t="str">
        <f>+C259</f>
        <v>Lonhlalane</v>
      </c>
      <c r="T259" s="13">
        <f>+L263</f>
        <v>181</v>
      </c>
      <c r="U259" s="13">
        <f>+L264+L265</f>
        <v>26</v>
      </c>
      <c r="V259" s="13">
        <f>+L266+L267</f>
        <v>155</v>
      </c>
      <c r="W259" s="13">
        <f>+L270</f>
        <v>2</v>
      </c>
      <c r="X259" s="13">
        <f>+L268</f>
        <v>1</v>
      </c>
    </row>
    <row r="260" spans="1:24" x14ac:dyDescent="0.25">
      <c r="A260" s="14"/>
      <c r="B260" s="15"/>
      <c r="C260" s="41" t="str">
        <f>+$C244</f>
        <v>December 2024</v>
      </c>
      <c r="D260" s="18"/>
      <c r="E260" s="18"/>
      <c r="F260" s="18"/>
      <c r="G260" s="20" t="str">
        <f>+$G$4</f>
        <v>Mnt</v>
      </c>
      <c r="H260" s="20" t="str">
        <f>+G260</f>
        <v>Mnt</v>
      </c>
      <c r="I260" s="20" t="str">
        <f t="shared" si="66"/>
        <v>Mnt</v>
      </c>
      <c r="J260" s="20" t="str">
        <f t="shared" si="66"/>
        <v>Mnt</v>
      </c>
      <c r="K260" s="20" t="str">
        <f t="shared" si="66"/>
        <v>Mnt</v>
      </c>
      <c r="L260" s="20" t="str">
        <f t="shared" si="66"/>
        <v>Mnt</v>
      </c>
      <c r="M260" s="20" t="str">
        <f t="shared" si="66"/>
        <v>Mnt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1</v>
      </c>
      <c r="H261" s="25">
        <f>+$H$5</f>
        <v>8</v>
      </c>
      <c r="I261" s="25">
        <f>+$I$5</f>
        <v>15</v>
      </c>
      <c r="J261" s="25">
        <f>+$J$5</f>
        <v>22</v>
      </c>
      <c r="K261" s="25">
        <f>+$K$5</f>
        <v>29</v>
      </c>
      <c r="L261" s="25" t="s">
        <v>6</v>
      </c>
      <c r="M261" s="25" t="s">
        <v>7</v>
      </c>
      <c r="N261" s="26"/>
      <c r="P261" s="1" t="s">
        <v>96</v>
      </c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50</v>
      </c>
      <c r="H263" s="31">
        <f t="shared" ref="H263:L263" si="67">SUM(H264:H267)</f>
        <v>50</v>
      </c>
      <c r="I263" s="31">
        <f t="shared" si="67"/>
        <v>40</v>
      </c>
      <c r="J263" s="31">
        <f t="shared" si="67"/>
        <v>41</v>
      </c>
      <c r="K263" s="31">
        <f t="shared" si="67"/>
        <v>0</v>
      </c>
      <c r="L263" s="31">
        <f t="shared" si="67"/>
        <v>181</v>
      </c>
      <c r="M263" s="31">
        <f>ROUND((L263/$E$1),0)</f>
        <v>36</v>
      </c>
      <c r="N263" s="32"/>
      <c r="O263" s="34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1</v>
      </c>
      <c r="J264" s="42">
        <v>2</v>
      </c>
      <c r="K264" s="42"/>
      <c r="L264" s="35">
        <f>SUM(G264:K264)</f>
        <v>5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5</v>
      </c>
      <c r="H265" s="42">
        <v>5</v>
      </c>
      <c r="I265" s="42">
        <v>5</v>
      </c>
      <c r="J265" s="42">
        <v>6</v>
      </c>
      <c r="K265" s="42"/>
      <c r="L265" s="35">
        <f t="shared" ref="L265:L272" si="69">SUM(G265:K265)</f>
        <v>21</v>
      </c>
      <c r="M265" s="35">
        <f t="shared" si="68"/>
        <v>4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6</v>
      </c>
      <c r="H266" s="42">
        <v>6</v>
      </c>
      <c r="I266" s="42">
        <v>6</v>
      </c>
      <c r="J266" s="42">
        <v>8</v>
      </c>
      <c r="K266" s="42"/>
      <c r="L266" s="35">
        <f t="shared" si="69"/>
        <v>26</v>
      </c>
      <c r="M266" s="35">
        <f t="shared" si="68"/>
        <v>5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38</v>
      </c>
      <c r="H267" s="43">
        <v>38</v>
      </c>
      <c r="I267" s="43">
        <v>28</v>
      </c>
      <c r="J267" s="43">
        <v>25</v>
      </c>
      <c r="K267" s="43"/>
      <c r="L267" s="31">
        <f t="shared" si="69"/>
        <v>129</v>
      </c>
      <c r="M267" s="31">
        <f t="shared" si="68"/>
        <v>26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>
        <v>1</v>
      </c>
      <c r="H268" s="42"/>
      <c r="I268" s="42"/>
      <c r="J268" s="42"/>
      <c r="K268" s="42"/>
      <c r="L268" s="35">
        <f t="shared" si="69"/>
        <v>1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>
        <v>1</v>
      </c>
      <c r="H270" s="42">
        <v>1</v>
      </c>
      <c r="I270" s="42"/>
      <c r="J270" s="42"/>
      <c r="K270" s="42"/>
      <c r="L270" s="35">
        <f t="shared" si="69"/>
        <v>2</v>
      </c>
      <c r="M270" s="35">
        <f t="shared" si="68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/>
      <c r="H271" s="42"/>
      <c r="I271" s="42">
        <v>288</v>
      </c>
      <c r="J271" s="42">
        <v>128</v>
      </c>
      <c r="K271" s="42"/>
      <c r="L271" s="35">
        <f t="shared" si="69"/>
        <v>416</v>
      </c>
      <c r="M271" s="35">
        <f t="shared" si="68"/>
        <v>83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 t="str">
        <f>+$G$3</f>
        <v>Year</v>
      </c>
      <c r="H275" s="10" t="str">
        <f>+G275</f>
        <v>Year</v>
      </c>
      <c r="I275" s="10" t="str">
        <f t="shared" ref="I275:M276" si="70">+H275</f>
        <v>Year</v>
      </c>
      <c r="J275" s="10" t="str">
        <f t="shared" si="70"/>
        <v>Year</v>
      </c>
      <c r="K275" s="10" t="str">
        <f t="shared" si="70"/>
        <v>Year</v>
      </c>
      <c r="L275" s="10" t="str">
        <f t="shared" si="70"/>
        <v>Year</v>
      </c>
      <c r="M275" s="10" t="str">
        <f t="shared" si="70"/>
        <v>Year</v>
      </c>
      <c r="N275" s="11"/>
      <c r="S275" s="12" t="str">
        <f>+C275</f>
        <v>Zondwako</v>
      </c>
      <c r="T275" s="13">
        <f>+L279</f>
        <v>161</v>
      </c>
      <c r="U275" s="13">
        <f>+L280+L281</f>
        <v>16</v>
      </c>
      <c r="V275" s="13">
        <f>+L282+L283</f>
        <v>145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December 2024</v>
      </c>
      <c r="D276" s="18"/>
      <c r="E276" s="18"/>
      <c r="F276" s="18"/>
      <c r="G276" s="20" t="str">
        <f>+$G$4</f>
        <v>Mnt</v>
      </c>
      <c r="H276" s="20" t="str">
        <f>+G276</f>
        <v>Mnt</v>
      </c>
      <c r="I276" s="20" t="str">
        <f t="shared" si="70"/>
        <v>Mnt</v>
      </c>
      <c r="J276" s="20" t="str">
        <f t="shared" si="70"/>
        <v>Mnt</v>
      </c>
      <c r="K276" s="20" t="str">
        <f t="shared" si="70"/>
        <v>Mnt</v>
      </c>
      <c r="L276" s="20" t="str">
        <f t="shared" si="70"/>
        <v>Mnt</v>
      </c>
      <c r="M276" s="20" t="str">
        <f t="shared" si="70"/>
        <v>Mnt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1</v>
      </c>
      <c r="H277" s="25">
        <f>+$H$5</f>
        <v>8</v>
      </c>
      <c r="I277" s="25">
        <f>+$I$5</f>
        <v>15</v>
      </c>
      <c r="J277" s="25">
        <f>+$J$5</f>
        <v>22</v>
      </c>
      <c r="K277" s="25">
        <f>+$K$5</f>
        <v>29</v>
      </c>
      <c r="L277" s="25" t="s">
        <v>6</v>
      </c>
      <c r="M277" s="25" t="s">
        <v>7</v>
      </c>
      <c r="N277" s="26"/>
      <c r="P277" s="1" t="s">
        <v>97</v>
      </c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0</v>
      </c>
      <c r="H279" s="31">
        <f t="shared" ref="H279:L279" si="71">SUM(H280:H283)</f>
        <v>65</v>
      </c>
      <c r="I279" s="31">
        <f t="shared" si="71"/>
        <v>32</v>
      </c>
      <c r="J279" s="31">
        <f t="shared" si="71"/>
        <v>64</v>
      </c>
      <c r="K279" s="31">
        <f t="shared" si="71"/>
        <v>0</v>
      </c>
      <c r="L279" s="31">
        <f t="shared" si="71"/>
        <v>161</v>
      </c>
      <c r="M279" s="31">
        <f>ROUND((L279/$E$1),0)</f>
        <v>32</v>
      </c>
      <c r="N279" s="32"/>
      <c r="O279" s="34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/>
      <c r="H280" s="42">
        <v>3</v>
      </c>
      <c r="I280" s="42">
        <v>1</v>
      </c>
      <c r="J280" s="42">
        <v>2</v>
      </c>
      <c r="K280" s="42"/>
      <c r="L280" s="35">
        <f>SUM(G280:K280)</f>
        <v>6</v>
      </c>
      <c r="M280" s="35">
        <f t="shared" ref="M280:M288" si="72">ROUND((L280/$E$1),0)</f>
        <v>1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/>
      <c r="H281" s="42">
        <v>5</v>
      </c>
      <c r="I281" s="42">
        <v>3</v>
      </c>
      <c r="J281" s="42">
        <v>2</v>
      </c>
      <c r="K281" s="42"/>
      <c r="L281" s="35">
        <f t="shared" ref="L281:L288" si="73">SUM(G281:K281)</f>
        <v>10</v>
      </c>
      <c r="M281" s="35">
        <f t="shared" si="72"/>
        <v>2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/>
      <c r="H282" s="42">
        <v>13</v>
      </c>
      <c r="I282" s="42">
        <v>11</v>
      </c>
      <c r="J282" s="42">
        <v>18</v>
      </c>
      <c r="K282" s="42"/>
      <c r="L282" s="35">
        <f t="shared" si="73"/>
        <v>42</v>
      </c>
      <c r="M282" s="35">
        <f t="shared" si="72"/>
        <v>8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/>
      <c r="H283" s="43">
        <v>44</v>
      </c>
      <c r="I283" s="43">
        <v>17</v>
      </c>
      <c r="J283" s="43">
        <v>42</v>
      </c>
      <c r="K283" s="43"/>
      <c r="L283" s="31">
        <f t="shared" si="73"/>
        <v>103</v>
      </c>
      <c r="M283" s="31">
        <f t="shared" si="72"/>
        <v>21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 t="str">
        <f>+$G$3</f>
        <v>Year</v>
      </c>
      <c r="H291" s="10" t="str">
        <f>+G291</f>
        <v>Year</v>
      </c>
      <c r="I291" s="10" t="str">
        <f t="shared" ref="I291:M292" si="74">+H291</f>
        <v>Year</v>
      </c>
      <c r="J291" s="10" t="str">
        <f t="shared" si="74"/>
        <v>Year</v>
      </c>
      <c r="K291" s="10" t="str">
        <f t="shared" si="74"/>
        <v>Year</v>
      </c>
      <c r="L291" s="10" t="str">
        <f t="shared" si="74"/>
        <v>Year</v>
      </c>
      <c r="M291" s="10" t="str">
        <f t="shared" si="74"/>
        <v>Year</v>
      </c>
      <c r="N291" s="11"/>
      <c r="S291" s="12" t="str">
        <f>+C291</f>
        <v>Mangcongco</v>
      </c>
      <c r="T291" s="13">
        <f>+L295</f>
        <v>198</v>
      </c>
      <c r="U291" s="13">
        <f>+L296+L297</f>
        <v>29</v>
      </c>
      <c r="V291" s="13">
        <f>+L298+L299</f>
        <v>169</v>
      </c>
      <c r="W291" s="13">
        <f>+L302</f>
        <v>13</v>
      </c>
      <c r="X291" s="13">
        <f>+L300</f>
        <v>0</v>
      </c>
    </row>
    <row r="292" spans="1:24" x14ac:dyDescent="0.25">
      <c r="A292" s="14"/>
      <c r="B292" s="15"/>
      <c r="C292" s="41" t="str">
        <f>+$C276</f>
        <v>December 2024</v>
      </c>
      <c r="D292" s="18"/>
      <c r="E292" s="18"/>
      <c r="F292" s="18"/>
      <c r="G292" s="20" t="str">
        <f>+$G$4</f>
        <v>Mnt</v>
      </c>
      <c r="H292" s="20" t="str">
        <f>+G292</f>
        <v>Mnt</v>
      </c>
      <c r="I292" s="20" t="str">
        <f t="shared" si="74"/>
        <v>Mnt</v>
      </c>
      <c r="J292" s="20" t="str">
        <f t="shared" si="74"/>
        <v>Mnt</v>
      </c>
      <c r="K292" s="20" t="str">
        <f t="shared" si="74"/>
        <v>Mnt</v>
      </c>
      <c r="L292" s="20" t="str">
        <f t="shared" si="74"/>
        <v>Mnt</v>
      </c>
      <c r="M292" s="20" t="str">
        <f t="shared" si="74"/>
        <v>Mnt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1</v>
      </c>
      <c r="H293" s="25">
        <f>+$H$5</f>
        <v>8</v>
      </c>
      <c r="I293" s="25">
        <f>+$I$5</f>
        <v>15</v>
      </c>
      <c r="J293" s="25">
        <f>+$J$5</f>
        <v>22</v>
      </c>
      <c r="K293" s="25">
        <f>+$K$5</f>
        <v>29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0</v>
      </c>
      <c r="H295" s="31">
        <f t="shared" ref="H295:L295" si="75">SUM(H296:H299)</f>
        <v>59</v>
      </c>
      <c r="I295" s="31">
        <f t="shared" si="75"/>
        <v>44</v>
      </c>
      <c r="J295" s="31">
        <f t="shared" si="75"/>
        <v>49</v>
      </c>
      <c r="K295" s="31">
        <f t="shared" si="75"/>
        <v>46</v>
      </c>
      <c r="L295" s="31">
        <f t="shared" si="75"/>
        <v>198</v>
      </c>
      <c r="M295" s="31">
        <f>ROUND((L295/$E$1),0)</f>
        <v>40</v>
      </c>
      <c r="N295" s="32"/>
      <c r="O295" s="34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/>
      <c r="H296" s="42">
        <v>2</v>
      </c>
      <c r="I296" s="42">
        <v>2</v>
      </c>
      <c r="J296" s="42">
        <v>2</v>
      </c>
      <c r="K296" s="42">
        <v>2</v>
      </c>
      <c r="L296" s="35">
        <f>SUM(G296:K296)</f>
        <v>8</v>
      </c>
      <c r="M296" s="35">
        <f t="shared" ref="M296:M304" si="76">ROUND((L296/$E$1),0)</f>
        <v>2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/>
      <c r="H297" s="42">
        <v>6</v>
      </c>
      <c r="I297" s="42">
        <v>5</v>
      </c>
      <c r="J297" s="42">
        <v>4</v>
      </c>
      <c r="K297" s="42">
        <v>6</v>
      </c>
      <c r="L297" s="35">
        <f t="shared" ref="L297:L304" si="77">SUM(G297:K297)</f>
        <v>21</v>
      </c>
      <c r="M297" s="35">
        <f t="shared" si="76"/>
        <v>4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/>
      <c r="H298" s="42">
        <v>14</v>
      </c>
      <c r="I298" s="42">
        <v>14</v>
      </c>
      <c r="J298" s="42">
        <v>16</v>
      </c>
      <c r="K298" s="42">
        <v>24</v>
      </c>
      <c r="L298" s="35">
        <f t="shared" si="77"/>
        <v>68</v>
      </c>
      <c r="M298" s="35">
        <f t="shared" si="76"/>
        <v>14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/>
      <c r="H299" s="43">
        <v>37</v>
      </c>
      <c r="I299" s="43">
        <v>23</v>
      </c>
      <c r="J299" s="43">
        <v>27</v>
      </c>
      <c r="K299" s="43">
        <v>14</v>
      </c>
      <c r="L299" s="31">
        <f t="shared" si="77"/>
        <v>101</v>
      </c>
      <c r="M299" s="31">
        <f t="shared" si="76"/>
        <v>20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/>
      <c r="H302" s="42">
        <v>4</v>
      </c>
      <c r="I302" s="42">
        <v>3</v>
      </c>
      <c r="J302" s="42">
        <v>3</v>
      </c>
      <c r="K302" s="42">
        <v>3</v>
      </c>
      <c r="L302" s="35">
        <f t="shared" si="77"/>
        <v>13</v>
      </c>
      <c r="M302" s="35">
        <f t="shared" si="76"/>
        <v>3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 t="str">
        <f>+$G$3</f>
        <v>Year</v>
      </c>
      <c r="H307" s="10" t="str">
        <f>+G307</f>
        <v>Year</v>
      </c>
      <c r="I307" s="10" t="str">
        <f t="shared" ref="I307:M308" si="78">+H307</f>
        <v>Year</v>
      </c>
      <c r="J307" s="10" t="str">
        <f t="shared" si="78"/>
        <v>Year</v>
      </c>
      <c r="K307" s="10" t="str">
        <f t="shared" si="78"/>
        <v>Year</v>
      </c>
      <c r="L307" s="10" t="str">
        <f t="shared" si="78"/>
        <v>Year</v>
      </c>
      <c r="M307" s="10" t="str">
        <f t="shared" si="78"/>
        <v>Year</v>
      </c>
      <c r="N307" s="11"/>
      <c r="S307" s="12" t="str">
        <f>+C307</f>
        <v>Kaliba</v>
      </c>
      <c r="T307" s="13">
        <f>+L311</f>
        <v>426</v>
      </c>
      <c r="U307" s="13">
        <f>+L312+L313</f>
        <v>89</v>
      </c>
      <c r="V307" s="13">
        <f>+L314+L315</f>
        <v>337</v>
      </c>
      <c r="W307" s="13">
        <f>+L318</f>
        <v>0</v>
      </c>
      <c r="X307" s="13">
        <f>+L316</f>
        <v>4</v>
      </c>
    </row>
    <row r="308" spans="1:24" x14ac:dyDescent="0.25">
      <c r="A308" s="14"/>
      <c r="B308" s="15"/>
      <c r="C308" s="41" t="str">
        <f>+$C292</f>
        <v>December 2024</v>
      </c>
      <c r="D308" s="18"/>
      <c r="E308" s="18"/>
      <c r="F308" s="18"/>
      <c r="G308" s="20" t="str">
        <f>+$G$4</f>
        <v>Mnt</v>
      </c>
      <c r="H308" s="20" t="str">
        <f>+G308</f>
        <v>Mnt</v>
      </c>
      <c r="I308" s="20" t="str">
        <f t="shared" si="78"/>
        <v>Mnt</v>
      </c>
      <c r="J308" s="20" t="str">
        <f t="shared" si="78"/>
        <v>Mnt</v>
      </c>
      <c r="K308" s="20" t="str">
        <f t="shared" si="78"/>
        <v>Mnt</v>
      </c>
      <c r="L308" s="20" t="str">
        <f t="shared" si="78"/>
        <v>Mnt</v>
      </c>
      <c r="M308" s="20" t="str">
        <f t="shared" si="78"/>
        <v>Mnt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1</v>
      </c>
      <c r="H309" s="25">
        <f>+$H$5</f>
        <v>8</v>
      </c>
      <c r="I309" s="25">
        <f>+$I$5</f>
        <v>15</v>
      </c>
      <c r="J309" s="25">
        <f>+$J$5</f>
        <v>22</v>
      </c>
      <c r="K309" s="25">
        <f>+$K$5</f>
        <v>29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87</v>
      </c>
      <c r="H311" s="31">
        <f t="shared" ref="H311:L311" si="79">SUM(H312:H315)</f>
        <v>86</v>
      </c>
      <c r="I311" s="31">
        <f t="shared" si="79"/>
        <v>86</v>
      </c>
      <c r="J311" s="31">
        <f t="shared" si="79"/>
        <v>99</v>
      </c>
      <c r="K311" s="31">
        <f t="shared" si="79"/>
        <v>68</v>
      </c>
      <c r="L311" s="31">
        <f t="shared" si="79"/>
        <v>426</v>
      </c>
      <c r="M311" s="31">
        <f>ROUND((L311/$E$1),0)</f>
        <v>85</v>
      </c>
      <c r="N311" s="32"/>
      <c r="O311" s="34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6</v>
      </c>
      <c r="H312" s="42">
        <v>4</v>
      </c>
      <c r="I312" s="42">
        <v>4</v>
      </c>
      <c r="J312" s="42">
        <v>4</v>
      </c>
      <c r="K312" s="42">
        <v>3</v>
      </c>
      <c r="L312" s="35">
        <f>SUM(G312:K312)</f>
        <v>21</v>
      </c>
      <c r="M312" s="35">
        <f t="shared" ref="M312:M320" si="80">ROUND((L312/$E$1),0)</f>
        <v>4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14</v>
      </c>
      <c r="H313" s="42">
        <v>14</v>
      </c>
      <c r="I313" s="42">
        <v>15</v>
      </c>
      <c r="J313" s="42">
        <v>14</v>
      </c>
      <c r="K313" s="42">
        <v>11</v>
      </c>
      <c r="L313" s="35">
        <f t="shared" ref="L313:L320" si="81">SUM(G313:K313)</f>
        <v>68</v>
      </c>
      <c r="M313" s="35">
        <f t="shared" si="80"/>
        <v>14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27</v>
      </c>
      <c r="H314" s="42">
        <v>26</v>
      </c>
      <c r="I314" s="42">
        <v>24</v>
      </c>
      <c r="J314" s="42">
        <v>32</v>
      </c>
      <c r="K314" s="42">
        <v>21</v>
      </c>
      <c r="L314" s="35">
        <f t="shared" si="81"/>
        <v>130</v>
      </c>
      <c r="M314" s="35">
        <f t="shared" si="80"/>
        <v>26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40</v>
      </c>
      <c r="H315" s="43">
        <v>42</v>
      </c>
      <c r="I315" s="43">
        <v>43</v>
      </c>
      <c r="J315" s="43">
        <v>49</v>
      </c>
      <c r="K315" s="43">
        <v>33</v>
      </c>
      <c r="L315" s="31">
        <f t="shared" si="81"/>
        <v>207</v>
      </c>
      <c r="M315" s="31">
        <f t="shared" si="80"/>
        <v>41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>
        <v>1</v>
      </c>
      <c r="I316" s="42">
        <v>3</v>
      </c>
      <c r="J316" s="42"/>
      <c r="K316" s="42"/>
      <c r="L316" s="35">
        <f t="shared" si="81"/>
        <v>4</v>
      </c>
      <c r="M316" s="35">
        <f t="shared" si="80"/>
        <v>1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/>
      <c r="I318" s="42"/>
      <c r="J318" s="42"/>
      <c r="K318" s="42"/>
      <c r="L318" s="35">
        <f t="shared" si="81"/>
        <v>0</v>
      </c>
      <c r="M318" s="35">
        <f t="shared" si="80"/>
        <v>0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294</v>
      </c>
      <c r="H319" s="42">
        <v>144</v>
      </c>
      <c r="I319" s="42">
        <v>116</v>
      </c>
      <c r="J319" s="42">
        <v>128</v>
      </c>
      <c r="K319" s="42">
        <v>126</v>
      </c>
      <c r="L319" s="35">
        <f t="shared" si="81"/>
        <v>808</v>
      </c>
      <c r="M319" s="35">
        <f t="shared" si="80"/>
        <v>162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 t="str">
        <f>+$G$3</f>
        <v>Year</v>
      </c>
      <c r="H323" s="10" t="str">
        <f>+G323</f>
        <v>Year</v>
      </c>
      <c r="I323" s="10" t="str">
        <f t="shared" ref="I323:M324" si="82">+H323</f>
        <v>Year</v>
      </c>
      <c r="J323" s="10" t="str">
        <f t="shared" si="82"/>
        <v>Year</v>
      </c>
      <c r="K323" s="10" t="str">
        <f t="shared" si="82"/>
        <v>Year</v>
      </c>
      <c r="L323" s="10" t="str">
        <f t="shared" si="82"/>
        <v>Year</v>
      </c>
      <c r="M323" s="10" t="str">
        <f t="shared" si="82"/>
        <v>Year</v>
      </c>
      <c r="N323" s="11"/>
      <c r="S323" s="12" t="str">
        <f>+C323</f>
        <v>Kancesi</v>
      </c>
      <c r="T323" s="13">
        <f>+L327</f>
        <v>360</v>
      </c>
      <c r="U323" s="13">
        <f>+L328+L329</f>
        <v>121</v>
      </c>
      <c r="V323" s="13">
        <f>+L330+L331</f>
        <v>239</v>
      </c>
      <c r="W323" s="13">
        <f>+L334</f>
        <v>48</v>
      </c>
      <c r="X323" s="13">
        <f>+L332</f>
        <v>8</v>
      </c>
    </row>
    <row r="324" spans="1:24" x14ac:dyDescent="0.25">
      <c r="A324" s="14"/>
      <c r="B324" s="15"/>
      <c r="C324" s="41" t="str">
        <f>+$C308</f>
        <v>December 2024</v>
      </c>
      <c r="D324" s="18"/>
      <c r="E324" s="18"/>
      <c r="F324" s="18"/>
      <c r="G324" s="20" t="str">
        <f>+$G$4</f>
        <v>Mnt</v>
      </c>
      <c r="H324" s="20" t="str">
        <f>+G324</f>
        <v>Mnt</v>
      </c>
      <c r="I324" s="20" t="str">
        <f t="shared" si="82"/>
        <v>Mnt</v>
      </c>
      <c r="J324" s="20" t="str">
        <f t="shared" si="82"/>
        <v>Mnt</v>
      </c>
      <c r="K324" s="20" t="str">
        <f t="shared" si="82"/>
        <v>Mnt</v>
      </c>
      <c r="L324" s="20" t="str">
        <f t="shared" si="82"/>
        <v>Mnt</v>
      </c>
      <c r="M324" s="20" t="str">
        <f t="shared" si="82"/>
        <v>Mnt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1</v>
      </c>
      <c r="H325" s="25">
        <f>+$H$5</f>
        <v>8</v>
      </c>
      <c r="I325" s="25">
        <f>+$I$5</f>
        <v>15</v>
      </c>
      <c r="J325" s="25">
        <f>+$J$5</f>
        <v>22</v>
      </c>
      <c r="K325" s="25">
        <f>+$K$5</f>
        <v>29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65</v>
      </c>
      <c r="H327" s="31">
        <f t="shared" ref="H327:L327" si="83">SUM(H328:H331)</f>
        <v>71</v>
      </c>
      <c r="I327" s="31">
        <f t="shared" si="83"/>
        <v>67</v>
      </c>
      <c r="J327" s="31">
        <f t="shared" si="83"/>
        <v>85</v>
      </c>
      <c r="K327" s="31">
        <f t="shared" si="83"/>
        <v>72</v>
      </c>
      <c r="L327" s="31">
        <f t="shared" si="83"/>
        <v>360</v>
      </c>
      <c r="M327" s="31">
        <f>ROUND((L327/$E$1),0)</f>
        <v>72</v>
      </c>
      <c r="N327" s="32"/>
      <c r="O327" s="34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7</v>
      </c>
      <c r="H328" s="42">
        <v>6</v>
      </c>
      <c r="I328" s="42">
        <v>7</v>
      </c>
      <c r="J328" s="42">
        <v>8</v>
      </c>
      <c r="K328" s="42">
        <v>9</v>
      </c>
      <c r="L328" s="35">
        <f>SUM(G328:K328)</f>
        <v>37</v>
      </c>
      <c r="M328" s="35">
        <f t="shared" ref="M328:M336" si="84">ROUND((L328/$E$1),0)</f>
        <v>7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16</v>
      </c>
      <c r="H329" s="42">
        <v>16</v>
      </c>
      <c r="I329" s="42">
        <v>16</v>
      </c>
      <c r="J329" s="42">
        <v>20</v>
      </c>
      <c r="K329" s="42">
        <v>16</v>
      </c>
      <c r="L329" s="35">
        <f t="shared" ref="L329:L336" si="85">SUM(G329:K329)</f>
        <v>84</v>
      </c>
      <c r="M329" s="35">
        <f t="shared" si="84"/>
        <v>17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14</v>
      </c>
      <c r="H330" s="42">
        <v>14</v>
      </c>
      <c r="I330" s="42">
        <v>12</v>
      </c>
      <c r="J330" s="42">
        <v>17</v>
      </c>
      <c r="K330" s="42">
        <v>12</v>
      </c>
      <c r="L330" s="35">
        <f t="shared" si="85"/>
        <v>69</v>
      </c>
      <c r="M330" s="35">
        <f t="shared" si="84"/>
        <v>14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28</v>
      </c>
      <c r="H331" s="43">
        <v>35</v>
      </c>
      <c r="I331" s="43">
        <v>32</v>
      </c>
      <c r="J331" s="43">
        <v>40</v>
      </c>
      <c r="K331" s="43">
        <v>35</v>
      </c>
      <c r="L331" s="31">
        <f t="shared" si="85"/>
        <v>170</v>
      </c>
      <c r="M331" s="31">
        <f t="shared" si="84"/>
        <v>34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>
        <v>2</v>
      </c>
      <c r="H332" s="42">
        <v>2</v>
      </c>
      <c r="I332" s="42"/>
      <c r="J332" s="42">
        <v>4</v>
      </c>
      <c r="K332" s="42"/>
      <c r="L332" s="35">
        <f t="shared" si="85"/>
        <v>8</v>
      </c>
      <c r="M332" s="35">
        <f t="shared" si="84"/>
        <v>2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>
        <v>1</v>
      </c>
      <c r="L333" s="35">
        <f t="shared" si="85"/>
        <v>1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9</v>
      </c>
      <c r="H334" s="42">
        <v>9</v>
      </c>
      <c r="I334" s="42">
        <v>12</v>
      </c>
      <c r="J334" s="42">
        <v>8</v>
      </c>
      <c r="K334" s="42">
        <v>10</v>
      </c>
      <c r="L334" s="35">
        <f t="shared" si="85"/>
        <v>48</v>
      </c>
      <c r="M334" s="35">
        <f t="shared" si="84"/>
        <v>10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32</v>
      </c>
      <c r="H335" s="42">
        <v>160</v>
      </c>
      <c r="I335" s="42">
        <v>32</v>
      </c>
      <c r="J335" s="42"/>
      <c r="K335" s="42">
        <v>32</v>
      </c>
      <c r="L335" s="35">
        <f t="shared" si="85"/>
        <v>256</v>
      </c>
      <c r="M335" s="35">
        <f t="shared" si="84"/>
        <v>51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 t="str">
        <f>+$G$3</f>
        <v>Year</v>
      </c>
      <c r="H339" s="10" t="str">
        <f>+G339</f>
        <v>Year</v>
      </c>
      <c r="I339" s="10" t="str">
        <f t="shared" ref="I339:M340" si="86">+H339</f>
        <v>Year</v>
      </c>
      <c r="J339" s="10" t="str">
        <f t="shared" si="86"/>
        <v>Year</v>
      </c>
      <c r="K339" s="10" t="str">
        <f t="shared" si="86"/>
        <v>Year</v>
      </c>
      <c r="L339" s="10" t="str">
        <f t="shared" si="86"/>
        <v>Year</v>
      </c>
      <c r="M339" s="10" t="str">
        <f t="shared" si="86"/>
        <v>Year</v>
      </c>
      <c r="N339" s="11"/>
      <c r="S339" s="12" t="str">
        <f>+C339</f>
        <v>Mpuluzi</v>
      </c>
      <c r="T339" s="13">
        <f>+L343</f>
        <v>786</v>
      </c>
      <c r="U339" s="13">
        <f>+L344+L345</f>
        <v>307</v>
      </c>
      <c r="V339" s="13">
        <f>+L346+L347</f>
        <v>479</v>
      </c>
      <c r="W339" s="13">
        <f>+L350</f>
        <v>30</v>
      </c>
      <c r="X339" s="13">
        <f>+L348</f>
        <v>35</v>
      </c>
    </row>
    <row r="340" spans="1:24" x14ac:dyDescent="0.25">
      <c r="A340" s="14"/>
      <c r="B340" s="15"/>
      <c r="C340" s="41" t="str">
        <f>+$C324</f>
        <v>December 2024</v>
      </c>
      <c r="D340" s="18"/>
      <c r="E340" s="18"/>
      <c r="F340" s="18"/>
      <c r="G340" s="20" t="str">
        <f>+$G$4</f>
        <v>Mnt</v>
      </c>
      <c r="H340" s="20" t="str">
        <f>+G340</f>
        <v>Mnt</v>
      </c>
      <c r="I340" s="20" t="str">
        <f t="shared" si="86"/>
        <v>Mnt</v>
      </c>
      <c r="J340" s="20" t="str">
        <f t="shared" si="86"/>
        <v>Mnt</v>
      </c>
      <c r="K340" s="20" t="str">
        <f t="shared" si="86"/>
        <v>Mnt</v>
      </c>
      <c r="L340" s="20" t="str">
        <f t="shared" si="86"/>
        <v>Mnt</v>
      </c>
      <c r="M340" s="20" t="str">
        <f t="shared" si="86"/>
        <v>Mnt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1</v>
      </c>
      <c r="H341" s="25">
        <f>+$H$5</f>
        <v>8</v>
      </c>
      <c r="I341" s="25">
        <f>+$I$5</f>
        <v>15</v>
      </c>
      <c r="J341" s="25">
        <f>+$J$5</f>
        <v>22</v>
      </c>
      <c r="K341" s="25">
        <f>+$K$5</f>
        <v>29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175</v>
      </c>
      <c r="H343" s="31">
        <f t="shared" ref="H343:L343" si="87">SUM(H344:H347)</f>
        <v>166</v>
      </c>
      <c r="I343" s="31">
        <f t="shared" si="87"/>
        <v>162</v>
      </c>
      <c r="J343" s="31">
        <f t="shared" si="87"/>
        <v>128</v>
      </c>
      <c r="K343" s="31">
        <f t="shared" si="87"/>
        <v>155</v>
      </c>
      <c r="L343" s="31">
        <f t="shared" si="87"/>
        <v>786</v>
      </c>
      <c r="M343" s="31">
        <f>ROUND((L343/$E$1),0)</f>
        <v>157</v>
      </c>
      <c r="N343" s="32"/>
      <c r="O343" s="34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19</v>
      </c>
      <c r="H344" s="42">
        <v>18</v>
      </c>
      <c r="I344" s="42">
        <v>16</v>
      </c>
      <c r="J344" s="42">
        <v>14</v>
      </c>
      <c r="K344" s="42">
        <v>11</v>
      </c>
      <c r="L344" s="35">
        <f>SUM(G344:K344)</f>
        <v>78</v>
      </c>
      <c r="M344" s="35">
        <f t="shared" ref="M344:M352" si="88">ROUND((L344/$E$1),0)</f>
        <v>16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47</v>
      </c>
      <c r="H345" s="42">
        <v>44</v>
      </c>
      <c r="I345" s="42">
        <v>47</v>
      </c>
      <c r="J345" s="42">
        <v>44</v>
      </c>
      <c r="K345" s="42">
        <v>47</v>
      </c>
      <c r="L345" s="35">
        <f t="shared" ref="L345:L352" si="89">SUM(G345:K345)</f>
        <v>229</v>
      </c>
      <c r="M345" s="35">
        <f t="shared" si="88"/>
        <v>46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26</v>
      </c>
      <c r="H346" s="42">
        <v>28</v>
      </c>
      <c r="I346" s="42">
        <v>31</v>
      </c>
      <c r="J346" s="42">
        <v>27</v>
      </c>
      <c r="K346" s="42">
        <v>31</v>
      </c>
      <c r="L346" s="35">
        <f t="shared" si="89"/>
        <v>143</v>
      </c>
      <c r="M346" s="35">
        <f t="shared" si="88"/>
        <v>29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83</v>
      </c>
      <c r="H347" s="43">
        <v>76</v>
      </c>
      <c r="I347" s="43">
        <v>68</v>
      </c>
      <c r="J347" s="43">
        <v>43</v>
      </c>
      <c r="K347" s="43">
        <v>66</v>
      </c>
      <c r="L347" s="31">
        <f t="shared" si="89"/>
        <v>336</v>
      </c>
      <c r="M347" s="31">
        <f t="shared" si="88"/>
        <v>67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8</v>
      </c>
      <c r="H348" s="42">
        <v>9</v>
      </c>
      <c r="I348" s="42">
        <v>3</v>
      </c>
      <c r="J348" s="42">
        <v>4</v>
      </c>
      <c r="K348" s="42">
        <v>11</v>
      </c>
      <c r="L348" s="35">
        <f t="shared" si="89"/>
        <v>35</v>
      </c>
      <c r="M348" s="35">
        <f t="shared" si="88"/>
        <v>7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8</v>
      </c>
      <c r="H350" s="42">
        <v>6</v>
      </c>
      <c r="I350" s="42">
        <v>4</v>
      </c>
      <c r="J350" s="42">
        <v>5</v>
      </c>
      <c r="K350" s="42">
        <v>7</v>
      </c>
      <c r="L350" s="35">
        <f t="shared" si="89"/>
        <v>30</v>
      </c>
      <c r="M350" s="35">
        <f t="shared" si="88"/>
        <v>6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>
        <v>64</v>
      </c>
      <c r="H351" s="42">
        <v>224</v>
      </c>
      <c r="I351" s="42">
        <v>32</v>
      </c>
      <c r="J351" s="42">
        <v>32</v>
      </c>
      <c r="K351" s="42">
        <v>32</v>
      </c>
      <c r="L351" s="35">
        <f t="shared" si="89"/>
        <v>384</v>
      </c>
      <c r="M351" s="35">
        <f t="shared" si="88"/>
        <v>77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 t="str">
        <f>+$G$3</f>
        <v>Year</v>
      </c>
      <c r="H355" s="10" t="str">
        <f>+G355</f>
        <v>Year</v>
      </c>
      <c r="I355" s="10" t="str">
        <f t="shared" ref="I355:M356" si="90">+H355</f>
        <v>Year</v>
      </c>
      <c r="J355" s="10" t="str">
        <f t="shared" si="90"/>
        <v>Year</v>
      </c>
      <c r="K355" s="10" t="str">
        <f t="shared" si="90"/>
        <v>Year</v>
      </c>
      <c r="L355" s="10" t="str">
        <f t="shared" si="90"/>
        <v>Year</v>
      </c>
      <c r="M355" s="10" t="str">
        <f t="shared" si="90"/>
        <v>Year</v>
      </c>
      <c r="N355" s="11"/>
      <c r="S355" s="12" t="str">
        <f>+C355</f>
        <v>Bulunga</v>
      </c>
      <c r="T355" s="13">
        <f>+L359</f>
        <v>142</v>
      </c>
      <c r="U355" s="13">
        <f>+L360+L361</f>
        <v>20</v>
      </c>
      <c r="V355" s="13">
        <f>+L362+L363</f>
        <v>122</v>
      </c>
      <c r="W355" s="13">
        <f>+L366</f>
        <v>28</v>
      </c>
      <c r="X355" s="13">
        <f>+L364</f>
        <v>19</v>
      </c>
    </row>
    <row r="356" spans="1:24" x14ac:dyDescent="0.25">
      <c r="A356" s="14"/>
      <c r="B356" s="15"/>
      <c r="C356" s="41" t="str">
        <f>+$C340</f>
        <v>December 2024</v>
      </c>
      <c r="D356" s="18"/>
      <c r="E356" s="18"/>
      <c r="F356" s="18"/>
      <c r="G356" s="20" t="str">
        <f>+$G$4</f>
        <v>Mnt</v>
      </c>
      <c r="H356" s="20" t="str">
        <f>+G356</f>
        <v>Mnt</v>
      </c>
      <c r="I356" s="20" t="str">
        <f t="shared" si="90"/>
        <v>Mnt</v>
      </c>
      <c r="J356" s="20" t="str">
        <f t="shared" si="90"/>
        <v>Mnt</v>
      </c>
      <c r="K356" s="20" t="str">
        <f t="shared" si="90"/>
        <v>Mnt</v>
      </c>
      <c r="L356" s="20" t="str">
        <f t="shared" si="90"/>
        <v>Mnt</v>
      </c>
      <c r="M356" s="20" t="str">
        <f t="shared" si="90"/>
        <v>Mnt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1</v>
      </c>
      <c r="H357" s="25">
        <f>+$H$5</f>
        <v>8</v>
      </c>
      <c r="I357" s="25">
        <f>+$I$5</f>
        <v>15</v>
      </c>
      <c r="J357" s="25">
        <f>+$J$5</f>
        <v>22</v>
      </c>
      <c r="K357" s="25">
        <f>+$K$5</f>
        <v>29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35</v>
      </c>
      <c r="H359" s="31">
        <f t="shared" ref="H359:L359" si="91">SUM(H360:H363)</f>
        <v>34</v>
      </c>
      <c r="I359" s="31">
        <f t="shared" si="91"/>
        <v>25</v>
      </c>
      <c r="J359" s="31">
        <f t="shared" si="91"/>
        <v>25</v>
      </c>
      <c r="K359" s="31">
        <f t="shared" si="91"/>
        <v>23</v>
      </c>
      <c r="L359" s="31">
        <f t="shared" si="91"/>
        <v>142</v>
      </c>
      <c r="M359" s="31">
        <f>ROUND((L359/$E$1),0)</f>
        <v>28</v>
      </c>
      <c r="N359" s="32"/>
      <c r="O359" s="34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2</v>
      </c>
      <c r="H360" s="42">
        <v>2</v>
      </c>
      <c r="I360" s="42">
        <v>2</v>
      </c>
      <c r="J360" s="42">
        <v>2</v>
      </c>
      <c r="K360" s="42">
        <v>2</v>
      </c>
      <c r="L360" s="35">
        <f>SUM(G360:K360)</f>
        <v>10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2</v>
      </c>
      <c r="H361" s="42">
        <v>2</v>
      </c>
      <c r="I361" s="42">
        <v>2</v>
      </c>
      <c r="J361" s="42">
        <v>2</v>
      </c>
      <c r="K361" s="42">
        <v>2</v>
      </c>
      <c r="L361" s="35">
        <f t="shared" ref="L361:L368" si="93">SUM(G361:K361)</f>
        <v>10</v>
      </c>
      <c r="M361" s="35">
        <f t="shared" si="92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10</v>
      </c>
      <c r="H362" s="42">
        <v>11</v>
      </c>
      <c r="I362" s="42">
        <v>9</v>
      </c>
      <c r="J362" s="42">
        <v>8</v>
      </c>
      <c r="K362" s="42">
        <v>7</v>
      </c>
      <c r="L362" s="35">
        <f t="shared" si="93"/>
        <v>45</v>
      </c>
      <c r="M362" s="35">
        <f t="shared" si="92"/>
        <v>9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21</v>
      </c>
      <c r="H363" s="43">
        <v>19</v>
      </c>
      <c r="I363" s="43">
        <v>12</v>
      </c>
      <c r="J363" s="43">
        <v>13</v>
      </c>
      <c r="K363" s="43">
        <v>12</v>
      </c>
      <c r="L363" s="31">
        <f t="shared" si="93"/>
        <v>77</v>
      </c>
      <c r="M363" s="31">
        <f t="shared" si="92"/>
        <v>15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>
        <v>5</v>
      </c>
      <c r="H364" s="42">
        <v>5</v>
      </c>
      <c r="I364" s="42">
        <v>4</v>
      </c>
      <c r="J364" s="42"/>
      <c r="K364" s="42">
        <v>5</v>
      </c>
      <c r="L364" s="35">
        <f t="shared" si="93"/>
        <v>19</v>
      </c>
      <c r="M364" s="35">
        <f t="shared" si="92"/>
        <v>4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6</v>
      </c>
      <c r="H366" s="42">
        <v>5</v>
      </c>
      <c r="I366" s="42">
        <v>6</v>
      </c>
      <c r="J366" s="42">
        <v>8</v>
      </c>
      <c r="K366" s="42">
        <v>3</v>
      </c>
      <c r="L366" s="35">
        <f t="shared" si="93"/>
        <v>28</v>
      </c>
      <c r="M366" s="35">
        <f t="shared" si="92"/>
        <v>6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>
        <v>256</v>
      </c>
      <c r="H367" s="42">
        <v>256</v>
      </c>
      <c r="I367" s="42">
        <v>128</v>
      </c>
      <c r="J367" s="42">
        <v>192</v>
      </c>
      <c r="K367" s="42"/>
      <c r="L367" s="35">
        <f t="shared" si="93"/>
        <v>832</v>
      </c>
      <c r="M367" s="35">
        <f t="shared" si="92"/>
        <v>166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 t="str">
        <f>+$G$3</f>
        <v>Year</v>
      </c>
      <c r="H371" s="10" t="str">
        <f>+G371</f>
        <v>Year</v>
      </c>
      <c r="I371" s="10" t="str">
        <f t="shared" ref="I371:M372" si="94">+H371</f>
        <v>Year</v>
      </c>
      <c r="J371" s="10" t="str">
        <f t="shared" si="94"/>
        <v>Year</v>
      </c>
      <c r="K371" s="10" t="str">
        <f t="shared" si="94"/>
        <v>Year</v>
      </c>
      <c r="L371" s="10" t="str">
        <f t="shared" si="94"/>
        <v>Year</v>
      </c>
      <c r="M371" s="10" t="str">
        <f t="shared" si="94"/>
        <v>Year</v>
      </c>
      <c r="N371" s="11"/>
      <c r="P371" s="44"/>
      <c r="S371" s="12" t="str">
        <f>+C371</f>
        <v>Mbowane</v>
      </c>
      <c r="T371" s="13">
        <f>+L375</f>
        <v>109</v>
      </c>
      <c r="U371" s="13">
        <f>+L376+L377</f>
        <v>27</v>
      </c>
      <c r="V371" s="13">
        <f>+L378+L379</f>
        <v>82</v>
      </c>
      <c r="W371" s="13">
        <f>+L382</f>
        <v>5</v>
      </c>
      <c r="X371" s="13">
        <f>+L380</f>
        <v>0</v>
      </c>
    </row>
    <row r="372" spans="1:24" x14ac:dyDescent="0.25">
      <c r="A372" s="14"/>
      <c r="B372" s="15"/>
      <c r="C372" s="41" t="str">
        <f>+$C356</f>
        <v>December 2024</v>
      </c>
      <c r="D372" s="18"/>
      <c r="E372" s="18"/>
      <c r="F372" s="18"/>
      <c r="G372" s="20" t="str">
        <f>+$G$4</f>
        <v>Mnt</v>
      </c>
      <c r="H372" s="20" t="str">
        <f>+G372</f>
        <v>Mnt</v>
      </c>
      <c r="I372" s="20" t="str">
        <f t="shared" si="94"/>
        <v>Mnt</v>
      </c>
      <c r="J372" s="20" t="str">
        <f t="shared" si="94"/>
        <v>Mnt</v>
      </c>
      <c r="K372" s="20" t="str">
        <f t="shared" si="94"/>
        <v>Mnt</v>
      </c>
      <c r="L372" s="20" t="str">
        <f t="shared" si="94"/>
        <v>Mnt</v>
      </c>
      <c r="M372" s="20" t="str">
        <f t="shared" si="94"/>
        <v>Mnt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1</v>
      </c>
      <c r="H373" s="25">
        <f>+$H$5</f>
        <v>8</v>
      </c>
      <c r="I373" s="25">
        <f>+$I$5</f>
        <v>15</v>
      </c>
      <c r="J373" s="25">
        <f>+$J$5</f>
        <v>22</v>
      </c>
      <c r="K373" s="25">
        <f>+$K$5</f>
        <v>29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35</v>
      </c>
      <c r="H375" s="31">
        <f t="shared" ref="H375:L375" si="95">SUM(H376:H379)</f>
        <v>28</v>
      </c>
      <c r="I375" s="31">
        <f t="shared" si="95"/>
        <v>8</v>
      </c>
      <c r="J375" s="31">
        <f t="shared" si="95"/>
        <v>13</v>
      </c>
      <c r="K375" s="31">
        <f t="shared" si="95"/>
        <v>25</v>
      </c>
      <c r="L375" s="31">
        <f t="shared" si="95"/>
        <v>109</v>
      </c>
      <c r="M375" s="31">
        <f>ROUND((L375/$E$1),0)</f>
        <v>22</v>
      </c>
      <c r="N375" s="32"/>
      <c r="O375" s="34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2</v>
      </c>
      <c r="H376" s="42">
        <v>4</v>
      </c>
      <c r="I376" s="42">
        <v>3</v>
      </c>
      <c r="J376" s="42">
        <v>1</v>
      </c>
      <c r="K376" s="42">
        <v>2</v>
      </c>
      <c r="L376" s="35">
        <f>SUM(G376:K376)</f>
        <v>12</v>
      </c>
      <c r="M376" s="35">
        <f t="shared" ref="M376:M384" si="96">ROUND((L376/$E$1),0)</f>
        <v>2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4</v>
      </c>
      <c r="H377" s="42">
        <v>7</v>
      </c>
      <c r="I377" s="42">
        <v>0</v>
      </c>
      <c r="J377" s="42">
        <v>2</v>
      </c>
      <c r="K377" s="42">
        <v>2</v>
      </c>
      <c r="L377" s="35">
        <f t="shared" ref="L377:L384" si="97">SUM(G377:K377)</f>
        <v>15</v>
      </c>
      <c r="M377" s="35">
        <f t="shared" si="96"/>
        <v>3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13</v>
      </c>
      <c r="H378" s="42">
        <v>10</v>
      </c>
      <c r="I378" s="42">
        <v>1</v>
      </c>
      <c r="J378" s="42">
        <v>7</v>
      </c>
      <c r="K378" s="42">
        <v>12</v>
      </c>
      <c r="L378" s="35">
        <f t="shared" si="97"/>
        <v>43</v>
      </c>
      <c r="M378" s="35">
        <f t="shared" si="96"/>
        <v>9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16</v>
      </c>
      <c r="H379" s="43">
        <v>7</v>
      </c>
      <c r="I379" s="43">
        <v>4</v>
      </c>
      <c r="J379" s="43">
        <v>3</v>
      </c>
      <c r="K379" s="43">
        <v>9</v>
      </c>
      <c r="L379" s="31">
        <f t="shared" si="97"/>
        <v>39</v>
      </c>
      <c r="M379" s="31">
        <f t="shared" si="96"/>
        <v>8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97"/>
        <v>0</v>
      </c>
      <c r="M380" s="35">
        <f t="shared" si="96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>
        <v>5</v>
      </c>
      <c r="H382" s="42"/>
      <c r="I382" s="42"/>
      <c r="J382" s="42"/>
      <c r="K382" s="42"/>
      <c r="L382" s="35">
        <f t="shared" si="97"/>
        <v>5</v>
      </c>
      <c r="M382" s="35">
        <f t="shared" si="96"/>
        <v>1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/>
      <c r="H383" s="42"/>
      <c r="I383" s="42"/>
      <c r="J383" s="42"/>
      <c r="K383" s="42"/>
      <c r="L383" s="35">
        <f t="shared" si="97"/>
        <v>0</v>
      </c>
      <c r="M383" s="35">
        <f t="shared" si="96"/>
        <v>0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 t="str">
        <f>+$G$3</f>
        <v>Year</v>
      </c>
      <c r="H387" s="10" t="str">
        <f>+G387</f>
        <v>Year</v>
      </c>
      <c r="I387" s="10" t="str">
        <f t="shared" ref="I387:M388" si="98">+H387</f>
        <v>Year</v>
      </c>
      <c r="J387" s="10" t="str">
        <f t="shared" si="98"/>
        <v>Year</v>
      </c>
      <c r="K387" s="10" t="str">
        <f t="shared" si="98"/>
        <v>Year</v>
      </c>
      <c r="L387" s="10" t="str">
        <f t="shared" si="98"/>
        <v>Year</v>
      </c>
      <c r="M387" s="10" t="str">
        <f t="shared" si="98"/>
        <v>Year</v>
      </c>
      <c r="N387" s="11"/>
      <c r="P387" s="44"/>
      <c r="S387" s="12" t="str">
        <f>+C387</f>
        <v>Sibovini</v>
      </c>
      <c r="T387" s="13">
        <f>+L391</f>
        <v>356</v>
      </c>
      <c r="U387" s="13">
        <f>+L392+L393</f>
        <v>91</v>
      </c>
      <c r="V387" s="13">
        <f>+L394+L395</f>
        <v>265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December 2024</v>
      </c>
      <c r="D388" s="18"/>
      <c r="E388" s="18"/>
      <c r="F388" s="18"/>
      <c r="G388" s="20" t="str">
        <f>+$G$4</f>
        <v>Mnt</v>
      </c>
      <c r="H388" s="20" t="str">
        <f>+G388</f>
        <v>Mnt</v>
      </c>
      <c r="I388" s="20" t="str">
        <f t="shared" si="98"/>
        <v>Mnt</v>
      </c>
      <c r="J388" s="20" t="str">
        <f t="shared" si="98"/>
        <v>Mnt</v>
      </c>
      <c r="K388" s="20" t="str">
        <f t="shared" si="98"/>
        <v>Mnt</v>
      </c>
      <c r="L388" s="20" t="str">
        <f t="shared" si="98"/>
        <v>Mnt</v>
      </c>
      <c r="M388" s="20" t="str">
        <f t="shared" si="98"/>
        <v>Mnt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1</v>
      </c>
      <c r="H389" s="25">
        <f>+$H$5</f>
        <v>8</v>
      </c>
      <c r="I389" s="25">
        <f>+$I$5</f>
        <v>15</v>
      </c>
      <c r="J389" s="25">
        <f>+$J$5</f>
        <v>22</v>
      </c>
      <c r="K389" s="25">
        <f>+$K$5</f>
        <v>29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75</v>
      </c>
      <c r="H391" s="31">
        <f t="shared" ref="H391:L391" si="99">SUM(H392:H395)</f>
        <v>53</v>
      </c>
      <c r="I391" s="31">
        <f t="shared" si="99"/>
        <v>77</v>
      </c>
      <c r="J391" s="31">
        <f t="shared" si="99"/>
        <v>77</v>
      </c>
      <c r="K391" s="31">
        <f t="shared" si="99"/>
        <v>74</v>
      </c>
      <c r="L391" s="31">
        <f t="shared" si="99"/>
        <v>356</v>
      </c>
      <c r="M391" s="31">
        <f>ROUND((L391/$E$1),0)</f>
        <v>71</v>
      </c>
      <c r="N391" s="32"/>
      <c r="O391" s="34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3</v>
      </c>
      <c r="H392" s="42">
        <v>4</v>
      </c>
      <c r="I392" s="42">
        <v>3</v>
      </c>
      <c r="J392" s="42">
        <v>5</v>
      </c>
      <c r="K392" s="42">
        <v>5</v>
      </c>
      <c r="L392" s="35">
        <f>SUM(G392:K392)</f>
        <v>20</v>
      </c>
      <c r="M392" s="35">
        <f t="shared" ref="M392:M400" si="100">ROUND((L392/$E$1),0)</f>
        <v>4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17</v>
      </c>
      <c r="H393" s="42">
        <v>11</v>
      </c>
      <c r="I393" s="42">
        <v>14</v>
      </c>
      <c r="J393" s="42">
        <v>11</v>
      </c>
      <c r="K393" s="42">
        <v>18</v>
      </c>
      <c r="L393" s="35">
        <f t="shared" ref="L393:L400" si="101">SUM(G393:K393)</f>
        <v>71</v>
      </c>
      <c r="M393" s="35">
        <f t="shared" si="100"/>
        <v>14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20</v>
      </c>
      <c r="H394" s="42">
        <v>10</v>
      </c>
      <c r="I394" s="42">
        <v>14</v>
      </c>
      <c r="J394" s="42">
        <v>10</v>
      </c>
      <c r="K394" s="42">
        <v>18</v>
      </c>
      <c r="L394" s="35">
        <f t="shared" si="101"/>
        <v>72</v>
      </c>
      <c r="M394" s="35">
        <f t="shared" si="100"/>
        <v>14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35</v>
      </c>
      <c r="H395" s="43">
        <v>28</v>
      </c>
      <c r="I395" s="43">
        <v>46</v>
      </c>
      <c r="J395" s="43">
        <v>51</v>
      </c>
      <c r="K395" s="43">
        <v>33</v>
      </c>
      <c r="L395" s="31">
        <f t="shared" si="101"/>
        <v>193</v>
      </c>
      <c r="M395" s="31">
        <f t="shared" si="100"/>
        <v>39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 t="str">
        <f>+$G$3</f>
        <v>Year</v>
      </c>
      <c r="H403" s="10" t="str">
        <f>+G403</f>
        <v>Year</v>
      </c>
      <c r="I403" s="10" t="str">
        <f t="shared" ref="I403:M404" si="102">+H403</f>
        <v>Year</v>
      </c>
      <c r="J403" s="10" t="str">
        <f t="shared" si="102"/>
        <v>Year</v>
      </c>
      <c r="K403" s="10" t="str">
        <f t="shared" si="102"/>
        <v>Year</v>
      </c>
      <c r="L403" s="10" t="str">
        <f t="shared" si="102"/>
        <v>Year</v>
      </c>
      <c r="M403" s="10" t="str">
        <f t="shared" si="102"/>
        <v>Year</v>
      </c>
      <c r="N403" s="11"/>
      <c r="P403" s="44"/>
      <c r="S403" s="12" t="str">
        <f>+C403</f>
        <v>Nsubani</v>
      </c>
      <c r="T403" s="13">
        <f>+L407</f>
        <v>403</v>
      </c>
      <c r="U403" s="13">
        <f>+L408+L409</f>
        <v>96</v>
      </c>
      <c r="V403" s="13">
        <f>+L410+L411</f>
        <v>307</v>
      </c>
      <c r="W403" s="13">
        <f>+L414</f>
        <v>46</v>
      </c>
      <c r="X403" s="13">
        <f>+L412</f>
        <v>0</v>
      </c>
    </row>
    <row r="404" spans="1:24" x14ac:dyDescent="0.25">
      <c r="A404" s="14"/>
      <c r="B404" s="15"/>
      <c r="C404" s="41" t="str">
        <f>+$C388</f>
        <v>December 2024</v>
      </c>
      <c r="D404" s="18"/>
      <c r="E404" s="18"/>
      <c r="F404" s="18"/>
      <c r="G404" s="20" t="str">
        <f>+$G$4</f>
        <v>Mnt</v>
      </c>
      <c r="H404" s="20" t="str">
        <f>+G404</f>
        <v>Mnt</v>
      </c>
      <c r="I404" s="20" t="str">
        <f t="shared" si="102"/>
        <v>Mnt</v>
      </c>
      <c r="J404" s="20" t="str">
        <f t="shared" si="102"/>
        <v>Mnt</v>
      </c>
      <c r="K404" s="20" t="str">
        <f t="shared" si="102"/>
        <v>Mnt</v>
      </c>
      <c r="L404" s="20" t="str">
        <f t="shared" si="102"/>
        <v>Mnt</v>
      </c>
      <c r="M404" s="20" t="str">
        <f t="shared" si="102"/>
        <v>Mnt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1</v>
      </c>
      <c r="H405" s="25">
        <f>+$H$5</f>
        <v>8</v>
      </c>
      <c r="I405" s="25">
        <f>+$I$5</f>
        <v>15</v>
      </c>
      <c r="J405" s="25">
        <f>+$J$5</f>
        <v>22</v>
      </c>
      <c r="K405" s="25">
        <f>+$K$5</f>
        <v>29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80</v>
      </c>
      <c r="H407" s="31">
        <f t="shared" ref="H407:L407" si="103">SUM(H408:H411)</f>
        <v>80</v>
      </c>
      <c r="I407" s="31">
        <f t="shared" si="103"/>
        <v>73</v>
      </c>
      <c r="J407" s="31">
        <f t="shared" si="103"/>
        <v>87</v>
      </c>
      <c r="K407" s="31">
        <f t="shared" si="103"/>
        <v>83</v>
      </c>
      <c r="L407" s="31">
        <f t="shared" si="103"/>
        <v>403</v>
      </c>
      <c r="M407" s="31">
        <f>ROUND((L407/$E$1),0)</f>
        <v>81</v>
      </c>
      <c r="N407" s="32"/>
      <c r="O407" s="34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6</v>
      </c>
      <c r="H408" s="42">
        <v>6</v>
      </c>
      <c r="I408" s="42">
        <v>4</v>
      </c>
      <c r="J408" s="42">
        <v>7</v>
      </c>
      <c r="K408" s="42">
        <v>8</v>
      </c>
      <c r="L408" s="35">
        <f>SUM(G408:K408)</f>
        <v>31</v>
      </c>
      <c r="M408" s="35">
        <f t="shared" ref="M408:M416" si="104">ROUND((L408/$E$1),0)</f>
        <v>6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11</v>
      </c>
      <c r="H409" s="42">
        <v>11</v>
      </c>
      <c r="I409" s="42">
        <v>11</v>
      </c>
      <c r="J409" s="42">
        <v>16</v>
      </c>
      <c r="K409" s="42">
        <v>16</v>
      </c>
      <c r="L409" s="35">
        <f t="shared" ref="L409:L416" si="105">SUM(G409:K409)</f>
        <v>65</v>
      </c>
      <c r="M409" s="35">
        <f t="shared" si="104"/>
        <v>13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35</v>
      </c>
      <c r="H410" s="42">
        <v>20</v>
      </c>
      <c r="I410" s="42">
        <v>20</v>
      </c>
      <c r="J410" s="42">
        <v>25</v>
      </c>
      <c r="K410" s="42">
        <v>23</v>
      </c>
      <c r="L410" s="35">
        <f t="shared" si="105"/>
        <v>123</v>
      </c>
      <c r="M410" s="35">
        <f t="shared" si="104"/>
        <v>25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28</v>
      </c>
      <c r="H411" s="43">
        <v>43</v>
      </c>
      <c r="I411" s="43">
        <v>38</v>
      </c>
      <c r="J411" s="43">
        <v>39</v>
      </c>
      <c r="K411" s="43">
        <v>36</v>
      </c>
      <c r="L411" s="31">
        <f t="shared" si="105"/>
        <v>184</v>
      </c>
      <c r="M411" s="31">
        <f t="shared" si="104"/>
        <v>37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11</v>
      </c>
      <c r="H414" s="42">
        <v>12</v>
      </c>
      <c r="I414" s="42">
        <v>7</v>
      </c>
      <c r="J414" s="42">
        <v>7</v>
      </c>
      <c r="K414" s="42">
        <v>9</v>
      </c>
      <c r="L414" s="35">
        <f t="shared" si="105"/>
        <v>46</v>
      </c>
      <c r="M414" s="35">
        <f t="shared" si="104"/>
        <v>9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96</v>
      </c>
      <c r="H415" s="42">
        <v>96</v>
      </c>
      <c r="I415" s="42">
        <v>64</v>
      </c>
      <c r="J415" s="42">
        <v>32</v>
      </c>
      <c r="K415" s="42">
        <v>32</v>
      </c>
      <c r="L415" s="35">
        <f t="shared" si="105"/>
        <v>320</v>
      </c>
      <c r="M415" s="35">
        <f t="shared" si="104"/>
        <v>64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 t="str">
        <f>+$G$3</f>
        <v>Year</v>
      </c>
      <c r="H419" s="10" t="str">
        <f>+G419</f>
        <v>Year</v>
      </c>
      <c r="I419" s="10" t="str">
        <f t="shared" ref="I419:M420" si="106">+H419</f>
        <v>Year</v>
      </c>
      <c r="J419" s="10" t="str">
        <f t="shared" si="106"/>
        <v>Year</v>
      </c>
      <c r="K419" s="10" t="str">
        <f t="shared" si="106"/>
        <v>Year</v>
      </c>
      <c r="L419" s="10" t="str">
        <f t="shared" si="106"/>
        <v>Year</v>
      </c>
      <c r="M419" s="10" t="str">
        <f t="shared" si="106"/>
        <v>Year</v>
      </c>
      <c r="N419" s="11"/>
      <c r="P419" s="44"/>
      <c r="S419" s="12" t="str">
        <f>+C419</f>
        <v>Mhlabubovu</v>
      </c>
      <c r="T419" s="13">
        <f>+L423</f>
        <v>219</v>
      </c>
      <c r="U419" s="13">
        <f>+L424+L425</f>
        <v>51</v>
      </c>
      <c r="V419" s="13">
        <f>+L426+L427</f>
        <v>168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December 2024</v>
      </c>
      <c r="D420" s="18"/>
      <c r="E420" s="18"/>
      <c r="F420" s="18"/>
      <c r="G420" s="20" t="str">
        <f>+$G$4</f>
        <v>Mnt</v>
      </c>
      <c r="H420" s="20" t="str">
        <f>+G420</f>
        <v>Mnt</v>
      </c>
      <c r="I420" s="20" t="str">
        <f t="shared" si="106"/>
        <v>Mnt</v>
      </c>
      <c r="J420" s="20" t="str">
        <f t="shared" si="106"/>
        <v>Mnt</v>
      </c>
      <c r="K420" s="20" t="str">
        <f t="shared" si="106"/>
        <v>Mnt</v>
      </c>
      <c r="L420" s="20" t="str">
        <f t="shared" si="106"/>
        <v>Mnt</v>
      </c>
      <c r="M420" s="20" t="str">
        <f t="shared" si="106"/>
        <v>Mnt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1</v>
      </c>
      <c r="H421" s="25">
        <f>+$H$5</f>
        <v>8</v>
      </c>
      <c r="I421" s="25">
        <f>+$I$5</f>
        <v>15</v>
      </c>
      <c r="J421" s="25">
        <f>+$J$5</f>
        <v>22</v>
      </c>
      <c r="K421" s="25">
        <f>+$K$5</f>
        <v>29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47</v>
      </c>
      <c r="H423" s="31">
        <f t="shared" ref="H423:L423" si="107">SUM(H424:H427)</f>
        <v>52</v>
      </c>
      <c r="I423" s="31">
        <f t="shared" si="107"/>
        <v>53</v>
      </c>
      <c r="J423" s="31">
        <f t="shared" si="107"/>
        <v>45</v>
      </c>
      <c r="K423" s="31">
        <f t="shared" si="107"/>
        <v>22</v>
      </c>
      <c r="L423" s="31">
        <f t="shared" si="107"/>
        <v>219</v>
      </c>
      <c r="M423" s="31">
        <f>ROUND((L423/$E$1),0)</f>
        <v>44</v>
      </c>
      <c r="N423" s="32"/>
      <c r="O423" s="34"/>
      <c r="AA423" s="46">
        <v>47</v>
      </c>
      <c r="AB423" s="46">
        <v>52</v>
      </c>
      <c r="AC423" s="46">
        <v>53</v>
      </c>
      <c r="AD423" s="46">
        <v>45</v>
      </c>
      <c r="AE423" s="46">
        <v>22</v>
      </c>
      <c r="AF423" s="46">
        <v>219</v>
      </c>
      <c r="AG423" s="46">
        <v>44</v>
      </c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/>
      <c r="H424" s="42">
        <v>2</v>
      </c>
      <c r="I424" s="42">
        <v>3</v>
      </c>
      <c r="J424" s="42">
        <v>2</v>
      </c>
      <c r="K424" s="42">
        <v>1</v>
      </c>
      <c r="L424" s="35">
        <f>SUM(G424:K424)</f>
        <v>8</v>
      </c>
      <c r="M424" s="35">
        <f t="shared" ref="M424:M432" si="108">ROUND((L424/$E$1),0)</f>
        <v>2</v>
      </c>
      <c r="N424" s="32"/>
      <c r="AA424" s="46"/>
      <c r="AB424" s="46">
        <v>2</v>
      </c>
      <c r="AC424" s="46">
        <v>3</v>
      </c>
      <c r="AD424" s="46">
        <v>2</v>
      </c>
      <c r="AE424" s="46">
        <v>1</v>
      </c>
      <c r="AF424" s="46">
        <v>8</v>
      </c>
      <c r="AG424" s="46">
        <v>2</v>
      </c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8</v>
      </c>
      <c r="H425" s="42">
        <v>10</v>
      </c>
      <c r="I425" s="42">
        <v>12</v>
      </c>
      <c r="J425" s="42">
        <v>9</v>
      </c>
      <c r="K425" s="42">
        <v>4</v>
      </c>
      <c r="L425" s="35">
        <f t="shared" ref="L425:L432" si="109">SUM(G425:K425)</f>
        <v>43</v>
      </c>
      <c r="M425" s="35">
        <f t="shared" si="108"/>
        <v>9</v>
      </c>
      <c r="N425" s="32"/>
      <c r="AA425" s="46">
        <v>8</v>
      </c>
      <c r="AB425" s="46">
        <v>10</v>
      </c>
      <c r="AC425" s="46">
        <v>12</v>
      </c>
      <c r="AD425" s="46">
        <v>9</v>
      </c>
      <c r="AE425" s="46">
        <v>4</v>
      </c>
      <c r="AF425" s="46">
        <v>43</v>
      </c>
      <c r="AG425" s="46">
        <v>9</v>
      </c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16</v>
      </c>
      <c r="H426" s="42">
        <v>16</v>
      </c>
      <c r="I426" s="42">
        <v>11</v>
      </c>
      <c r="J426" s="42">
        <v>11</v>
      </c>
      <c r="K426" s="42">
        <v>7</v>
      </c>
      <c r="L426" s="35">
        <f t="shared" si="109"/>
        <v>61</v>
      </c>
      <c r="M426" s="35">
        <f t="shared" si="108"/>
        <v>12</v>
      </c>
      <c r="N426" s="32"/>
      <c r="AA426" s="46">
        <v>16</v>
      </c>
      <c r="AB426" s="46">
        <v>16</v>
      </c>
      <c r="AC426" s="46">
        <v>11</v>
      </c>
      <c r="AD426" s="46">
        <v>11</v>
      </c>
      <c r="AE426" s="46">
        <v>7</v>
      </c>
      <c r="AF426" s="46">
        <v>61</v>
      </c>
      <c r="AG426" s="46">
        <v>12</v>
      </c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23</v>
      </c>
      <c r="H427" s="43">
        <v>24</v>
      </c>
      <c r="I427" s="43">
        <v>27</v>
      </c>
      <c r="J427" s="43">
        <v>23</v>
      </c>
      <c r="K427" s="43">
        <v>10</v>
      </c>
      <c r="L427" s="31">
        <f t="shared" si="109"/>
        <v>107</v>
      </c>
      <c r="M427" s="31">
        <f t="shared" si="108"/>
        <v>21</v>
      </c>
      <c r="N427" s="32"/>
      <c r="AA427" s="46">
        <v>23</v>
      </c>
      <c r="AB427" s="46">
        <v>24</v>
      </c>
      <c r="AC427" s="46">
        <v>27</v>
      </c>
      <c r="AD427" s="46">
        <v>23</v>
      </c>
      <c r="AE427" s="46">
        <v>10</v>
      </c>
      <c r="AF427" s="46">
        <v>107</v>
      </c>
      <c r="AG427" s="46">
        <v>21</v>
      </c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>
        <v>0</v>
      </c>
      <c r="AG428" s="46">
        <v>0</v>
      </c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>
        <v>0</v>
      </c>
      <c r="AG429" s="46">
        <v>0</v>
      </c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>
        <v>0</v>
      </c>
      <c r="AG430" s="46">
        <v>0</v>
      </c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>
        <v>0</v>
      </c>
      <c r="AG431" s="46">
        <v>0</v>
      </c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>
        <v>0</v>
      </c>
      <c r="AG432" s="46">
        <v>0</v>
      </c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 t="str">
        <f>+$G$3</f>
        <v>Year</v>
      </c>
      <c r="H435" s="10" t="str">
        <f>+G435</f>
        <v>Year</v>
      </c>
      <c r="I435" s="10" t="str">
        <f t="shared" ref="I435:M436" si="110">+H435</f>
        <v>Year</v>
      </c>
      <c r="J435" s="10" t="str">
        <f t="shared" si="110"/>
        <v>Year</v>
      </c>
      <c r="K435" s="10" t="str">
        <f t="shared" si="110"/>
        <v>Year</v>
      </c>
      <c r="L435" s="10" t="str">
        <f t="shared" si="110"/>
        <v>Year</v>
      </c>
      <c r="M435" s="10" t="str">
        <f t="shared" si="110"/>
        <v>Year</v>
      </c>
      <c r="N435" s="11"/>
      <c r="S435" s="12" t="str">
        <f>+C435</f>
        <v>Jubukweni</v>
      </c>
      <c r="T435" s="13">
        <f>+L439</f>
        <v>130</v>
      </c>
      <c r="U435" s="13">
        <f>+L440+L441</f>
        <v>42</v>
      </c>
      <c r="V435" s="13">
        <f>+L442+L443</f>
        <v>88</v>
      </c>
      <c r="W435" s="13">
        <f>+L446</f>
        <v>36</v>
      </c>
      <c r="X435" s="13">
        <f>+L444</f>
        <v>0</v>
      </c>
    </row>
    <row r="436" spans="1:24" x14ac:dyDescent="0.25">
      <c r="A436" s="14"/>
      <c r="B436" s="15"/>
      <c r="C436" s="41" t="str">
        <f>+$C420</f>
        <v>December 2024</v>
      </c>
      <c r="D436" s="18"/>
      <c r="E436" s="18"/>
      <c r="F436" s="18"/>
      <c r="G436" s="20" t="str">
        <f>+$G$4</f>
        <v>Mnt</v>
      </c>
      <c r="H436" s="20" t="str">
        <f>+G436</f>
        <v>Mnt</v>
      </c>
      <c r="I436" s="20" t="str">
        <f t="shared" si="110"/>
        <v>Mnt</v>
      </c>
      <c r="J436" s="20" t="str">
        <f t="shared" si="110"/>
        <v>Mnt</v>
      </c>
      <c r="K436" s="20" t="str">
        <f t="shared" si="110"/>
        <v>Mnt</v>
      </c>
      <c r="L436" s="20" t="str">
        <f t="shared" si="110"/>
        <v>Mnt</v>
      </c>
      <c r="M436" s="20" t="str">
        <f t="shared" si="110"/>
        <v>Mnt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1</v>
      </c>
      <c r="H437" s="25">
        <f>+$H$5</f>
        <v>8</v>
      </c>
      <c r="I437" s="25">
        <f>+$I$5</f>
        <v>15</v>
      </c>
      <c r="J437" s="25">
        <f>+$J$5</f>
        <v>22</v>
      </c>
      <c r="K437" s="25">
        <f>+$K$5</f>
        <v>29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26</v>
      </c>
      <c r="H439" s="31">
        <f t="shared" ref="H439:L439" si="111">SUM(H440:H443)</f>
        <v>28</v>
      </c>
      <c r="I439" s="31">
        <f t="shared" si="111"/>
        <v>22</v>
      </c>
      <c r="J439" s="31">
        <f t="shared" si="111"/>
        <v>28</v>
      </c>
      <c r="K439" s="31">
        <f t="shared" si="111"/>
        <v>26</v>
      </c>
      <c r="L439" s="31">
        <f t="shared" si="111"/>
        <v>130</v>
      </c>
      <c r="M439" s="31">
        <f>ROUND((L439/$E$1),0)</f>
        <v>26</v>
      </c>
      <c r="N439" s="32"/>
      <c r="O439" s="34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3</v>
      </c>
      <c r="I440" s="42">
        <v>4</v>
      </c>
      <c r="J440" s="42">
        <v>4</v>
      </c>
      <c r="K440" s="42">
        <v>2</v>
      </c>
      <c r="L440" s="35">
        <f>SUM(G440:K440)</f>
        <v>15</v>
      </c>
      <c r="M440" s="35">
        <f t="shared" ref="M440:M448" si="112">ROUND((L440/$E$1),0)</f>
        <v>3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4</v>
      </c>
      <c r="H441" s="42">
        <v>5</v>
      </c>
      <c r="I441" s="42">
        <v>4</v>
      </c>
      <c r="J441" s="42">
        <v>4</v>
      </c>
      <c r="K441" s="42">
        <v>10</v>
      </c>
      <c r="L441" s="35">
        <f t="shared" ref="L441:L448" si="113">SUM(G441:K441)</f>
        <v>27</v>
      </c>
      <c r="M441" s="35">
        <f t="shared" si="112"/>
        <v>5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10</v>
      </c>
      <c r="H442" s="42">
        <v>10</v>
      </c>
      <c r="I442" s="42">
        <v>4</v>
      </c>
      <c r="J442" s="42">
        <v>10</v>
      </c>
      <c r="K442" s="42">
        <v>4</v>
      </c>
      <c r="L442" s="35">
        <f t="shared" si="113"/>
        <v>38</v>
      </c>
      <c r="M442" s="35">
        <f t="shared" si="112"/>
        <v>8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10</v>
      </c>
      <c r="I443" s="43">
        <v>10</v>
      </c>
      <c r="J443" s="43">
        <v>10</v>
      </c>
      <c r="K443" s="43">
        <v>10</v>
      </c>
      <c r="L443" s="31">
        <f t="shared" si="113"/>
        <v>50</v>
      </c>
      <c r="M443" s="31">
        <f t="shared" si="112"/>
        <v>10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>
        <v>2</v>
      </c>
      <c r="H446" s="42">
        <v>4</v>
      </c>
      <c r="I446" s="42">
        <v>10</v>
      </c>
      <c r="J446" s="42">
        <v>10</v>
      </c>
      <c r="K446" s="42">
        <v>10</v>
      </c>
      <c r="L446" s="35">
        <f t="shared" si="113"/>
        <v>36</v>
      </c>
      <c r="M446" s="35">
        <f t="shared" si="112"/>
        <v>7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>
        <v>192</v>
      </c>
      <c r="H447" s="42">
        <v>128</v>
      </c>
      <c r="I447" s="42">
        <v>128</v>
      </c>
      <c r="J447" s="42">
        <v>64</v>
      </c>
      <c r="K447" s="42">
        <v>32</v>
      </c>
      <c r="L447" s="35">
        <f t="shared" si="113"/>
        <v>544</v>
      </c>
      <c r="M447" s="35">
        <f t="shared" si="112"/>
        <v>109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 t="str">
        <f>+$G$3</f>
        <v>Year</v>
      </c>
      <c r="H451" s="10" t="str">
        <f>+G451</f>
        <v>Year</v>
      </c>
      <c r="I451" s="10" t="str">
        <f t="shared" ref="I451:M452" si="114">+H451</f>
        <v>Year</v>
      </c>
      <c r="J451" s="10" t="str">
        <f t="shared" si="114"/>
        <v>Year</v>
      </c>
      <c r="K451" s="10" t="str">
        <f t="shared" si="114"/>
        <v>Year</v>
      </c>
      <c r="L451" s="10" t="str">
        <f t="shared" si="114"/>
        <v>Year</v>
      </c>
      <c r="M451" s="10" t="str">
        <f t="shared" si="114"/>
        <v>Year</v>
      </c>
      <c r="N451" s="11"/>
      <c r="S451" s="12" t="str">
        <f>+C451</f>
        <v>Sigangeni</v>
      </c>
      <c r="T451" s="13">
        <f>+L455</f>
        <v>413</v>
      </c>
      <c r="U451" s="13">
        <f>+L456+L457</f>
        <v>68</v>
      </c>
      <c r="V451" s="13">
        <f>+L458+L459</f>
        <v>345</v>
      </c>
      <c r="W451" s="13">
        <f>+L462</f>
        <v>38</v>
      </c>
      <c r="X451" s="13">
        <f>+L460</f>
        <v>0</v>
      </c>
    </row>
    <row r="452" spans="1:24" x14ac:dyDescent="0.25">
      <c r="A452" s="14"/>
      <c r="B452" s="15"/>
      <c r="C452" s="41" t="str">
        <f>+$C436</f>
        <v>December 2024</v>
      </c>
      <c r="D452" s="18"/>
      <c r="E452" s="18"/>
      <c r="F452" s="18"/>
      <c r="G452" s="20" t="str">
        <f>+$G$4</f>
        <v>Mnt</v>
      </c>
      <c r="H452" s="20" t="str">
        <f>+G452</f>
        <v>Mnt</v>
      </c>
      <c r="I452" s="20" t="str">
        <f t="shared" si="114"/>
        <v>Mnt</v>
      </c>
      <c r="J452" s="20" t="str">
        <f t="shared" si="114"/>
        <v>Mnt</v>
      </c>
      <c r="K452" s="20" t="str">
        <f t="shared" si="114"/>
        <v>Mnt</v>
      </c>
      <c r="L452" s="20" t="str">
        <f t="shared" si="114"/>
        <v>Mnt</v>
      </c>
      <c r="M452" s="20" t="str">
        <f t="shared" si="114"/>
        <v>Mnt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1</v>
      </c>
      <c r="H453" s="25">
        <f>+$H$5</f>
        <v>8</v>
      </c>
      <c r="I453" s="25">
        <f>+$I$5</f>
        <v>15</v>
      </c>
      <c r="J453" s="25">
        <f>+$J$5</f>
        <v>22</v>
      </c>
      <c r="K453" s="25">
        <f>+$K$5</f>
        <v>29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89</v>
      </c>
      <c r="H455" s="31">
        <f t="shared" ref="H455:L455" si="115">SUM(H456:H459)</f>
        <v>60</v>
      </c>
      <c r="I455" s="31">
        <f t="shared" si="115"/>
        <v>80</v>
      </c>
      <c r="J455" s="31">
        <f t="shared" si="115"/>
        <v>113</v>
      </c>
      <c r="K455" s="31">
        <f t="shared" si="115"/>
        <v>71</v>
      </c>
      <c r="L455" s="31">
        <f t="shared" si="115"/>
        <v>413</v>
      </c>
      <c r="M455" s="31">
        <f>ROUND((L455/$E$1),0)</f>
        <v>83</v>
      </c>
      <c r="N455" s="32"/>
      <c r="O455" s="34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6</v>
      </c>
      <c r="H456" s="42">
        <v>7</v>
      </c>
      <c r="I456" s="42">
        <v>7</v>
      </c>
      <c r="J456" s="42">
        <v>7</v>
      </c>
      <c r="K456" s="42">
        <v>7</v>
      </c>
      <c r="L456" s="35">
        <f>SUM(G456:K456)</f>
        <v>34</v>
      </c>
      <c r="M456" s="35">
        <f t="shared" ref="M456:M464" si="116">ROUND((L456/$E$1),0)</f>
        <v>7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9</v>
      </c>
      <c r="H457" s="42">
        <v>5</v>
      </c>
      <c r="I457" s="42">
        <v>6</v>
      </c>
      <c r="J457" s="42">
        <v>8</v>
      </c>
      <c r="K457" s="42">
        <v>6</v>
      </c>
      <c r="L457" s="35">
        <f t="shared" ref="L457:L464" si="117">SUM(G457:K457)</f>
        <v>34</v>
      </c>
      <c r="M457" s="35">
        <f t="shared" si="116"/>
        <v>7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17</v>
      </c>
      <c r="H458" s="42">
        <v>16</v>
      </c>
      <c r="I458" s="42">
        <v>19</v>
      </c>
      <c r="J458" s="42">
        <v>21</v>
      </c>
      <c r="K458" s="42">
        <v>23</v>
      </c>
      <c r="L458" s="35">
        <f t="shared" si="117"/>
        <v>96</v>
      </c>
      <c r="M458" s="35">
        <f t="shared" si="116"/>
        <v>19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57</v>
      </c>
      <c r="H459" s="43">
        <v>32</v>
      </c>
      <c r="I459" s="43">
        <v>48</v>
      </c>
      <c r="J459" s="43">
        <v>77</v>
      </c>
      <c r="K459" s="43">
        <v>35</v>
      </c>
      <c r="L459" s="31">
        <f t="shared" si="117"/>
        <v>249</v>
      </c>
      <c r="M459" s="31">
        <f t="shared" si="116"/>
        <v>50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9</v>
      </c>
      <c r="H462" s="42">
        <v>8</v>
      </c>
      <c r="I462" s="42">
        <v>7</v>
      </c>
      <c r="J462" s="42">
        <v>6</v>
      </c>
      <c r="K462" s="42">
        <v>8</v>
      </c>
      <c r="L462" s="35">
        <f t="shared" si="117"/>
        <v>38</v>
      </c>
      <c r="M462" s="35">
        <f t="shared" si="116"/>
        <v>8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 t="str">
        <f>+$G$3</f>
        <v>Year</v>
      </c>
      <c r="H467" s="10" t="str">
        <f>+G467</f>
        <v>Year</v>
      </c>
      <c r="I467" s="10" t="str">
        <f t="shared" ref="I467:M468" si="118">+H467</f>
        <v>Year</v>
      </c>
      <c r="J467" s="10" t="str">
        <f t="shared" si="118"/>
        <v>Year</v>
      </c>
      <c r="K467" s="10" t="str">
        <f t="shared" si="118"/>
        <v>Year</v>
      </c>
      <c r="L467" s="10" t="str">
        <f t="shared" si="118"/>
        <v>Year</v>
      </c>
      <c r="M467" s="10" t="str">
        <f t="shared" si="118"/>
        <v>Year</v>
      </c>
      <c r="N467" s="11"/>
      <c r="S467" s="12" t="str">
        <f>+C467</f>
        <v>Sgombeni</v>
      </c>
      <c r="T467" s="13">
        <f>+L471</f>
        <v>330</v>
      </c>
      <c r="U467" s="13">
        <f>+L472+L473</f>
        <v>101</v>
      </c>
      <c r="V467" s="13">
        <f>+L474+L475</f>
        <v>229</v>
      </c>
      <c r="W467" s="13">
        <f>+L478</f>
        <v>15</v>
      </c>
      <c r="X467" s="13">
        <f>+L476</f>
        <v>0</v>
      </c>
    </row>
    <row r="468" spans="1:24" x14ac:dyDescent="0.25">
      <c r="A468" s="14"/>
      <c r="B468" s="15"/>
      <c r="C468" s="41" t="str">
        <f>+$C452</f>
        <v>December 2024</v>
      </c>
      <c r="D468" s="18"/>
      <c r="E468" s="18"/>
      <c r="F468" s="18"/>
      <c r="G468" s="20" t="str">
        <f>+$G$4</f>
        <v>Mnt</v>
      </c>
      <c r="H468" s="20" t="str">
        <f>+G468</f>
        <v>Mnt</v>
      </c>
      <c r="I468" s="20" t="str">
        <f t="shared" si="118"/>
        <v>Mnt</v>
      </c>
      <c r="J468" s="20" t="str">
        <f t="shared" si="118"/>
        <v>Mnt</v>
      </c>
      <c r="K468" s="20" t="str">
        <f t="shared" si="118"/>
        <v>Mnt</v>
      </c>
      <c r="L468" s="20" t="str">
        <f t="shared" si="118"/>
        <v>Mnt</v>
      </c>
      <c r="M468" s="20" t="str">
        <f t="shared" si="118"/>
        <v>Mnt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1</v>
      </c>
      <c r="H469" s="25">
        <f>+$H$5</f>
        <v>8</v>
      </c>
      <c r="I469" s="25">
        <f>+$I$5</f>
        <v>15</v>
      </c>
      <c r="J469" s="25">
        <f>+$J$5</f>
        <v>22</v>
      </c>
      <c r="K469" s="25">
        <f>+$K$5</f>
        <v>29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76</v>
      </c>
      <c r="H471" s="31">
        <f t="shared" ref="H471:L471" si="119">SUM(H472:H475)</f>
        <v>90</v>
      </c>
      <c r="I471" s="31">
        <f t="shared" si="119"/>
        <v>59</v>
      </c>
      <c r="J471" s="31">
        <f t="shared" si="119"/>
        <v>49</v>
      </c>
      <c r="K471" s="31">
        <f t="shared" si="119"/>
        <v>56</v>
      </c>
      <c r="L471" s="31">
        <f t="shared" si="119"/>
        <v>330</v>
      </c>
      <c r="M471" s="31">
        <f>ROUND((L471/$E$1),0)</f>
        <v>66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9</v>
      </c>
      <c r="H472" s="42">
        <v>10</v>
      </c>
      <c r="I472" s="42">
        <v>6</v>
      </c>
      <c r="J472" s="42">
        <v>5</v>
      </c>
      <c r="K472" s="42">
        <v>3</v>
      </c>
      <c r="L472" s="35">
        <f>SUM(G472:K472)</f>
        <v>33</v>
      </c>
      <c r="M472" s="35">
        <f t="shared" ref="M472:M480" si="120">ROUND((L472/$E$1),0)</f>
        <v>7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17</v>
      </c>
      <c r="H473" s="42">
        <v>15</v>
      </c>
      <c r="I473" s="42">
        <v>12</v>
      </c>
      <c r="J473" s="42">
        <v>9</v>
      </c>
      <c r="K473" s="42">
        <v>15</v>
      </c>
      <c r="L473" s="35">
        <f t="shared" ref="L473:L480" si="121">SUM(G473:K473)</f>
        <v>68</v>
      </c>
      <c r="M473" s="35">
        <f t="shared" si="120"/>
        <v>14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18</v>
      </c>
      <c r="H474" s="42">
        <v>19</v>
      </c>
      <c r="I474" s="42">
        <v>15</v>
      </c>
      <c r="J474" s="42">
        <v>12</v>
      </c>
      <c r="K474" s="42">
        <v>18</v>
      </c>
      <c r="L474" s="35">
        <f t="shared" si="121"/>
        <v>82</v>
      </c>
      <c r="M474" s="35">
        <f t="shared" si="120"/>
        <v>16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32</v>
      </c>
      <c r="H475" s="43">
        <v>46</v>
      </c>
      <c r="I475" s="43">
        <v>26</v>
      </c>
      <c r="J475" s="43">
        <v>23</v>
      </c>
      <c r="K475" s="43">
        <v>20</v>
      </c>
      <c r="L475" s="31">
        <f t="shared" si="121"/>
        <v>147</v>
      </c>
      <c r="M475" s="31">
        <f t="shared" si="120"/>
        <v>29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3</v>
      </c>
      <c r="H478" s="42">
        <v>5</v>
      </c>
      <c r="I478" s="42">
        <v>2</v>
      </c>
      <c r="J478" s="42">
        <v>3</v>
      </c>
      <c r="K478" s="42">
        <v>2</v>
      </c>
      <c r="L478" s="35">
        <f t="shared" si="121"/>
        <v>15</v>
      </c>
      <c r="M478" s="35">
        <f t="shared" si="120"/>
        <v>3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/>
      <c r="H479" s="42"/>
      <c r="I479" s="42">
        <v>30</v>
      </c>
      <c r="J479" s="42">
        <v>25</v>
      </c>
      <c r="K479" s="42">
        <v>20</v>
      </c>
      <c r="L479" s="35">
        <f t="shared" si="121"/>
        <v>75</v>
      </c>
      <c r="M479" s="35">
        <f t="shared" si="120"/>
        <v>15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 t="str">
        <f>+$G$3</f>
        <v>Year</v>
      </c>
      <c r="H483" s="10" t="str">
        <f>+G483</f>
        <v>Year</v>
      </c>
      <c r="I483" s="10" t="str">
        <f t="shared" ref="I483:M484" si="122">+H483</f>
        <v>Year</v>
      </c>
      <c r="J483" s="10" t="str">
        <f t="shared" si="122"/>
        <v>Year</v>
      </c>
      <c r="K483" s="10" t="str">
        <f t="shared" si="122"/>
        <v>Year</v>
      </c>
      <c r="L483" s="10" t="str">
        <f t="shared" si="122"/>
        <v>Year</v>
      </c>
      <c r="M483" s="10" t="str">
        <f t="shared" si="122"/>
        <v>Year</v>
      </c>
      <c r="N483" s="11"/>
      <c r="S483" s="12" t="str">
        <f>+C483</f>
        <v>Lushikishini</v>
      </c>
      <c r="T483" s="13">
        <f>+L487</f>
        <v>268</v>
      </c>
      <c r="U483" s="13">
        <f>+L488+L489</f>
        <v>90</v>
      </c>
      <c r="V483" s="13">
        <f>+L490+L491</f>
        <v>178</v>
      </c>
      <c r="W483" s="13">
        <f>+L494</f>
        <v>0</v>
      </c>
      <c r="X483" s="13">
        <f>+L492</f>
        <v>0</v>
      </c>
    </row>
    <row r="484" spans="1:24" x14ac:dyDescent="0.25">
      <c r="A484" s="14"/>
      <c r="B484" s="15"/>
      <c r="C484" s="41" t="str">
        <f>+$C468</f>
        <v>December 2024</v>
      </c>
      <c r="D484" s="18"/>
      <c r="E484" s="18"/>
      <c r="F484" s="18"/>
      <c r="G484" s="20" t="str">
        <f>+$G$4</f>
        <v>Mnt</v>
      </c>
      <c r="H484" s="20" t="str">
        <f>+G484</f>
        <v>Mnt</v>
      </c>
      <c r="I484" s="20" t="str">
        <f t="shared" si="122"/>
        <v>Mnt</v>
      </c>
      <c r="J484" s="20" t="str">
        <f t="shared" si="122"/>
        <v>Mnt</v>
      </c>
      <c r="K484" s="20" t="str">
        <f t="shared" si="122"/>
        <v>Mnt</v>
      </c>
      <c r="L484" s="20" t="str">
        <f t="shared" si="122"/>
        <v>Mnt</v>
      </c>
      <c r="M484" s="20" t="str">
        <f t="shared" si="122"/>
        <v>Mnt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1</v>
      </c>
      <c r="H485" s="25">
        <f>+$H$5</f>
        <v>8</v>
      </c>
      <c r="I485" s="25">
        <f>+$I$5</f>
        <v>15</v>
      </c>
      <c r="J485" s="25">
        <f>+$J$5</f>
        <v>22</v>
      </c>
      <c r="K485" s="25">
        <f>+$K$5</f>
        <v>29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48</v>
      </c>
      <c r="H487" s="31">
        <f t="shared" ref="H487:L487" si="123">SUM(H488:H491)</f>
        <v>78</v>
      </c>
      <c r="I487" s="31">
        <f t="shared" si="123"/>
        <v>49</v>
      </c>
      <c r="J487" s="31">
        <f t="shared" si="123"/>
        <v>58</v>
      </c>
      <c r="K487" s="31">
        <f t="shared" si="123"/>
        <v>35</v>
      </c>
      <c r="L487" s="31">
        <f t="shared" si="123"/>
        <v>268</v>
      </c>
      <c r="M487" s="31">
        <f>ROUND((L487/$E$1),0)</f>
        <v>54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3</v>
      </c>
      <c r="H488" s="42">
        <v>6</v>
      </c>
      <c r="I488" s="42">
        <v>3</v>
      </c>
      <c r="J488" s="42">
        <v>4</v>
      </c>
      <c r="K488" s="42">
        <v>4</v>
      </c>
      <c r="L488" s="35">
        <f>SUM(G488:K488)</f>
        <v>20</v>
      </c>
      <c r="M488" s="35">
        <f t="shared" ref="M488:M496" si="124">ROUND((L488/$E$1),0)</f>
        <v>4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11</v>
      </c>
      <c r="H489" s="42">
        <v>24</v>
      </c>
      <c r="I489" s="42">
        <v>11</v>
      </c>
      <c r="J489" s="42">
        <v>18</v>
      </c>
      <c r="K489" s="42">
        <v>6</v>
      </c>
      <c r="L489" s="35">
        <f t="shared" ref="L489:L496" si="125">SUM(G489:K489)</f>
        <v>70</v>
      </c>
      <c r="M489" s="35">
        <f t="shared" si="124"/>
        <v>14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12</v>
      </c>
      <c r="H490" s="42">
        <v>12</v>
      </c>
      <c r="I490" s="42">
        <v>11</v>
      </c>
      <c r="J490" s="42">
        <v>11</v>
      </c>
      <c r="K490" s="42">
        <v>9</v>
      </c>
      <c r="L490" s="35">
        <f t="shared" si="125"/>
        <v>55</v>
      </c>
      <c r="M490" s="35">
        <f t="shared" si="124"/>
        <v>11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22</v>
      </c>
      <c r="H491" s="43">
        <v>36</v>
      </c>
      <c r="I491" s="43">
        <v>24</v>
      </c>
      <c r="J491" s="43">
        <v>25</v>
      </c>
      <c r="K491" s="43">
        <v>16</v>
      </c>
      <c r="L491" s="31">
        <f t="shared" si="125"/>
        <v>123</v>
      </c>
      <c r="M491" s="31">
        <f t="shared" si="124"/>
        <v>25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/>
      <c r="J492" s="42"/>
      <c r="K492" s="42"/>
      <c r="L492" s="35">
        <f t="shared" si="125"/>
        <v>0</v>
      </c>
      <c r="M492" s="35">
        <f t="shared" si="124"/>
        <v>0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/>
      <c r="I494" s="42"/>
      <c r="J494" s="42"/>
      <c r="K494" s="42"/>
      <c r="L494" s="35">
        <f t="shared" si="125"/>
        <v>0</v>
      </c>
      <c r="M494" s="35">
        <f t="shared" si="124"/>
        <v>0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/>
      <c r="I495" s="42"/>
      <c r="J495" s="42"/>
      <c r="K495" s="42">
        <v>64</v>
      </c>
      <c r="L495" s="35">
        <f t="shared" si="125"/>
        <v>64</v>
      </c>
      <c r="M495" s="35">
        <f t="shared" si="124"/>
        <v>13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 t="str">
        <f>+$G$3</f>
        <v>Year</v>
      </c>
      <c r="H499" s="10" t="str">
        <f>+G499</f>
        <v>Year</v>
      </c>
      <c r="I499" s="10" t="str">
        <f t="shared" ref="I499:M500" si="126">+H499</f>
        <v>Year</v>
      </c>
      <c r="J499" s="10" t="str">
        <f t="shared" si="126"/>
        <v>Year</v>
      </c>
      <c r="K499" s="10" t="str">
        <f t="shared" si="126"/>
        <v>Year</v>
      </c>
      <c r="L499" s="10" t="str">
        <f t="shared" si="126"/>
        <v>Year</v>
      </c>
      <c r="M499" s="10" t="str">
        <f t="shared" si="126"/>
        <v>Year</v>
      </c>
      <c r="N499" s="11"/>
      <c r="S499" s="12" t="str">
        <f>+C499</f>
        <v>Sigengeni (Shiselweni)</v>
      </c>
      <c r="T499" s="13">
        <f>+L503</f>
        <v>393</v>
      </c>
      <c r="U499" s="13">
        <f>+L504+L505</f>
        <v>63</v>
      </c>
      <c r="V499" s="13">
        <f>+L506+L507</f>
        <v>330</v>
      </c>
      <c r="W499" s="13">
        <f>+L510</f>
        <v>8</v>
      </c>
      <c r="X499" s="13">
        <f>+L508</f>
        <v>4</v>
      </c>
    </row>
    <row r="500" spans="1:24" x14ac:dyDescent="0.25">
      <c r="A500" s="14"/>
      <c r="B500" s="15"/>
      <c r="C500" s="41" t="str">
        <f>+$C484</f>
        <v>December 2024</v>
      </c>
      <c r="D500" s="18"/>
      <c r="E500" s="18"/>
      <c r="F500" s="18"/>
      <c r="G500" s="20" t="str">
        <f>+$G$4</f>
        <v>Mnt</v>
      </c>
      <c r="H500" s="20" t="str">
        <f>+G500</f>
        <v>Mnt</v>
      </c>
      <c r="I500" s="20" t="str">
        <f t="shared" si="126"/>
        <v>Mnt</v>
      </c>
      <c r="J500" s="20" t="str">
        <f t="shared" si="126"/>
        <v>Mnt</v>
      </c>
      <c r="K500" s="20" t="str">
        <f t="shared" si="126"/>
        <v>Mnt</v>
      </c>
      <c r="L500" s="20" t="str">
        <f t="shared" si="126"/>
        <v>Mnt</v>
      </c>
      <c r="M500" s="20" t="str">
        <f t="shared" si="126"/>
        <v>Mnt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1</v>
      </c>
      <c r="H501" s="25">
        <f>+$H$5</f>
        <v>8</v>
      </c>
      <c r="I501" s="25">
        <f>+$I$5</f>
        <v>15</v>
      </c>
      <c r="J501" s="25">
        <f>+$J$5</f>
        <v>22</v>
      </c>
      <c r="K501" s="25">
        <f>+$K$5</f>
        <v>29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70</v>
      </c>
      <c r="H503" s="31">
        <f t="shared" ref="H503:L503" si="127">SUM(H504:H507)</f>
        <v>90</v>
      </c>
      <c r="I503" s="31">
        <f t="shared" si="127"/>
        <v>81</v>
      </c>
      <c r="J503" s="31">
        <f t="shared" si="127"/>
        <v>97</v>
      </c>
      <c r="K503" s="31">
        <f t="shared" si="127"/>
        <v>55</v>
      </c>
      <c r="L503" s="31">
        <f t="shared" si="127"/>
        <v>393</v>
      </c>
      <c r="M503" s="31">
        <f>ROUND((L503/$E$1),0)</f>
        <v>79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3</v>
      </c>
      <c r="H504" s="42">
        <v>4</v>
      </c>
      <c r="I504" s="42">
        <v>2</v>
      </c>
      <c r="J504" s="42">
        <v>4</v>
      </c>
      <c r="K504" s="42">
        <v>3</v>
      </c>
      <c r="L504" s="35">
        <f>SUM(G504:K504)</f>
        <v>16</v>
      </c>
      <c r="M504" s="35">
        <f t="shared" ref="M504:M512" si="128">ROUND((L504/$E$1),0)</f>
        <v>3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9</v>
      </c>
      <c r="H505" s="42">
        <v>11</v>
      </c>
      <c r="I505" s="42">
        <v>10</v>
      </c>
      <c r="J505" s="42">
        <v>10</v>
      </c>
      <c r="K505" s="42">
        <v>7</v>
      </c>
      <c r="L505" s="35">
        <f t="shared" ref="L505:L512" si="129">SUM(G505:K505)</f>
        <v>47</v>
      </c>
      <c r="M505" s="35">
        <f t="shared" si="128"/>
        <v>9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12</v>
      </c>
      <c r="H506" s="42">
        <v>17</v>
      </c>
      <c r="I506" s="42">
        <v>13</v>
      </c>
      <c r="J506" s="42">
        <v>15</v>
      </c>
      <c r="K506" s="42">
        <v>13</v>
      </c>
      <c r="L506" s="35">
        <f t="shared" si="129"/>
        <v>70</v>
      </c>
      <c r="M506" s="35">
        <f t="shared" si="128"/>
        <v>14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46</v>
      </c>
      <c r="H507" s="43">
        <v>58</v>
      </c>
      <c r="I507" s="43">
        <v>56</v>
      </c>
      <c r="J507" s="43">
        <v>68</v>
      </c>
      <c r="K507" s="43">
        <v>32</v>
      </c>
      <c r="L507" s="31">
        <f t="shared" si="129"/>
        <v>260</v>
      </c>
      <c r="M507" s="31">
        <f t="shared" si="128"/>
        <v>52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>
        <v>4</v>
      </c>
      <c r="I508" s="42"/>
      <c r="J508" s="42"/>
      <c r="K508" s="42"/>
      <c r="L508" s="35">
        <f t="shared" si="129"/>
        <v>4</v>
      </c>
      <c r="M508" s="35">
        <f t="shared" si="128"/>
        <v>1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/>
      <c r="H510" s="42">
        <v>3</v>
      </c>
      <c r="I510" s="42"/>
      <c r="J510" s="42">
        <v>3</v>
      </c>
      <c r="K510" s="42">
        <v>2</v>
      </c>
      <c r="L510" s="35">
        <f t="shared" si="129"/>
        <v>8</v>
      </c>
      <c r="M510" s="35">
        <f t="shared" si="128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160</v>
      </c>
      <c r="H511" s="42">
        <v>256</v>
      </c>
      <c r="I511" s="42">
        <v>128</v>
      </c>
      <c r="J511" s="42">
        <v>160</v>
      </c>
      <c r="K511" s="42">
        <v>128</v>
      </c>
      <c r="L511" s="35">
        <f t="shared" si="129"/>
        <v>832</v>
      </c>
      <c r="M511" s="35">
        <f t="shared" si="128"/>
        <v>166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 t="str">
        <f>+$G$3</f>
        <v>Year</v>
      </c>
      <c r="H515" s="10" t="str">
        <f>+G515</f>
        <v>Year</v>
      </c>
      <c r="I515" s="10" t="str">
        <f t="shared" ref="I515:M516" si="130">+H515</f>
        <v>Year</v>
      </c>
      <c r="J515" s="10" t="str">
        <f t="shared" si="130"/>
        <v>Year</v>
      </c>
      <c r="K515" s="10" t="str">
        <f t="shared" si="130"/>
        <v>Year</v>
      </c>
      <c r="L515" s="10" t="str">
        <f t="shared" si="130"/>
        <v>Year</v>
      </c>
      <c r="M515" s="10" t="str">
        <f t="shared" si="130"/>
        <v>Year</v>
      </c>
      <c r="N515" s="11"/>
      <c r="S515" s="12" t="str">
        <f>+C515</f>
        <v>Gundviwini</v>
      </c>
      <c r="T515" s="13">
        <f>+L519</f>
        <v>323</v>
      </c>
      <c r="U515" s="13">
        <f>+L520+L521</f>
        <v>94</v>
      </c>
      <c r="V515" s="13">
        <f>+L522+L523</f>
        <v>229</v>
      </c>
      <c r="W515" s="13">
        <f>+L526</f>
        <v>7</v>
      </c>
      <c r="X515" s="13">
        <f>+L524</f>
        <v>9</v>
      </c>
    </row>
    <row r="516" spans="1:24" x14ac:dyDescent="0.25">
      <c r="A516" s="14"/>
      <c r="B516" s="15"/>
      <c r="C516" s="41" t="str">
        <f>+$C500</f>
        <v>December 2024</v>
      </c>
      <c r="D516" s="18"/>
      <c r="E516" s="18"/>
      <c r="F516" s="18"/>
      <c r="G516" s="20" t="str">
        <f>+$G$4</f>
        <v>Mnt</v>
      </c>
      <c r="H516" s="20" t="str">
        <f>+G516</f>
        <v>Mnt</v>
      </c>
      <c r="I516" s="20" t="str">
        <f t="shared" si="130"/>
        <v>Mnt</v>
      </c>
      <c r="J516" s="20" t="str">
        <f t="shared" si="130"/>
        <v>Mnt</v>
      </c>
      <c r="K516" s="20" t="str">
        <f t="shared" si="130"/>
        <v>Mnt</v>
      </c>
      <c r="L516" s="20" t="str">
        <f t="shared" si="130"/>
        <v>Mnt</v>
      </c>
      <c r="M516" s="20" t="str">
        <f t="shared" si="130"/>
        <v>Mnt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1</v>
      </c>
      <c r="H517" s="25">
        <f>+$H$5</f>
        <v>8</v>
      </c>
      <c r="I517" s="25">
        <f>+$I$5</f>
        <v>15</v>
      </c>
      <c r="J517" s="25">
        <f>+$J$5</f>
        <v>22</v>
      </c>
      <c r="K517" s="25">
        <f>+$K$5</f>
        <v>29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61</v>
      </c>
      <c r="H519" s="31">
        <f t="shared" ref="H519:L519" si="131">SUM(H520:H523)</f>
        <v>67</v>
      </c>
      <c r="I519" s="31">
        <f t="shared" si="131"/>
        <v>60</v>
      </c>
      <c r="J519" s="31">
        <f t="shared" si="131"/>
        <v>68</v>
      </c>
      <c r="K519" s="31">
        <f t="shared" si="131"/>
        <v>67</v>
      </c>
      <c r="L519" s="31">
        <f t="shared" si="131"/>
        <v>323</v>
      </c>
      <c r="M519" s="31">
        <f>ROUND((L519/$E$1),0)</f>
        <v>65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7</v>
      </c>
      <c r="H520" s="42">
        <v>4</v>
      </c>
      <c r="I520" s="42">
        <v>8</v>
      </c>
      <c r="J520" s="42">
        <v>7</v>
      </c>
      <c r="K520" s="42">
        <v>8</v>
      </c>
      <c r="L520" s="35">
        <f>SUM(G520:K520)</f>
        <v>34</v>
      </c>
      <c r="M520" s="35">
        <f t="shared" ref="M520:M528" si="132">ROUND((L520/$E$1),0)</f>
        <v>7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8</v>
      </c>
      <c r="H521" s="42">
        <v>11</v>
      </c>
      <c r="I521" s="42">
        <v>12</v>
      </c>
      <c r="J521" s="42">
        <v>15</v>
      </c>
      <c r="K521" s="42">
        <v>14</v>
      </c>
      <c r="L521" s="35">
        <f t="shared" ref="L521:L528" si="133">SUM(G521:K521)</f>
        <v>60</v>
      </c>
      <c r="M521" s="35">
        <f t="shared" si="132"/>
        <v>12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10</v>
      </c>
      <c r="H522" s="42">
        <v>15</v>
      </c>
      <c r="I522" s="42">
        <v>10</v>
      </c>
      <c r="J522" s="42">
        <v>10</v>
      </c>
      <c r="K522" s="42">
        <v>10</v>
      </c>
      <c r="L522" s="35">
        <f t="shared" si="133"/>
        <v>55</v>
      </c>
      <c r="M522" s="35">
        <f t="shared" si="132"/>
        <v>11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36</v>
      </c>
      <c r="H523" s="43">
        <v>37</v>
      </c>
      <c r="I523" s="43">
        <v>30</v>
      </c>
      <c r="J523" s="43">
        <v>36</v>
      </c>
      <c r="K523" s="43">
        <v>35</v>
      </c>
      <c r="L523" s="31">
        <f t="shared" si="133"/>
        <v>174</v>
      </c>
      <c r="M523" s="31">
        <f t="shared" si="132"/>
        <v>35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>
        <v>3</v>
      </c>
      <c r="H524" s="42"/>
      <c r="I524" s="42"/>
      <c r="J524" s="42">
        <v>6</v>
      </c>
      <c r="K524" s="42"/>
      <c r="L524" s="35">
        <f t="shared" si="133"/>
        <v>9</v>
      </c>
      <c r="M524" s="35">
        <f t="shared" si="132"/>
        <v>2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>
        <v>3</v>
      </c>
      <c r="I526" s="42">
        <v>4</v>
      </c>
      <c r="J526" s="42"/>
      <c r="K526" s="42"/>
      <c r="L526" s="35">
        <f t="shared" si="133"/>
        <v>7</v>
      </c>
      <c r="M526" s="35">
        <f t="shared" si="132"/>
        <v>1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 t="str">
        <f>+$G$3</f>
        <v>Year</v>
      </c>
      <c r="H531" s="10" t="str">
        <f>+G531</f>
        <v>Year</v>
      </c>
      <c r="I531" s="10" t="str">
        <f t="shared" ref="I531:M532" si="134">+H531</f>
        <v>Year</v>
      </c>
      <c r="J531" s="10" t="str">
        <f t="shared" si="134"/>
        <v>Year</v>
      </c>
      <c r="K531" s="10" t="str">
        <f t="shared" si="134"/>
        <v>Year</v>
      </c>
      <c r="L531" s="10" t="str">
        <f t="shared" si="134"/>
        <v>Year</v>
      </c>
      <c r="M531" s="10" t="str">
        <f t="shared" si="134"/>
        <v>Year</v>
      </c>
      <c r="N531" s="11"/>
      <c r="P531" s="44"/>
      <c r="S531" s="12" t="str">
        <f>+C531</f>
        <v>Mcuba</v>
      </c>
      <c r="T531" s="13">
        <f>+L535</f>
        <v>354</v>
      </c>
      <c r="U531" s="13">
        <f>+L536+L537</f>
        <v>101</v>
      </c>
      <c r="V531" s="13">
        <f>+L538+L539</f>
        <v>253</v>
      </c>
      <c r="W531" s="13">
        <f>+L542</f>
        <v>2</v>
      </c>
      <c r="X531" s="13">
        <f>+L540</f>
        <v>2</v>
      </c>
    </row>
    <row r="532" spans="1:24" x14ac:dyDescent="0.25">
      <c r="A532" s="14"/>
      <c r="B532" s="15"/>
      <c r="C532" s="41" t="str">
        <f>+$C516</f>
        <v>December 2024</v>
      </c>
      <c r="D532" s="18"/>
      <c r="E532" s="18"/>
      <c r="F532" s="18"/>
      <c r="G532" s="20" t="str">
        <f>+$G$4</f>
        <v>Mnt</v>
      </c>
      <c r="H532" s="20" t="str">
        <f>+G532</f>
        <v>Mnt</v>
      </c>
      <c r="I532" s="20" t="str">
        <f t="shared" si="134"/>
        <v>Mnt</v>
      </c>
      <c r="J532" s="20" t="str">
        <f t="shared" si="134"/>
        <v>Mnt</v>
      </c>
      <c r="K532" s="20" t="str">
        <f t="shared" si="134"/>
        <v>Mnt</v>
      </c>
      <c r="L532" s="20" t="str">
        <f t="shared" si="134"/>
        <v>Mnt</v>
      </c>
      <c r="M532" s="20" t="str">
        <f t="shared" si="134"/>
        <v>Mnt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1</v>
      </c>
      <c r="H533" s="25">
        <f>+$H$5</f>
        <v>8</v>
      </c>
      <c r="I533" s="25">
        <f>+$I$5</f>
        <v>15</v>
      </c>
      <c r="J533" s="25">
        <f>+$J$5</f>
        <v>22</v>
      </c>
      <c r="K533" s="25">
        <f>+$K$5</f>
        <v>29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76</v>
      </c>
      <c r="H535" s="31">
        <f t="shared" ref="H535:L535" si="135">SUM(H536:H539)</f>
        <v>67</v>
      </c>
      <c r="I535" s="31">
        <f t="shared" si="135"/>
        <v>66</v>
      </c>
      <c r="J535" s="31">
        <f t="shared" si="135"/>
        <v>76</v>
      </c>
      <c r="K535" s="31">
        <f t="shared" si="135"/>
        <v>69</v>
      </c>
      <c r="L535" s="31">
        <f t="shared" si="135"/>
        <v>354</v>
      </c>
      <c r="M535" s="31">
        <f>ROUND((L535/$E$1),0)</f>
        <v>71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6</v>
      </c>
      <c r="H536" s="42">
        <v>4</v>
      </c>
      <c r="I536" s="42">
        <v>3</v>
      </c>
      <c r="J536" s="42">
        <v>6</v>
      </c>
      <c r="K536" s="42">
        <v>6</v>
      </c>
      <c r="L536" s="35">
        <f>SUM(G536:K536)</f>
        <v>25</v>
      </c>
      <c r="M536" s="35">
        <f t="shared" ref="M536:M544" si="136">ROUND((L536/$E$1),0)</f>
        <v>5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19</v>
      </c>
      <c r="H537" s="42">
        <v>13</v>
      </c>
      <c r="I537" s="42">
        <v>12</v>
      </c>
      <c r="J537" s="42">
        <v>17</v>
      </c>
      <c r="K537" s="42">
        <v>15</v>
      </c>
      <c r="L537" s="35">
        <f t="shared" ref="L537:L544" si="137">SUM(G537:K537)</f>
        <v>76</v>
      </c>
      <c r="M537" s="35">
        <f t="shared" si="136"/>
        <v>15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20</v>
      </c>
      <c r="H538" s="42">
        <v>18</v>
      </c>
      <c r="I538" s="42">
        <v>23</v>
      </c>
      <c r="J538" s="42">
        <v>19</v>
      </c>
      <c r="K538" s="42">
        <v>18</v>
      </c>
      <c r="L538" s="35">
        <f t="shared" si="137"/>
        <v>98</v>
      </c>
      <c r="M538" s="35">
        <f t="shared" si="136"/>
        <v>20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31</v>
      </c>
      <c r="H539" s="43">
        <v>32</v>
      </c>
      <c r="I539" s="43">
        <v>28</v>
      </c>
      <c r="J539" s="43">
        <v>34</v>
      </c>
      <c r="K539" s="43">
        <v>30</v>
      </c>
      <c r="L539" s="31">
        <f t="shared" si="137"/>
        <v>155</v>
      </c>
      <c r="M539" s="31">
        <f t="shared" si="136"/>
        <v>31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>
        <v>2</v>
      </c>
      <c r="H540" s="42"/>
      <c r="I540" s="42"/>
      <c r="J540" s="42"/>
      <c r="K540" s="42"/>
      <c r="L540" s="35">
        <f t="shared" si="137"/>
        <v>2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>
        <v>2</v>
      </c>
      <c r="J542" s="42"/>
      <c r="K542" s="42"/>
      <c r="L542" s="35">
        <f t="shared" si="137"/>
        <v>2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/>
      <c r="H543" s="42">
        <v>128</v>
      </c>
      <c r="I543" s="42">
        <v>128</v>
      </c>
      <c r="J543" s="42">
        <v>160</v>
      </c>
      <c r="K543" s="42"/>
      <c r="L543" s="35">
        <f t="shared" si="137"/>
        <v>416</v>
      </c>
      <c r="M543" s="35">
        <f t="shared" si="136"/>
        <v>83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 t="str">
        <f>+$G$3</f>
        <v>Year</v>
      </c>
      <c r="H547" s="10" t="str">
        <f>+G547</f>
        <v>Year</v>
      </c>
      <c r="I547" s="10" t="str">
        <f t="shared" ref="I547:M548" si="138">+H547</f>
        <v>Year</v>
      </c>
      <c r="J547" s="10" t="str">
        <f t="shared" si="138"/>
        <v>Year</v>
      </c>
      <c r="K547" s="10" t="str">
        <f t="shared" si="138"/>
        <v>Year</v>
      </c>
      <c r="L547" s="10" t="str">
        <f t="shared" si="138"/>
        <v>Year</v>
      </c>
      <c r="M547" s="10" t="str">
        <f t="shared" si="138"/>
        <v>Year</v>
      </c>
      <c r="N547" s="11"/>
      <c r="P547" s="44"/>
      <c r="S547" s="12" t="str">
        <f>+C547</f>
        <v>Phonjwane</v>
      </c>
      <c r="T547" s="13">
        <f>+L551</f>
        <v>486</v>
      </c>
      <c r="U547" s="13">
        <f>+L552+L553</f>
        <v>96</v>
      </c>
      <c r="V547" s="13">
        <f>+L554+L555</f>
        <v>390</v>
      </c>
      <c r="W547" s="13">
        <f>+L558</f>
        <v>12</v>
      </c>
      <c r="X547" s="13">
        <f>+L556</f>
        <v>0</v>
      </c>
    </row>
    <row r="548" spans="1:24" x14ac:dyDescent="0.25">
      <c r="A548" s="14"/>
      <c r="B548" s="15"/>
      <c r="C548" s="41" t="str">
        <f>+$C532</f>
        <v>December 2024</v>
      </c>
      <c r="D548" s="18"/>
      <c r="E548" s="18"/>
      <c r="F548" s="18"/>
      <c r="G548" s="20" t="str">
        <f>+$G$4</f>
        <v>Mnt</v>
      </c>
      <c r="H548" s="20" t="str">
        <f>+G548</f>
        <v>Mnt</v>
      </c>
      <c r="I548" s="20" t="str">
        <f t="shared" si="138"/>
        <v>Mnt</v>
      </c>
      <c r="J548" s="20" t="str">
        <f t="shared" si="138"/>
        <v>Mnt</v>
      </c>
      <c r="K548" s="20" t="str">
        <f t="shared" si="138"/>
        <v>Mnt</v>
      </c>
      <c r="L548" s="20" t="str">
        <f t="shared" si="138"/>
        <v>Mnt</v>
      </c>
      <c r="M548" s="20" t="str">
        <f t="shared" si="138"/>
        <v>Mnt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1</v>
      </c>
      <c r="H549" s="25">
        <f>+$H$5</f>
        <v>8</v>
      </c>
      <c r="I549" s="25">
        <f>+$I$5</f>
        <v>15</v>
      </c>
      <c r="J549" s="25">
        <f>+$J$5</f>
        <v>22</v>
      </c>
      <c r="K549" s="25">
        <f>+$K$5</f>
        <v>29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152</v>
      </c>
      <c r="H551" s="31">
        <f t="shared" ref="H551:L551" si="139">SUM(H552:H555)</f>
        <v>131</v>
      </c>
      <c r="I551" s="31">
        <f t="shared" si="139"/>
        <v>8</v>
      </c>
      <c r="J551" s="31">
        <f t="shared" si="139"/>
        <v>93</v>
      </c>
      <c r="K551" s="31">
        <f t="shared" si="139"/>
        <v>102</v>
      </c>
      <c r="L551" s="31">
        <f t="shared" si="139"/>
        <v>486</v>
      </c>
      <c r="M551" s="31">
        <f>ROUND((L551/$E$1),0)</f>
        <v>97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8</v>
      </c>
      <c r="H552" s="42">
        <v>4</v>
      </c>
      <c r="I552" s="42">
        <v>3</v>
      </c>
      <c r="J552" s="42">
        <v>3</v>
      </c>
      <c r="K552" s="42">
        <v>3</v>
      </c>
      <c r="L552" s="35">
        <f>SUM(G552:K552)</f>
        <v>21</v>
      </c>
      <c r="M552" s="35">
        <f t="shared" ref="M552:M560" si="140">ROUND((L552/$E$1),0)</f>
        <v>4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26</v>
      </c>
      <c r="H553" s="42">
        <v>23</v>
      </c>
      <c r="I553" s="42"/>
      <c r="J553" s="42">
        <v>10</v>
      </c>
      <c r="K553" s="42">
        <v>16</v>
      </c>
      <c r="L553" s="35">
        <f t="shared" ref="L553:L560" si="141">SUM(G553:K553)</f>
        <v>75</v>
      </c>
      <c r="M553" s="35">
        <f t="shared" si="140"/>
        <v>15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35</v>
      </c>
      <c r="H554" s="42">
        <v>33</v>
      </c>
      <c r="I554" s="42">
        <v>1</v>
      </c>
      <c r="J554" s="42">
        <v>26</v>
      </c>
      <c r="K554" s="42">
        <v>29</v>
      </c>
      <c r="L554" s="35">
        <f t="shared" si="141"/>
        <v>124</v>
      </c>
      <c r="M554" s="35">
        <f t="shared" si="140"/>
        <v>25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83</v>
      </c>
      <c r="H555" s="43">
        <v>71</v>
      </c>
      <c r="I555" s="43">
        <v>4</v>
      </c>
      <c r="J555" s="43">
        <v>54</v>
      </c>
      <c r="K555" s="43">
        <v>54</v>
      </c>
      <c r="L555" s="31">
        <f t="shared" si="141"/>
        <v>266</v>
      </c>
      <c r="M555" s="31">
        <f t="shared" si="140"/>
        <v>53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/>
      <c r="J556" s="42"/>
      <c r="K556" s="42"/>
      <c r="L556" s="35">
        <f t="shared" si="141"/>
        <v>0</v>
      </c>
      <c r="M556" s="35">
        <f t="shared" si="140"/>
        <v>0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4</v>
      </c>
      <c r="H558" s="42">
        <v>4</v>
      </c>
      <c r="I558" s="42"/>
      <c r="J558" s="42">
        <v>1</v>
      </c>
      <c r="K558" s="42">
        <v>3</v>
      </c>
      <c r="L558" s="35">
        <f t="shared" si="141"/>
        <v>12</v>
      </c>
      <c r="M558" s="35">
        <f t="shared" si="140"/>
        <v>2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>
        <v>320</v>
      </c>
      <c r="I559" s="42"/>
      <c r="J559" s="42"/>
      <c r="K559" s="42"/>
      <c r="L559" s="35">
        <f t="shared" si="141"/>
        <v>320</v>
      </c>
      <c r="M559" s="35">
        <f t="shared" si="140"/>
        <v>64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 t="str">
        <f>+$G$3</f>
        <v>Year</v>
      </c>
      <c r="H563" s="10" t="str">
        <f>+G563</f>
        <v>Year</v>
      </c>
      <c r="I563" s="10" t="str">
        <f t="shared" ref="I563:M564" si="142">+H563</f>
        <v>Year</v>
      </c>
      <c r="J563" s="10" t="str">
        <f t="shared" si="142"/>
        <v>Year</v>
      </c>
      <c r="K563" s="10" t="str">
        <f t="shared" si="142"/>
        <v>Year</v>
      </c>
      <c r="L563" s="10" t="str">
        <f t="shared" si="142"/>
        <v>Year</v>
      </c>
      <c r="M563" s="10" t="str">
        <f t="shared" si="142"/>
        <v>Year</v>
      </c>
      <c r="N563" s="11"/>
      <c r="P563" s="44"/>
      <c r="S563" s="12" t="str">
        <f>+C563</f>
        <v>Njakeni</v>
      </c>
      <c r="T563" s="13">
        <f>+L567</f>
        <v>235</v>
      </c>
      <c r="U563" s="13">
        <f>+L568+L569</f>
        <v>77</v>
      </c>
      <c r="V563" s="13">
        <f>+L570+L571</f>
        <v>158</v>
      </c>
      <c r="W563" s="13">
        <f>+L574</f>
        <v>9</v>
      </c>
      <c r="X563" s="13">
        <f>+L572</f>
        <v>0</v>
      </c>
    </row>
    <row r="564" spans="1:24" x14ac:dyDescent="0.25">
      <c r="A564" s="14"/>
      <c r="B564" s="15"/>
      <c r="C564" s="41" t="str">
        <f>+$C548</f>
        <v>December 2024</v>
      </c>
      <c r="D564" s="18"/>
      <c r="E564" s="18"/>
      <c r="F564" s="18"/>
      <c r="G564" s="20" t="str">
        <f>+$G$4</f>
        <v>Mnt</v>
      </c>
      <c r="H564" s="20" t="str">
        <f>+G564</f>
        <v>Mnt</v>
      </c>
      <c r="I564" s="20" t="str">
        <f t="shared" si="142"/>
        <v>Mnt</v>
      </c>
      <c r="J564" s="20" t="str">
        <f t="shared" si="142"/>
        <v>Mnt</v>
      </c>
      <c r="K564" s="20" t="str">
        <f t="shared" si="142"/>
        <v>Mnt</v>
      </c>
      <c r="L564" s="20" t="str">
        <f t="shared" si="142"/>
        <v>Mnt</v>
      </c>
      <c r="M564" s="20" t="str">
        <f t="shared" si="142"/>
        <v>Mnt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1</v>
      </c>
      <c r="H565" s="25">
        <f>+$H$5</f>
        <v>8</v>
      </c>
      <c r="I565" s="25">
        <f>+$I$5</f>
        <v>15</v>
      </c>
      <c r="J565" s="25">
        <f>+$J$5</f>
        <v>22</v>
      </c>
      <c r="K565" s="25">
        <f>+$K$5</f>
        <v>29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41</v>
      </c>
      <c r="H567" s="31">
        <f t="shared" ref="H567:L567" si="143">SUM(H568:H571)</f>
        <v>58</v>
      </c>
      <c r="I567" s="31">
        <f t="shared" si="143"/>
        <v>51</v>
      </c>
      <c r="J567" s="31">
        <f t="shared" si="143"/>
        <v>38</v>
      </c>
      <c r="K567" s="31">
        <f t="shared" si="143"/>
        <v>47</v>
      </c>
      <c r="L567" s="31">
        <f t="shared" si="143"/>
        <v>235</v>
      </c>
      <c r="M567" s="31">
        <f>ROUND((L567/$E$1),0)</f>
        <v>47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3</v>
      </c>
      <c r="H568" s="42">
        <v>4</v>
      </c>
      <c r="I568" s="42">
        <v>4</v>
      </c>
      <c r="J568" s="42">
        <v>1</v>
      </c>
      <c r="K568" s="42">
        <v>3</v>
      </c>
      <c r="L568" s="35">
        <f>SUM(G568:K568)</f>
        <v>15</v>
      </c>
      <c r="M568" s="35">
        <f t="shared" ref="M568:M576" si="144">ROUND((L568/$E$1),0)</f>
        <v>3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10</v>
      </c>
      <c r="H569" s="42">
        <v>16</v>
      </c>
      <c r="I569" s="42">
        <v>13</v>
      </c>
      <c r="J569" s="42">
        <v>10</v>
      </c>
      <c r="K569" s="42">
        <v>13</v>
      </c>
      <c r="L569" s="35">
        <f t="shared" ref="L569:L576" si="145">SUM(G569:K569)</f>
        <v>62</v>
      </c>
      <c r="M569" s="35">
        <f t="shared" si="144"/>
        <v>12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15</v>
      </c>
      <c r="H570" s="42">
        <v>12</v>
      </c>
      <c r="I570" s="42">
        <v>10</v>
      </c>
      <c r="J570" s="42">
        <v>9</v>
      </c>
      <c r="K570" s="42">
        <v>9</v>
      </c>
      <c r="L570" s="35">
        <f t="shared" si="145"/>
        <v>55</v>
      </c>
      <c r="M570" s="35">
        <f t="shared" si="144"/>
        <v>11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13</v>
      </c>
      <c r="H571" s="43">
        <v>26</v>
      </c>
      <c r="I571" s="43">
        <v>24</v>
      </c>
      <c r="J571" s="43">
        <v>18</v>
      </c>
      <c r="K571" s="43">
        <v>22</v>
      </c>
      <c r="L571" s="31">
        <f t="shared" si="145"/>
        <v>103</v>
      </c>
      <c r="M571" s="31">
        <f t="shared" si="144"/>
        <v>21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/>
      <c r="J572" s="42"/>
      <c r="K572" s="42"/>
      <c r="L572" s="35">
        <f t="shared" si="145"/>
        <v>0</v>
      </c>
      <c r="M572" s="35">
        <f t="shared" si="144"/>
        <v>0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1</v>
      </c>
      <c r="H574" s="42">
        <v>3</v>
      </c>
      <c r="I574" s="42">
        <v>2</v>
      </c>
      <c r="J574" s="42">
        <v>1</v>
      </c>
      <c r="K574" s="42">
        <v>2</v>
      </c>
      <c r="L574" s="35">
        <f t="shared" si="145"/>
        <v>9</v>
      </c>
      <c r="M574" s="35">
        <f t="shared" si="144"/>
        <v>2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146</v>
      </c>
      <c r="H575" s="42">
        <v>128</v>
      </c>
      <c r="I575" s="42">
        <v>192</v>
      </c>
      <c r="J575" s="42">
        <v>210</v>
      </c>
      <c r="K575" s="42">
        <v>32</v>
      </c>
      <c r="L575" s="35">
        <f t="shared" si="145"/>
        <v>708</v>
      </c>
      <c r="M575" s="35">
        <f t="shared" si="144"/>
        <v>142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 t="str">
        <f>+$G$3</f>
        <v>Year</v>
      </c>
      <c r="H579" s="10" t="str">
        <f>+G579</f>
        <v>Year</v>
      </c>
      <c r="I579" s="10" t="str">
        <f t="shared" ref="I579:M580" si="146">+H579</f>
        <v>Year</v>
      </c>
      <c r="J579" s="10" t="str">
        <f t="shared" si="146"/>
        <v>Year</v>
      </c>
      <c r="K579" s="10" t="str">
        <f t="shared" si="146"/>
        <v>Year</v>
      </c>
      <c r="L579" s="10" t="str">
        <f t="shared" si="146"/>
        <v>Year</v>
      </c>
      <c r="M579" s="10" t="str">
        <f t="shared" si="146"/>
        <v>Year</v>
      </c>
      <c r="N579" s="11"/>
      <c r="P579" s="44"/>
      <c r="S579" s="12" t="str">
        <f>+C579</f>
        <v>Mantabeni</v>
      </c>
      <c r="T579" s="13">
        <f>+L583</f>
        <v>243</v>
      </c>
      <c r="U579" s="13">
        <f>+L584+L585</f>
        <v>43</v>
      </c>
      <c r="V579" s="13">
        <f>+L586+L587</f>
        <v>200</v>
      </c>
      <c r="W579" s="13">
        <f>+L590</f>
        <v>16</v>
      </c>
      <c r="X579" s="13">
        <f>+L588</f>
        <v>0</v>
      </c>
    </row>
    <row r="580" spans="1:24" x14ac:dyDescent="0.25">
      <c r="A580" s="14"/>
      <c r="B580" s="15"/>
      <c r="C580" s="41" t="str">
        <f>+$C564</f>
        <v>December 2024</v>
      </c>
      <c r="D580" s="18"/>
      <c r="E580" s="18"/>
      <c r="F580" s="18"/>
      <c r="G580" s="20" t="str">
        <f>+$G$4</f>
        <v>Mnt</v>
      </c>
      <c r="H580" s="20" t="str">
        <f>+G580</f>
        <v>Mnt</v>
      </c>
      <c r="I580" s="20" t="str">
        <f t="shared" si="146"/>
        <v>Mnt</v>
      </c>
      <c r="J580" s="20" t="str">
        <f t="shared" si="146"/>
        <v>Mnt</v>
      </c>
      <c r="K580" s="20" t="str">
        <f t="shared" si="146"/>
        <v>Mnt</v>
      </c>
      <c r="L580" s="20" t="str">
        <f t="shared" si="146"/>
        <v>Mnt</v>
      </c>
      <c r="M580" s="20" t="str">
        <f t="shared" si="146"/>
        <v>Mnt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1</v>
      </c>
      <c r="H581" s="25">
        <f>+$H$5</f>
        <v>8</v>
      </c>
      <c r="I581" s="25">
        <f>+$I$5</f>
        <v>15</v>
      </c>
      <c r="J581" s="25">
        <f>+$J$5</f>
        <v>22</v>
      </c>
      <c r="K581" s="25">
        <f>+$K$5</f>
        <v>29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47</v>
      </c>
      <c r="H583" s="31">
        <f t="shared" ref="H583:L583" si="147">SUM(H584:H587)</f>
        <v>46</v>
      </c>
      <c r="I583" s="31">
        <f t="shared" si="147"/>
        <v>47</v>
      </c>
      <c r="J583" s="31">
        <f t="shared" si="147"/>
        <v>45</v>
      </c>
      <c r="K583" s="31">
        <f t="shared" si="147"/>
        <v>58</v>
      </c>
      <c r="L583" s="31">
        <f t="shared" si="147"/>
        <v>243</v>
      </c>
      <c r="M583" s="31">
        <f>ROUND((L583/$E$1),0)</f>
        <v>49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3</v>
      </c>
      <c r="H584" s="42">
        <v>2</v>
      </c>
      <c r="I584" s="42">
        <v>3</v>
      </c>
      <c r="J584" s="42">
        <v>3</v>
      </c>
      <c r="K584" s="42">
        <v>3</v>
      </c>
      <c r="L584" s="35">
        <f>SUM(G584:K584)</f>
        <v>14</v>
      </c>
      <c r="M584" s="35">
        <f t="shared" ref="M584:M592" si="148">ROUND((L584/$E$1),0)</f>
        <v>3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2</v>
      </c>
      <c r="H585" s="42">
        <v>4</v>
      </c>
      <c r="I585" s="42">
        <v>7</v>
      </c>
      <c r="J585" s="42">
        <v>7</v>
      </c>
      <c r="K585" s="42">
        <v>9</v>
      </c>
      <c r="L585" s="35">
        <f t="shared" ref="L585:L592" si="149">SUM(G585:K585)</f>
        <v>29</v>
      </c>
      <c r="M585" s="35">
        <f t="shared" si="148"/>
        <v>6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6</v>
      </c>
      <c r="H586" s="42">
        <v>5</v>
      </c>
      <c r="I586" s="42">
        <v>10</v>
      </c>
      <c r="J586" s="42">
        <v>7</v>
      </c>
      <c r="K586" s="42">
        <v>10</v>
      </c>
      <c r="L586" s="35">
        <f t="shared" si="149"/>
        <v>38</v>
      </c>
      <c r="M586" s="35">
        <f t="shared" si="148"/>
        <v>8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36</v>
      </c>
      <c r="H587" s="43">
        <v>35</v>
      </c>
      <c r="I587" s="43">
        <v>27</v>
      </c>
      <c r="J587" s="43">
        <v>28</v>
      </c>
      <c r="K587" s="43">
        <v>36</v>
      </c>
      <c r="L587" s="31">
        <f t="shared" si="149"/>
        <v>162</v>
      </c>
      <c r="M587" s="31">
        <f t="shared" si="148"/>
        <v>32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2</v>
      </c>
      <c r="H590" s="42">
        <v>5</v>
      </c>
      <c r="I590" s="42">
        <v>2</v>
      </c>
      <c r="J590" s="42">
        <v>2</v>
      </c>
      <c r="K590" s="42">
        <v>5</v>
      </c>
      <c r="L590" s="35">
        <f t="shared" si="149"/>
        <v>16</v>
      </c>
      <c r="M590" s="35">
        <f t="shared" si="148"/>
        <v>3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128</v>
      </c>
      <c r="H591" s="42">
        <v>192</v>
      </c>
      <c r="I591" s="42">
        <v>128</v>
      </c>
      <c r="J591" s="42">
        <v>160</v>
      </c>
      <c r="K591" s="42">
        <v>160</v>
      </c>
      <c r="L591" s="35">
        <f t="shared" si="149"/>
        <v>768</v>
      </c>
      <c r="M591" s="35">
        <f t="shared" si="148"/>
        <v>154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 t="str">
        <f>+$G$3</f>
        <v>Year</v>
      </c>
      <c r="H595" s="10" t="str">
        <f>+G595</f>
        <v>Year</v>
      </c>
      <c r="I595" s="10" t="str">
        <f t="shared" ref="I595:M596" si="150">+H595</f>
        <v>Year</v>
      </c>
      <c r="J595" s="10" t="str">
        <f t="shared" si="150"/>
        <v>Year</v>
      </c>
      <c r="K595" s="10" t="str">
        <f t="shared" si="150"/>
        <v>Year</v>
      </c>
      <c r="L595" s="10" t="str">
        <f t="shared" si="150"/>
        <v>Year</v>
      </c>
      <c r="M595" s="10" t="str">
        <f t="shared" si="150"/>
        <v>Year</v>
      </c>
      <c r="N595" s="11"/>
      <c r="S595" s="12" t="str">
        <f>+C595</f>
        <v>Makhungutja</v>
      </c>
      <c r="T595" s="13">
        <f>+L599</f>
        <v>288</v>
      </c>
      <c r="U595" s="13">
        <f>+L600+L601</f>
        <v>75</v>
      </c>
      <c r="V595" s="13">
        <f>+L602+L603</f>
        <v>213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December 2024</v>
      </c>
      <c r="D596" s="18"/>
      <c r="E596" s="18"/>
      <c r="F596" s="18"/>
      <c r="G596" s="20" t="str">
        <f>+$G$4</f>
        <v>Mnt</v>
      </c>
      <c r="H596" s="20" t="str">
        <f>+G596</f>
        <v>Mnt</v>
      </c>
      <c r="I596" s="20" t="str">
        <f t="shared" si="150"/>
        <v>Mnt</v>
      </c>
      <c r="J596" s="20" t="str">
        <f t="shared" si="150"/>
        <v>Mnt</v>
      </c>
      <c r="K596" s="20" t="str">
        <f t="shared" si="150"/>
        <v>Mnt</v>
      </c>
      <c r="L596" s="20" t="str">
        <f t="shared" si="150"/>
        <v>Mnt</v>
      </c>
      <c r="M596" s="20" t="str">
        <f t="shared" si="150"/>
        <v>Mnt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1</v>
      </c>
      <c r="H597" s="25">
        <f>+$H$5</f>
        <v>8</v>
      </c>
      <c r="I597" s="25">
        <f>+$I$5</f>
        <v>15</v>
      </c>
      <c r="J597" s="25">
        <f>+$J$5</f>
        <v>22</v>
      </c>
      <c r="K597" s="25">
        <f>+$K$5</f>
        <v>29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0</v>
      </c>
      <c r="H599" s="31">
        <f t="shared" ref="H599:L599" si="151">SUM(H600:H603)</f>
        <v>90</v>
      </c>
      <c r="I599" s="31">
        <f t="shared" si="151"/>
        <v>96</v>
      </c>
      <c r="J599" s="31">
        <f t="shared" si="151"/>
        <v>0</v>
      </c>
      <c r="K599" s="31">
        <f t="shared" si="151"/>
        <v>102</v>
      </c>
      <c r="L599" s="31">
        <f t="shared" si="151"/>
        <v>288</v>
      </c>
      <c r="M599" s="31">
        <f>ROUND((L599/$E$1),0)</f>
        <v>58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/>
      <c r="H600" s="42">
        <v>9</v>
      </c>
      <c r="I600" s="42">
        <v>10</v>
      </c>
      <c r="J600" s="42"/>
      <c r="K600" s="42">
        <v>8</v>
      </c>
      <c r="L600" s="35">
        <f>SUM(G600:K600)</f>
        <v>27</v>
      </c>
      <c r="M600" s="35">
        <f t="shared" ref="M600:M608" si="152">ROUND((L600/$E$1),0)</f>
        <v>5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/>
      <c r="H601" s="42">
        <v>16</v>
      </c>
      <c r="I601" s="42">
        <v>16</v>
      </c>
      <c r="J601" s="42"/>
      <c r="K601" s="42">
        <v>16</v>
      </c>
      <c r="L601" s="35">
        <f t="shared" ref="L601:L608" si="153">SUM(G601:K601)</f>
        <v>48</v>
      </c>
      <c r="M601" s="35">
        <f t="shared" si="152"/>
        <v>10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/>
      <c r="H602" s="42">
        <v>10</v>
      </c>
      <c r="I602" s="42">
        <v>12</v>
      </c>
      <c r="J602" s="42"/>
      <c r="K602" s="42">
        <v>23</v>
      </c>
      <c r="L602" s="35">
        <f t="shared" si="153"/>
        <v>45</v>
      </c>
      <c r="M602" s="35">
        <f t="shared" si="152"/>
        <v>9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/>
      <c r="H603" s="43">
        <v>55</v>
      </c>
      <c r="I603" s="43">
        <v>58</v>
      </c>
      <c r="J603" s="43"/>
      <c r="K603" s="43">
        <v>55</v>
      </c>
      <c r="L603" s="31">
        <f t="shared" si="153"/>
        <v>168</v>
      </c>
      <c r="M603" s="31">
        <f t="shared" si="152"/>
        <v>34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 t="str">
        <f>+$G$3</f>
        <v>Year</v>
      </c>
      <c r="H611" s="10" t="str">
        <f>+G611</f>
        <v>Year</v>
      </c>
      <c r="I611" s="10" t="str">
        <f t="shared" ref="I611:M612" si="154">+H611</f>
        <v>Year</v>
      </c>
      <c r="J611" s="10" t="str">
        <f t="shared" si="154"/>
        <v>Year</v>
      </c>
      <c r="K611" s="10" t="str">
        <f t="shared" si="154"/>
        <v>Year</v>
      </c>
      <c r="L611" s="10" t="str">
        <f t="shared" si="154"/>
        <v>Year</v>
      </c>
      <c r="M611" s="10" t="str">
        <f t="shared" si="154"/>
        <v>Year</v>
      </c>
      <c r="N611" s="11"/>
      <c r="S611" s="12" t="str">
        <f>+C611</f>
        <v>Moneni</v>
      </c>
      <c r="T611" s="13">
        <f>+L615</f>
        <v>555</v>
      </c>
      <c r="U611" s="13">
        <f>+L616+L617</f>
        <v>116</v>
      </c>
      <c r="V611" s="13">
        <f>+L618+L619</f>
        <v>439</v>
      </c>
      <c r="W611" s="13">
        <f>+L622</f>
        <v>19</v>
      </c>
      <c r="X611" s="13">
        <f>+L620</f>
        <v>0</v>
      </c>
    </row>
    <row r="612" spans="1:24" x14ac:dyDescent="0.25">
      <c r="A612" s="14"/>
      <c r="B612" s="15"/>
      <c r="C612" s="41" t="str">
        <f>+$C596</f>
        <v>December 2024</v>
      </c>
      <c r="D612" s="18"/>
      <c r="E612" s="18"/>
      <c r="F612" s="18"/>
      <c r="G612" s="20" t="str">
        <f>+$G$4</f>
        <v>Mnt</v>
      </c>
      <c r="H612" s="20" t="str">
        <f>+G612</f>
        <v>Mnt</v>
      </c>
      <c r="I612" s="20" t="str">
        <f t="shared" si="154"/>
        <v>Mnt</v>
      </c>
      <c r="J612" s="20" t="str">
        <f t="shared" si="154"/>
        <v>Mnt</v>
      </c>
      <c r="K612" s="20" t="str">
        <f t="shared" si="154"/>
        <v>Mnt</v>
      </c>
      <c r="L612" s="20" t="str">
        <f t="shared" si="154"/>
        <v>Mnt</v>
      </c>
      <c r="M612" s="20" t="str">
        <f t="shared" si="154"/>
        <v>Mnt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1</v>
      </c>
      <c r="H613" s="25">
        <f>+$H$5</f>
        <v>8</v>
      </c>
      <c r="I613" s="25">
        <f>+$I$5</f>
        <v>15</v>
      </c>
      <c r="J613" s="25">
        <f>+$J$5</f>
        <v>22</v>
      </c>
      <c r="K613" s="25">
        <f>+$K$5</f>
        <v>29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99</v>
      </c>
      <c r="H615" s="31">
        <f t="shared" ref="H615:L615" si="155">SUM(H616:H619)</f>
        <v>133</v>
      </c>
      <c r="I615" s="31">
        <f t="shared" si="155"/>
        <v>114</v>
      </c>
      <c r="J615" s="31">
        <f t="shared" si="155"/>
        <v>97</v>
      </c>
      <c r="K615" s="31">
        <f t="shared" si="155"/>
        <v>112</v>
      </c>
      <c r="L615" s="31">
        <f t="shared" si="155"/>
        <v>555</v>
      </c>
      <c r="M615" s="31">
        <f>ROUND((L615/$E$1),0)</f>
        <v>111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5</v>
      </c>
      <c r="H616" s="42">
        <v>5</v>
      </c>
      <c r="I616" s="42">
        <v>5</v>
      </c>
      <c r="J616" s="42">
        <v>4</v>
      </c>
      <c r="K616" s="42">
        <v>8</v>
      </c>
      <c r="L616" s="35">
        <f>SUM(G616:K616)</f>
        <v>27</v>
      </c>
      <c r="M616" s="35">
        <f t="shared" ref="M616:M624" si="156">ROUND((L616/$E$1),0)</f>
        <v>5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16</v>
      </c>
      <c r="H617" s="42">
        <v>23</v>
      </c>
      <c r="I617" s="42">
        <v>21</v>
      </c>
      <c r="J617" s="42">
        <v>14</v>
      </c>
      <c r="K617" s="42">
        <v>15</v>
      </c>
      <c r="L617" s="35">
        <f t="shared" ref="L617:L624" si="157">SUM(G617:K617)</f>
        <v>89</v>
      </c>
      <c r="M617" s="35">
        <f t="shared" si="156"/>
        <v>18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20</v>
      </c>
      <c r="H618" s="42">
        <v>35</v>
      </c>
      <c r="I618" s="42">
        <v>28</v>
      </c>
      <c r="J618" s="42">
        <v>23</v>
      </c>
      <c r="K618" s="42">
        <v>35</v>
      </c>
      <c r="L618" s="35">
        <f t="shared" si="157"/>
        <v>141</v>
      </c>
      <c r="M618" s="35">
        <f t="shared" si="156"/>
        <v>28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58</v>
      </c>
      <c r="H619" s="43">
        <v>70</v>
      </c>
      <c r="I619" s="43">
        <v>60</v>
      </c>
      <c r="J619" s="43">
        <v>56</v>
      </c>
      <c r="K619" s="43">
        <v>54</v>
      </c>
      <c r="L619" s="31">
        <f t="shared" si="157"/>
        <v>298</v>
      </c>
      <c r="M619" s="31">
        <f t="shared" si="156"/>
        <v>60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/>
      <c r="J620" s="42"/>
      <c r="K620" s="42"/>
      <c r="L620" s="35">
        <f t="shared" si="157"/>
        <v>0</v>
      </c>
      <c r="M620" s="35">
        <f t="shared" si="156"/>
        <v>0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4</v>
      </c>
      <c r="H622" s="42">
        <v>2</v>
      </c>
      <c r="I622" s="42">
        <v>4</v>
      </c>
      <c r="J622" s="42">
        <v>5</v>
      </c>
      <c r="K622" s="42">
        <v>4</v>
      </c>
      <c r="L622" s="35">
        <f t="shared" si="157"/>
        <v>19</v>
      </c>
      <c r="M622" s="35">
        <f t="shared" si="156"/>
        <v>4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 t="str">
        <f>+$G$3</f>
        <v>Year</v>
      </c>
      <c r="H627" s="10" t="str">
        <f>+G627</f>
        <v>Year</v>
      </c>
      <c r="I627" s="10" t="str">
        <f t="shared" ref="I627:M628" si="158">+H627</f>
        <v>Year</v>
      </c>
      <c r="J627" s="10" t="str">
        <f t="shared" si="158"/>
        <v>Year</v>
      </c>
      <c r="K627" s="10" t="str">
        <f t="shared" si="158"/>
        <v>Year</v>
      </c>
      <c r="L627" s="10" t="str">
        <f t="shared" si="158"/>
        <v>Year</v>
      </c>
      <c r="M627" s="10" t="str">
        <f t="shared" si="158"/>
        <v>Year</v>
      </c>
      <c r="N627" s="11"/>
      <c r="S627" s="12" t="str">
        <f>+C627</f>
        <v>Mabhukwini</v>
      </c>
      <c r="T627" s="13">
        <f>+L631</f>
        <v>217</v>
      </c>
      <c r="U627" s="13">
        <f>+L632+L633</f>
        <v>59</v>
      </c>
      <c r="V627" s="13">
        <f>+L634+L635</f>
        <v>158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December 2024</v>
      </c>
      <c r="D628" s="18"/>
      <c r="E628" s="18"/>
      <c r="F628" s="18"/>
      <c r="G628" s="20" t="str">
        <f>+$G$4</f>
        <v>Mnt</v>
      </c>
      <c r="H628" s="20" t="str">
        <f>+G628</f>
        <v>Mnt</v>
      </c>
      <c r="I628" s="20" t="str">
        <f t="shared" si="158"/>
        <v>Mnt</v>
      </c>
      <c r="J628" s="20" t="str">
        <f t="shared" si="158"/>
        <v>Mnt</v>
      </c>
      <c r="K628" s="20" t="str">
        <f t="shared" si="158"/>
        <v>Mnt</v>
      </c>
      <c r="L628" s="20" t="str">
        <f t="shared" si="158"/>
        <v>Mnt</v>
      </c>
      <c r="M628" s="20" t="str">
        <f t="shared" si="158"/>
        <v>Mnt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1</v>
      </c>
      <c r="H629" s="25">
        <f>+$H$5</f>
        <v>8</v>
      </c>
      <c r="I629" s="25">
        <f>+$I$5</f>
        <v>15</v>
      </c>
      <c r="J629" s="25">
        <f>+$J$5</f>
        <v>22</v>
      </c>
      <c r="K629" s="25">
        <f>+$K$5</f>
        <v>29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58</v>
      </c>
      <c r="H631" s="31">
        <f t="shared" ref="H631:L631" si="159">SUM(H632:H635)</f>
        <v>54</v>
      </c>
      <c r="I631" s="31">
        <f t="shared" si="159"/>
        <v>45</v>
      </c>
      <c r="J631" s="31">
        <f t="shared" si="159"/>
        <v>0</v>
      </c>
      <c r="K631" s="31">
        <f t="shared" si="159"/>
        <v>60</v>
      </c>
      <c r="L631" s="31">
        <f t="shared" si="159"/>
        <v>217</v>
      </c>
      <c r="M631" s="31">
        <f>ROUND((L631/$E$1),0)</f>
        <v>43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5</v>
      </c>
      <c r="H632" s="42">
        <v>2</v>
      </c>
      <c r="I632" s="42">
        <v>2</v>
      </c>
      <c r="J632" s="42"/>
      <c r="K632" s="42">
        <v>3</v>
      </c>
      <c r="L632" s="35">
        <f>SUM(G632:K632)</f>
        <v>12</v>
      </c>
      <c r="M632" s="35">
        <f t="shared" ref="M632:M640" si="160">ROUND((L632/$E$1),0)</f>
        <v>2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11</v>
      </c>
      <c r="H633" s="42">
        <v>11</v>
      </c>
      <c r="I633" s="42">
        <v>12</v>
      </c>
      <c r="J633" s="42"/>
      <c r="K633" s="42">
        <v>13</v>
      </c>
      <c r="L633" s="35">
        <f t="shared" ref="L633:L640" si="161">SUM(G633:K633)</f>
        <v>47</v>
      </c>
      <c r="M633" s="35">
        <f t="shared" si="160"/>
        <v>9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12</v>
      </c>
      <c r="H634" s="42">
        <v>13</v>
      </c>
      <c r="I634" s="42">
        <v>11</v>
      </c>
      <c r="J634" s="42"/>
      <c r="K634" s="42">
        <v>13</v>
      </c>
      <c r="L634" s="35">
        <f t="shared" si="161"/>
        <v>49</v>
      </c>
      <c r="M634" s="35">
        <f t="shared" si="160"/>
        <v>10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30</v>
      </c>
      <c r="H635" s="43">
        <v>28</v>
      </c>
      <c r="I635" s="43">
        <v>20</v>
      </c>
      <c r="J635" s="43"/>
      <c r="K635" s="43">
        <v>31</v>
      </c>
      <c r="L635" s="31">
        <f t="shared" si="161"/>
        <v>109</v>
      </c>
      <c r="M635" s="31">
        <f t="shared" si="160"/>
        <v>22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 t="str">
        <f>+$G$3</f>
        <v>Year</v>
      </c>
      <c r="H643" s="10" t="str">
        <f>+G643</f>
        <v>Year</v>
      </c>
      <c r="I643" s="10" t="str">
        <f t="shared" ref="I643:M644" si="162">+H643</f>
        <v>Year</v>
      </c>
      <c r="J643" s="10" t="str">
        <f t="shared" si="162"/>
        <v>Year</v>
      </c>
      <c r="K643" s="10" t="str">
        <f t="shared" si="162"/>
        <v>Year</v>
      </c>
      <c r="L643" s="10" t="str">
        <f t="shared" si="162"/>
        <v>Year</v>
      </c>
      <c r="M643" s="10" t="str">
        <f t="shared" si="162"/>
        <v>Year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December 2024</v>
      </c>
      <c r="D644" s="18"/>
      <c r="E644" s="18"/>
      <c r="F644" s="18"/>
      <c r="G644" s="20" t="str">
        <f>+$G$4</f>
        <v>Mnt</v>
      </c>
      <c r="H644" s="20" t="str">
        <f>+G644</f>
        <v>Mnt</v>
      </c>
      <c r="I644" s="20" t="str">
        <f t="shared" si="162"/>
        <v>Mnt</v>
      </c>
      <c r="J644" s="20" t="str">
        <f t="shared" si="162"/>
        <v>Mnt</v>
      </c>
      <c r="K644" s="20" t="str">
        <f t="shared" si="162"/>
        <v>Mnt</v>
      </c>
      <c r="L644" s="20" t="str">
        <f t="shared" si="162"/>
        <v>Mnt</v>
      </c>
      <c r="M644" s="20" t="str">
        <f t="shared" si="162"/>
        <v>Mnt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1</v>
      </c>
      <c r="H645" s="25">
        <f>+$H$5</f>
        <v>8</v>
      </c>
      <c r="I645" s="25">
        <f>+$I$5</f>
        <v>15</v>
      </c>
      <c r="J645" s="25">
        <f>+$J$5</f>
        <v>22</v>
      </c>
      <c r="K645" s="25">
        <f>+$K$5</f>
        <v>29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>
        <f>ROUND((L647/$E$1),0)</f>
        <v>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>
        <f t="shared" ref="M648:M656" si="164">ROUND((L648/$E$1),0)</f>
        <v>0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>
        <f t="shared" si="164"/>
        <v>0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>
        <f t="shared" si="164"/>
        <v>0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>
        <f t="shared" si="164"/>
        <v>0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 t="str">
        <f>+$G$3</f>
        <v>Year</v>
      </c>
      <c r="H659" s="10" t="str">
        <f>+G659</f>
        <v>Year</v>
      </c>
      <c r="I659" s="10" t="str">
        <f t="shared" ref="I659:M660" si="166">+H659</f>
        <v>Year</v>
      </c>
      <c r="J659" s="10" t="str">
        <f t="shared" si="166"/>
        <v>Year</v>
      </c>
      <c r="K659" s="10" t="str">
        <f t="shared" si="166"/>
        <v>Year</v>
      </c>
      <c r="L659" s="10" t="str">
        <f t="shared" si="166"/>
        <v>Year</v>
      </c>
      <c r="M659" s="10" t="str">
        <f t="shared" si="166"/>
        <v>Year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December 2024</v>
      </c>
      <c r="D660" s="18"/>
      <c r="E660" s="18"/>
      <c r="F660" s="18"/>
      <c r="G660" s="20" t="str">
        <f>+$G$4</f>
        <v>Mnt</v>
      </c>
      <c r="H660" s="20" t="str">
        <f>+G660</f>
        <v>Mnt</v>
      </c>
      <c r="I660" s="20" t="str">
        <f t="shared" si="166"/>
        <v>Mnt</v>
      </c>
      <c r="J660" s="20" t="str">
        <f t="shared" si="166"/>
        <v>Mnt</v>
      </c>
      <c r="K660" s="20" t="str">
        <f t="shared" si="166"/>
        <v>Mnt</v>
      </c>
      <c r="L660" s="20" t="str">
        <f t="shared" si="166"/>
        <v>Mnt</v>
      </c>
      <c r="M660" s="20" t="str">
        <f t="shared" si="166"/>
        <v>Mnt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1</v>
      </c>
      <c r="H661" s="25">
        <f>+$H$5</f>
        <v>8</v>
      </c>
      <c r="I661" s="25">
        <f>+$I$5</f>
        <v>15</v>
      </c>
      <c r="J661" s="25">
        <f>+$J$5</f>
        <v>22</v>
      </c>
      <c r="K661" s="25">
        <f>+$K$5</f>
        <v>29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 t="str">
        <f>+$G$3</f>
        <v>Year</v>
      </c>
      <c r="H675" s="10" t="str">
        <f>+G675</f>
        <v>Year</v>
      </c>
      <c r="I675" s="10" t="str">
        <f t="shared" ref="I675:M676" si="170">+H675</f>
        <v>Year</v>
      </c>
      <c r="J675" s="10" t="str">
        <f t="shared" si="170"/>
        <v>Year</v>
      </c>
      <c r="K675" s="10" t="str">
        <f t="shared" si="170"/>
        <v>Year</v>
      </c>
      <c r="L675" s="10" t="str">
        <f t="shared" si="170"/>
        <v>Year</v>
      </c>
      <c r="M675" s="10" t="str">
        <f t="shared" si="170"/>
        <v>Year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December 2024</v>
      </c>
      <c r="D676" s="18"/>
      <c r="E676" s="18"/>
      <c r="F676" s="18"/>
      <c r="G676" s="20" t="str">
        <f>+$G$4</f>
        <v>Mnt</v>
      </c>
      <c r="H676" s="20" t="str">
        <f>+G676</f>
        <v>Mnt</v>
      </c>
      <c r="I676" s="20" t="str">
        <f t="shared" si="170"/>
        <v>Mnt</v>
      </c>
      <c r="J676" s="20" t="str">
        <f t="shared" si="170"/>
        <v>Mnt</v>
      </c>
      <c r="K676" s="20" t="str">
        <f t="shared" si="170"/>
        <v>Mnt</v>
      </c>
      <c r="L676" s="20" t="str">
        <f t="shared" si="170"/>
        <v>Mnt</v>
      </c>
      <c r="M676" s="20" t="str">
        <f t="shared" si="170"/>
        <v>Mnt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1</v>
      </c>
      <c r="H677" s="25">
        <f>+$H$5</f>
        <v>8</v>
      </c>
      <c r="I677" s="25">
        <f>+$I$5</f>
        <v>15</v>
      </c>
      <c r="J677" s="25">
        <f>+$J$5</f>
        <v>22</v>
      </c>
      <c r="K677" s="25">
        <f>+$K$5</f>
        <v>29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 t="str">
        <f>+$G$3</f>
        <v>Year</v>
      </c>
      <c r="H691" s="10" t="str">
        <f>+G691</f>
        <v>Year</v>
      </c>
      <c r="I691" s="10" t="str">
        <f t="shared" ref="I691:M692" si="174">+H691</f>
        <v>Year</v>
      </c>
      <c r="J691" s="10" t="str">
        <f t="shared" si="174"/>
        <v>Year</v>
      </c>
      <c r="K691" s="10" t="str">
        <f t="shared" si="174"/>
        <v>Year</v>
      </c>
      <c r="L691" s="10" t="str">
        <f t="shared" si="174"/>
        <v>Year</v>
      </c>
      <c r="M691" s="10" t="str">
        <f t="shared" si="174"/>
        <v>Year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December 2024</v>
      </c>
      <c r="D692" s="18"/>
      <c r="E692" s="18"/>
      <c r="F692" s="18"/>
      <c r="G692" s="20" t="str">
        <f>+$G$4</f>
        <v>Mnt</v>
      </c>
      <c r="H692" s="20" t="str">
        <f>+G692</f>
        <v>Mnt</v>
      </c>
      <c r="I692" s="20" t="str">
        <f t="shared" si="174"/>
        <v>Mnt</v>
      </c>
      <c r="J692" s="20" t="str">
        <f t="shared" si="174"/>
        <v>Mnt</v>
      </c>
      <c r="K692" s="20" t="str">
        <f t="shared" si="174"/>
        <v>Mnt</v>
      </c>
      <c r="L692" s="20" t="str">
        <f t="shared" si="174"/>
        <v>Mnt</v>
      </c>
      <c r="M692" s="20" t="str">
        <f t="shared" si="174"/>
        <v>Mnt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1</v>
      </c>
      <c r="H693" s="25">
        <f>+$H$5</f>
        <v>8</v>
      </c>
      <c r="I693" s="25">
        <f>+$I$5</f>
        <v>15</v>
      </c>
      <c r="J693" s="25">
        <f>+$J$5</f>
        <v>22</v>
      </c>
      <c r="K693" s="25">
        <f>+$K$5</f>
        <v>29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 t="str">
        <f>+$G$3</f>
        <v>Year</v>
      </c>
      <c r="H707" s="10" t="str">
        <f>+G707</f>
        <v>Year</v>
      </c>
      <c r="I707" s="10" t="str">
        <f t="shared" ref="I707:M708" si="178">+H707</f>
        <v>Year</v>
      </c>
      <c r="J707" s="10" t="str">
        <f t="shared" si="178"/>
        <v>Year</v>
      </c>
      <c r="K707" s="10" t="str">
        <f t="shared" si="178"/>
        <v>Year</v>
      </c>
      <c r="L707" s="10" t="str">
        <f t="shared" si="178"/>
        <v>Year</v>
      </c>
      <c r="M707" s="10" t="str">
        <f t="shared" si="178"/>
        <v>Year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December 2024</v>
      </c>
      <c r="D708" s="18"/>
      <c r="E708" s="18"/>
      <c r="F708" s="18"/>
      <c r="G708" s="20" t="str">
        <f>+$G$4</f>
        <v>Mnt</v>
      </c>
      <c r="H708" s="20" t="str">
        <f>+G708</f>
        <v>Mnt</v>
      </c>
      <c r="I708" s="20" t="str">
        <f t="shared" si="178"/>
        <v>Mnt</v>
      </c>
      <c r="J708" s="20" t="str">
        <f t="shared" si="178"/>
        <v>Mnt</v>
      </c>
      <c r="K708" s="20" t="str">
        <f t="shared" si="178"/>
        <v>Mnt</v>
      </c>
      <c r="L708" s="20" t="str">
        <f t="shared" si="178"/>
        <v>Mnt</v>
      </c>
      <c r="M708" s="20" t="str">
        <f t="shared" si="178"/>
        <v>Mnt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1</v>
      </c>
      <c r="H709" s="25">
        <f>+$H$5</f>
        <v>8</v>
      </c>
      <c r="I709" s="25">
        <f>+$I$5</f>
        <v>15</v>
      </c>
      <c r="J709" s="25">
        <f>+$J$5</f>
        <v>22</v>
      </c>
      <c r="K709" s="25">
        <f>+$K$5</f>
        <v>29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 t="str">
        <f>+$G$3</f>
        <v>Year</v>
      </c>
      <c r="H723" s="10" t="str">
        <f>+G723</f>
        <v>Year</v>
      </c>
      <c r="I723" s="10" t="str">
        <f t="shared" ref="I723:M724" si="182">+H723</f>
        <v>Year</v>
      </c>
      <c r="J723" s="10" t="str">
        <f t="shared" si="182"/>
        <v>Year</v>
      </c>
      <c r="K723" s="10" t="str">
        <f t="shared" si="182"/>
        <v>Year</v>
      </c>
      <c r="L723" s="10" t="str">
        <f t="shared" si="182"/>
        <v>Year</v>
      </c>
      <c r="M723" s="10" t="str">
        <f t="shared" si="182"/>
        <v>Year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December 2024</v>
      </c>
      <c r="D724" s="18"/>
      <c r="E724" s="18"/>
      <c r="F724" s="18"/>
      <c r="G724" s="20" t="str">
        <f>+$G$4</f>
        <v>Mnt</v>
      </c>
      <c r="H724" s="20" t="str">
        <f>+G724</f>
        <v>Mnt</v>
      </c>
      <c r="I724" s="20" t="str">
        <f t="shared" si="182"/>
        <v>Mnt</v>
      </c>
      <c r="J724" s="20" t="str">
        <f t="shared" si="182"/>
        <v>Mnt</v>
      </c>
      <c r="K724" s="20" t="str">
        <f t="shared" si="182"/>
        <v>Mnt</v>
      </c>
      <c r="L724" s="20" t="str">
        <f t="shared" si="182"/>
        <v>Mnt</v>
      </c>
      <c r="M724" s="20" t="str">
        <f t="shared" si="182"/>
        <v>Mnt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1</v>
      </c>
      <c r="H725" s="25">
        <f>+$H$5</f>
        <v>8</v>
      </c>
      <c r="I725" s="25">
        <f>+$I$5</f>
        <v>15</v>
      </c>
      <c r="J725" s="25">
        <f>+$J$5</f>
        <v>22</v>
      </c>
      <c r="K725" s="25">
        <f>+$K$5</f>
        <v>29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 t="str">
        <f>+$G$3</f>
        <v>Year</v>
      </c>
      <c r="H739" s="10" t="str">
        <f>+G739</f>
        <v>Year</v>
      </c>
      <c r="I739" s="10" t="str">
        <f t="shared" ref="I739:M740" si="186">+H739</f>
        <v>Year</v>
      </c>
      <c r="J739" s="10" t="str">
        <f t="shared" si="186"/>
        <v>Year</v>
      </c>
      <c r="K739" s="10" t="str">
        <f t="shared" si="186"/>
        <v>Year</v>
      </c>
      <c r="L739" s="10" t="str">
        <f t="shared" si="186"/>
        <v>Year</v>
      </c>
      <c r="M739" s="10" t="str">
        <f t="shared" si="186"/>
        <v>Year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December 2024</v>
      </c>
      <c r="D740" s="18"/>
      <c r="E740" s="18"/>
      <c r="F740" s="18"/>
      <c r="G740" s="20" t="str">
        <f>+$G$4</f>
        <v>Mnt</v>
      </c>
      <c r="H740" s="20" t="str">
        <f>+G740</f>
        <v>Mnt</v>
      </c>
      <c r="I740" s="20" t="str">
        <f t="shared" si="186"/>
        <v>Mnt</v>
      </c>
      <c r="J740" s="20" t="str">
        <f t="shared" si="186"/>
        <v>Mnt</v>
      </c>
      <c r="K740" s="20" t="str">
        <f t="shared" si="186"/>
        <v>Mnt</v>
      </c>
      <c r="L740" s="20" t="str">
        <f t="shared" si="186"/>
        <v>Mnt</v>
      </c>
      <c r="M740" s="20" t="str">
        <f t="shared" si="186"/>
        <v>Mnt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1</v>
      </c>
      <c r="H741" s="25">
        <f>+$H$5</f>
        <v>8</v>
      </c>
      <c r="I741" s="25">
        <f>+$I$5</f>
        <v>15</v>
      </c>
      <c r="J741" s="25">
        <f>+$J$5</f>
        <v>22</v>
      </c>
      <c r="K741" s="25">
        <f>+$K$5</f>
        <v>29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 t="str">
        <f>+$G$3</f>
        <v>Year</v>
      </c>
      <c r="H755" s="10" t="str">
        <f>+G755</f>
        <v>Year</v>
      </c>
      <c r="I755" s="10" t="str">
        <f t="shared" ref="I755:M756" si="190">+H755</f>
        <v>Year</v>
      </c>
      <c r="J755" s="10" t="str">
        <f t="shared" si="190"/>
        <v>Year</v>
      </c>
      <c r="K755" s="10" t="str">
        <f t="shared" si="190"/>
        <v>Year</v>
      </c>
      <c r="L755" s="10" t="str">
        <f t="shared" si="190"/>
        <v>Year</v>
      </c>
      <c r="M755" s="10" t="str">
        <f t="shared" si="190"/>
        <v>Year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December 2024</v>
      </c>
      <c r="D756" s="18"/>
      <c r="E756" s="18"/>
      <c r="F756" s="18"/>
      <c r="G756" s="20" t="str">
        <f>+$G$4</f>
        <v>Mnt</v>
      </c>
      <c r="H756" s="20" t="str">
        <f>+G756</f>
        <v>Mnt</v>
      </c>
      <c r="I756" s="20" t="str">
        <f t="shared" si="190"/>
        <v>Mnt</v>
      </c>
      <c r="J756" s="20" t="str">
        <f t="shared" si="190"/>
        <v>Mnt</v>
      </c>
      <c r="K756" s="20" t="str">
        <f t="shared" si="190"/>
        <v>Mnt</v>
      </c>
      <c r="L756" s="20" t="str">
        <f t="shared" si="190"/>
        <v>Mnt</v>
      </c>
      <c r="M756" s="20" t="str">
        <f t="shared" si="190"/>
        <v>Mnt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1</v>
      </c>
      <c r="H757" s="25">
        <f>+$H$5</f>
        <v>8</v>
      </c>
      <c r="I757" s="25">
        <f>+$I$5</f>
        <v>15</v>
      </c>
      <c r="J757" s="25">
        <f>+$J$5</f>
        <v>22</v>
      </c>
      <c r="K757" s="25">
        <f>+$K$5</f>
        <v>29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 t="str">
        <f>+$G$3</f>
        <v>Year</v>
      </c>
      <c r="H771" s="10" t="str">
        <f>+G771</f>
        <v>Year</v>
      </c>
      <c r="I771" s="10" t="str">
        <f t="shared" ref="I771:M772" si="194">+H771</f>
        <v>Year</v>
      </c>
      <c r="J771" s="10" t="str">
        <f t="shared" si="194"/>
        <v>Year</v>
      </c>
      <c r="K771" s="10" t="str">
        <f t="shared" si="194"/>
        <v>Year</v>
      </c>
      <c r="L771" s="10" t="str">
        <f t="shared" si="194"/>
        <v>Year</v>
      </c>
      <c r="M771" s="10" t="str">
        <f t="shared" si="194"/>
        <v>Year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December 2024</v>
      </c>
      <c r="D772" s="18"/>
      <c r="E772" s="18"/>
      <c r="F772" s="18"/>
      <c r="G772" s="20" t="str">
        <f>+$G$4</f>
        <v>Mnt</v>
      </c>
      <c r="H772" s="20" t="str">
        <f>+G772</f>
        <v>Mnt</v>
      </c>
      <c r="I772" s="20" t="str">
        <f t="shared" si="194"/>
        <v>Mnt</v>
      </c>
      <c r="J772" s="20" t="str">
        <f t="shared" si="194"/>
        <v>Mnt</v>
      </c>
      <c r="K772" s="20" t="str">
        <f t="shared" si="194"/>
        <v>Mnt</v>
      </c>
      <c r="L772" s="20" t="str">
        <f t="shared" si="194"/>
        <v>Mnt</v>
      </c>
      <c r="M772" s="20" t="str">
        <f t="shared" si="194"/>
        <v>Mnt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1</v>
      </c>
      <c r="H773" s="25">
        <f>+$H$5</f>
        <v>8</v>
      </c>
      <c r="I773" s="25">
        <f>+$I$5</f>
        <v>15</v>
      </c>
      <c r="J773" s="25">
        <f>+$J$5</f>
        <v>22</v>
      </c>
      <c r="K773" s="25">
        <f>+$K$5</f>
        <v>29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 t="str">
        <f>+$G$3</f>
        <v>Year</v>
      </c>
      <c r="H787" s="10" t="str">
        <f>+G787</f>
        <v>Year</v>
      </c>
      <c r="I787" s="10" t="str">
        <f t="shared" ref="I787:M788" si="198">+H787</f>
        <v>Year</v>
      </c>
      <c r="J787" s="10" t="str">
        <f t="shared" si="198"/>
        <v>Year</v>
      </c>
      <c r="K787" s="10" t="str">
        <f t="shared" si="198"/>
        <v>Year</v>
      </c>
      <c r="L787" s="10" t="str">
        <f t="shared" si="198"/>
        <v>Year</v>
      </c>
      <c r="M787" s="10" t="str">
        <f t="shared" si="198"/>
        <v>Year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December 2024</v>
      </c>
      <c r="D788" s="18"/>
      <c r="E788" s="18"/>
      <c r="F788" s="18"/>
      <c r="G788" s="20" t="str">
        <f>+$G$4</f>
        <v>Mnt</v>
      </c>
      <c r="H788" s="20" t="str">
        <f>+G788</f>
        <v>Mnt</v>
      </c>
      <c r="I788" s="20" t="str">
        <f t="shared" si="198"/>
        <v>Mnt</v>
      </c>
      <c r="J788" s="20" t="str">
        <f t="shared" si="198"/>
        <v>Mnt</v>
      </c>
      <c r="K788" s="20" t="str">
        <f t="shared" si="198"/>
        <v>Mnt</v>
      </c>
      <c r="L788" s="20" t="str">
        <f t="shared" si="198"/>
        <v>Mnt</v>
      </c>
      <c r="M788" s="20" t="str">
        <f t="shared" si="198"/>
        <v>Mnt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1</v>
      </c>
      <c r="H789" s="25">
        <f>+$H$5</f>
        <v>8</v>
      </c>
      <c r="I789" s="25">
        <f>+$I$5</f>
        <v>15</v>
      </c>
      <c r="J789" s="25">
        <f>+$J$5</f>
        <v>22</v>
      </c>
      <c r="K789" s="25">
        <f>+$K$5</f>
        <v>29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 t="str">
        <f>+$G$3</f>
        <v>Year</v>
      </c>
      <c r="H803" s="10" t="str">
        <f>+G803</f>
        <v>Year</v>
      </c>
      <c r="I803" s="10" t="str">
        <f t="shared" ref="I803:M804" si="202">+H803</f>
        <v>Year</v>
      </c>
      <c r="J803" s="10" t="str">
        <f t="shared" si="202"/>
        <v>Year</v>
      </c>
      <c r="K803" s="10" t="str">
        <f t="shared" si="202"/>
        <v>Year</v>
      </c>
      <c r="L803" s="10" t="str">
        <f t="shared" si="202"/>
        <v>Year</v>
      </c>
      <c r="M803" s="10" t="str">
        <f t="shared" si="202"/>
        <v>Year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December 2024</v>
      </c>
      <c r="D804" s="18"/>
      <c r="E804" s="18"/>
      <c r="F804" s="18"/>
      <c r="G804" s="20" t="str">
        <f>+$G$4</f>
        <v>Mnt</v>
      </c>
      <c r="H804" s="20" t="str">
        <f>+G804</f>
        <v>Mnt</v>
      </c>
      <c r="I804" s="20" t="str">
        <f t="shared" si="202"/>
        <v>Mnt</v>
      </c>
      <c r="J804" s="20" t="str">
        <f t="shared" si="202"/>
        <v>Mnt</v>
      </c>
      <c r="K804" s="20" t="str">
        <f t="shared" si="202"/>
        <v>Mnt</v>
      </c>
      <c r="L804" s="20" t="str">
        <f t="shared" si="202"/>
        <v>Mnt</v>
      </c>
      <c r="M804" s="20" t="str">
        <f t="shared" si="202"/>
        <v>Mnt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1</v>
      </c>
      <c r="H805" s="25">
        <f>+$H$5</f>
        <v>8</v>
      </c>
      <c r="I805" s="25">
        <f>+$I$5</f>
        <v>15</v>
      </c>
      <c r="J805" s="25">
        <f>+$J$5</f>
        <v>22</v>
      </c>
      <c r="K805" s="25">
        <f>+$K$5</f>
        <v>29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851"/>
  <sheetViews>
    <sheetView topLeftCell="A622"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 t="s">
        <v>57</v>
      </c>
      <c r="H3" s="10" t="str">
        <f>+G3</f>
        <v>Year</v>
      </c>
      <c r="I3" s="10" t="str">
        <f t="shared" ref="I3:M4" si="0">+H3</f>
        <v>Year</v>
      </c>
      <c r="J3" s="10" t="str">
        <f t="shared" si="0"/>
        <v>Year</v>
      </c>
      <c r="K3" s="10" t="str">
        <f t="shared" si="0"/>
        <v>Year</v>
      </c>
      <c r="L3" s="10" t="str">
        <f t="shared" si="0"/>
        <v>Year</v>
      </c>
      <c r="M3" s="10" t="str">
        <f t="shared" si="0"/>
        <v>Year</v>
      </c>
      <c r="N3" s="11"/>
      <c r="S3" s="12" t="str">
        <f>+C3</f>
        <v>Total ICBC</v>
      </c>
      <c r="T3" s="13">
        <f>+L7</f>
        <v>11572</v>
      </c>
      <c r="U3" s="13">
        <f>+L8+L9</f>
        <v>2871</v>
      </c>
      <c r="V3" s="13">
        <f>+L10+L11</f>
        <v>8701</v>
      </c>
      <c r="W3" s="13">
        <f>+L14</f>
        <v>447</v>
      </c>
      <c r="X3" s="13">
        <f>+L12</f>
        <v>182</v>
      </c>
    </row>
    <row r="4" spans="1:41" x14ac:dyDescent="0.25">
      <c r="A4" s="14"/>
      <c r="B4" s="15"/>
      <c r="C4" s="16" t="s">
        <v>99</v>
      </c>
      <c r="D4" s="17"/>
      <c r="E4" s="18"/>
      <c r="F4" s="18"/>
      <c r="G4" s="19" t="s">
        <v>56</v>
      </c>
      <c r="H4" s="20" t="str">
        <f>+G4</f>
        <v>Mnt</v>
      </c>
      <c r="I4" s="20" t="str">
        <f t="shared" si="0"/>
        <v>Mnt</v>
      </c>
      <c r="J4" s="20" t="str">
        <f t="shared" si="0"/>
        <v>Mnt</v>
      </c>
      <c r="K4" s="20" t="str">
        <f t="shared" si="0"/>
        <v>Mnt</v>
      </c>
      <c r="L4" s="20" t="str">
        <f t="shared" si="0"/>
        <v>Mnt</v>
      </c>
      <c r="M4" s="20" t="str">
        <f t="shared" si="0"/>
        <v>Mnt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5</v>
      </c>
      <c r="H5" s="24">
        <v>12</v>
      </c>
      <c r="I5" s="24">
        <v>19</v>
      </c>
      <c r="J5" s="24">
        <v>26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2749</v>
      </c>
      <c r="H7" s="31">
        <f t="shared" ref="H7:L7" si="1">SUM(H8:H11)</f>
        <v>2639</v>
      </c>
      <c r="I7" s="31">
        <f t="shared" si="1"/>
        <v>3058</v>
      </c>
      <c r="J7" s="31">
        <f t="shared" si="1"/>
        <v>3126</v>
      </c>
      <c r="K7" s="31">
        <f t="shared" si="1"/>
        <v>0</v>
      </c>
      <c r="L7" s="31">
        <f t="shared" si="1"/>
        <v>11572</v>
      </c>
      <c r="M7" s="31">
        <f>ROUND((L7/$E$1),0)</f>
        <v>2893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180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199</v>
      </c>
      <c r="I8" s="35">
        <f t="shared" si="2"/>
        <v>186</v>
      </c>
      <c r="J8" s="35">
        <f t="shared" si="2"/>
        <v>199</v>
      </c>
      <c r="K8" s="35">
        <f t="shared" si="2"/>
        <v>0</v>
      </c>
      <c r="L8" s="35">
        <f>SUM(G8:K8)</f>
        <v>764</v>
      </c>
      <c r="M8" s="35">
        <f t="shared" ref="M8:M16" si="3">ROUND((L8/$E$1),0)</f>
        <v>191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492</v>
      </c>
      <c r="H9" s="35">
        <f t="shared" si="4"/>
        <v>491</v>
      </c>
      <c r="I9" s="35">
        <f t="shared" si="4"/>
        <v>570</v>
      </c>
      <c r="J9" s="35">
        <f t="shared" si="4"/>
        <v>554</v>
      </c>
      <c r="K9" s="35">
        <f t="shared" si="4"/>
        <v>0</v>
      </c>
      <c r="L9" s="35">
        <f t="shared" ref="L9:L16" si="5">SUM(G9:K9)</f>
        <v>2107</v>
      </c>
      <c r="M9" s="35">
        <f t="shared" si="3"/>
        <v>527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712</v>
      </c>
      <c r="H10" s="35">
        <f t="shared" si="4"/>
        <v>706</v>
      </c>
      <c r="I10" s="35">
        <f t="shared" si="4"/>
        <v>746</v>
      </c>
      <c r="J10" s="35">
        <f t="shared" si="4"/>
        <v>816</v>
      </c>
      <c r="K10" s="35">
        <f t="shared" si="4"/>
        <v>0</v>
      </c>
      <c r="L10" s="35">
        <f t="shared" si="5"/>
        <v>2980</v>
      </c>
      <c r="M10" s="35">
        <f t="shared" si="3"/>
        <v>745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1365</v>
      </c>
      <c r="H11" s="31">
        <f t="shared" si="4"/>
        <v>1243</v>
      </c>
      <c r="I11" s="31">
        <f t="shared" si="4"/>
        <v>1556</v>
      </c>
      <c r="J11" s="31">
        <f t="shared" si="4"/>
        <v>1557</v>
      </c>
      <c r="K11" s="31">
        <f t="shared" si="4"/>
        <v>0</v>
      </c>
      <c r="L11" s="31">
        <f t="shared" si="5"/>
        <v>5721</v>
      </c>
      <c r="M11" s="31">
        <f t="shared" si="3"/>
        <v>1430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41</v>
      </c>
      <c r="H12" s="35">
        <f t="shared" si="4"/>
        <v>45</v>
      </c>
      <c r="I12" s="35">
        <f t="shared" si="4"/>
        <v>34</v>
      </c>
      <c r="J12" s="35">
        <f t="shared" si="4"/>
        <v>62</v>
      </c>
      <c r="K12" s="35">
        <f t="shared" si="4"/>
        <v>0</v>
      </c>
      <c r="L12" s="35">
        <f t="shared" si="5"/>
        <v>182</v>
      </c>
      <c r="M12" s="35">
        <f t="shared" si="3"/>
        <v>46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99</v>
      </c>
      <c r="H14" s="35">
        <f t="shared" si="4"/>
        <v>114</v>
      </c>
      <c r="I14" s="35">
        <f t="shared" si="4"/>
        <v>133</v>
      </c>
      <c r="J14" s="35">
        <f t="shared" si="4"/>
        <v>101</v>
      </c>
      <c r="K14" s="35">
        <f t="shared" si="4"/>
        <v>0</v>
      </c>
      <c r="L14" s="35">
        <f t="shared" si="5"/>
        <v>447</v>
      </c>
      <c r="M14" s="35">
        <f t="shared" si="3"/>
        <v>112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1516</v>
      </c>
      <c r="H15" s="35">
        <f t="shared" si="4"/>
        <v>1717</v>
      </c>
      <c r="I15" s="35">
        <f t="shared" si="4"/>
        <v>2811</v>
      </c>
      <c r="J15" s="35">
        <f t="shared" si="4"/>
        <v>1581</v>
      </c>
      <c r="K15" s="35">
        <f t="shared" si="4"/>
        <v>0</v>
      </c>
      <c r="L15" s="35">
        <f t="shared" si="5"/>
        <v>7625</v>
      </c>
      <c r="M15" s="35">
        <f t="shared" si="3"/>
        <v>1906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 t="str">
        <f>+$G$3</f>
        <v>Year</v>
      </c>
      <c r="H19" s="10" t="str">
        <f>+G19</f>
        <v>Year</v>
      </c>
      <c r="I19" s="10" t="str">
        <f t="shared" ref="I19:M20" si="6">+H19</f>
        <v>Year</v>
      </c>
      <c r="J19" s="10" t="str">
        <f t="shared" si="6"/>
        <v>Year</v>
      </c>
      <c r="K19" s="10" t="str">
        <f t="shared" si="6"/>
        <v>Year</v>
      </c>
      <c r="L19" s="10" t="str">
        <f t="shared" si="6"/>
        <v>Year</v>
      </c>
      <c r="M19" s="10" t="str">
        <f t="shared" si="6"/>
        <v>Year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957</v>
      </c>
      <c r="U19" s="13">
        <f>+L24+L25</f>
        <v>295</v>
      </c>
      <c r="V19" s="13">
        <f>+L26+L27</f>
        <v>662</v>
      </c>
      <c r="W19" s="13">
        <f>+L30</f>
        <v>16</v>
      </c>
      <c r="X19" s="13">
        <f>+L28</f>
        <v>5</v>
      </c>
    </row>
    <row r="20" spans="1:24" x14ac:dyDescent="0.25">
      <c r="A20" s="14"/>
      <c r="B20" s="15"/>
      <c r="C20" s="41" t="str">
        <f>+$C4</f>
        <v>January 2025</v>
      </c>
      <c r="D20" s="18"/>
      <c r="E20" s="18"/>
      <c r="F20" s="18"/>
      <c r="G20" s="20" t="str">
        <f>+$G$4</f>
        <v>Mnt</v>
      </c>
      <c r="H20" s="20" t="str">
        <f>+G20</f>
        <v>Mnt</v>
      </c>
      <c r="I20" s="20" t="str">
        <f t="shared" si="6"/>
        <v>Mnt</v>
      </c>
      <c r="J20" s="20" t="str">
        <f t="shared" si="6"/>
        <v>Mnt</v>
      </c>
      <c r="K20" s="20" t="str">
        <f t="shared" si="6"/>
        <v>Mnt</v>
      </c>
      <c r="L20" s="20" t="str">
        <f t="shared" si="6"/>
        <v>Mnt</v>
      </c>
      <c r="M20" s="20" t="str">
        <f t="shared" si="6"/>
        <v>Mnt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5</v>
      </c>
      <c r="H21" s="25">
        <f>+$H$5</f>
        <v>12</v>
      </c>
      <c r="I21" s="25">
        <f>+$I$5</f>
        <v>19</v>
      </c>
      <c r="J21" s="25">
        <f>+$J$5</f>
        <v>26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226</v>
      </c>
      <c r="H23" s="31">
        <f t="shared" ref="H23:L23" si="7">SUM(H24:H27)</f>
        <v>277</v>
      </c>
      <c r="I23" s="31">
        <f t="shared" si="7"/>
        <v>213</v>
      </c>
      <c r="J23" s="31">
        <f t="shared" si="7"/>
        <v>241</v>
      </c>
      <c r="K23" s="31">
        <f t="shared" si="7"/>
        <v>0</v>
      </c>
      <c r="L23" s="31">
        <f t="shared" si="7"/>
        <v>957</v>
      </c>
      <c r="M23" s="31">
        <f>ROUND((L23/$E$1),0)</f>
        <v>239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16</v>
      </c>
      <c r="H24" s="42">
        <v>39</v>
      </c>
      <c r="I24" s="42">
        <v>20</v>
      </c>
      <c r="J24" s="42">
        <v>20</v>
      </c>
      <c r="K24" s="42"/>
      <c r="L24" s="35">
        <f>SUM(G24:K24)</f>
        <v>95</v>
      </c>
      <c r="M24" s="35">
        <f t="shared" ref="M24:M32" si="8">ROUND((L24/$E$1),0)</f>
        <v>24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45</v>
      </c>
      <c r="H25" s="42">
        <v>56</v>
      </c>
      <c r="I25" s="42">
        <v>43</v>
      </c>
      <c r="J25" s="42">
        <v>56</v>
      </c>
      <c r="K25" s="42"/>
      <c r="L25" s="35">
        <f t="shared" ref="L25:L32" si="9">SUM(G25:K25)</f>
        <v>200</v>
      </c>
      <c r="M25" s="35">
        <f t="shared" si="8"/>
        <v>50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70</v>
      </c>
      <c r="H26" s="42">
        <v>95</v>
      </c>
      <c r="I26" s="42">
        <v>75</v>
      </c>
      <c r="J26" s="42">
        <v>85</v>
      </c>
      <c r="K26" s="42"/>
      <c r="L26" s="35">
        <f t="shared" si="9"/>
        <v>325</v>
      </c>
      <c r="M26" s="35">
        <f t="shared" si="8"/>
        <v>81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95</v>
      </c>
      <c r="H27" s="43">
        <v>87</v>
      </c>
      <c r="I27" s="43">
        <v>75</v>
      </c>
      <c r="J27" s="43">
        <v>80</v>
      </c>
      <c r="K27" s="43"/>
      <c r="L27" s="31">
        <f t="shared" si="9"/>
        <v>337</v>
      </c>
      <c r="M27" s="31">
        <f t="shared" si="8"/>
        <v>84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>
        <v>5</v>
      </c>
      <c r="K28" s="42"/>
      <c r="L28" s="35">
        <f t="shared" si="9"/>
        <v>5</v>
      </c>
      <c r="M28" s="35">
        <f t="shared" si="8"/>
        <v>1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6</v>
      </c>
      <c r="H30" s="42">
        <v>7</v>
      </c>
      <c r="I30" s="42"/>
      <c r="J30" s="42">
        <v>3</v>
      </c>
      <c r="K30" s="42"/>
      <c r="L30" s="35">
        <f t="shared" si="9"/>
        <v>16</v>
      </c>
      <c r="M30" s="35">
        <f t="shared" si="8"/>
        <v>4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 t="str">
        <f>+$G$3</f>
        <v>Year</v>
      </c>
      <c r="H35" s="10" t="str">
        <f>+G35</f>
        <v>Year</v>
      </c>
      <c r="I35" s="10" t="str">
        <f t="shared" ref="I35:M36" si="10">+H35</f>
        <v>Year</v>
      </c>
      <c r="J35" s="10" t="str">
        <f t="shared" si="10"/>
        <v>Year</v>
      </c>
      <c r="K35" s="10" t="str">
        <f t="shared" si="10"/>
        <v>Year</v>
      </c>
      <c r="L35" s="10" t="str">
        <f t="shared" si="10"/>
        <v>Year</v>
      </c>
      <c r="M35" s="10" t="str">
        <f t="shared" si="10"/>
        <v>Year</v>
      </c>
      <c r="N35" s="11"/>
      <c r="O35" s="44"/>
      <c r="P35" s="44"/>
      <c r="Q35" s="44"/>
      <c r="S35" s="12" t="str">
        <f>+C35</f>
        <v>Ngwenya</v>
      </c>
      <c r="T35" s="13">
        <f>+L39</f>
        <v>318</v>
      </c>
      <c r="U35" s="13">
        <f>+L40+L41</f>
        <v>74</v>
      </c>
      <c r="V35" s="13">
        <f>+L42+L43</f>
        <v>244</v>
      </c>
      <c r="W35" s="13">
        <f>+L46</f>
        <v>43</v>
      </c>
      <c r="X35" s="13">
        <f>+L44</f>
        <v>8</v>
      </c>
    </row>
    <row r="36" spans="1:24" x14ac:dyDescent="0.25">
      <c r="A36" s="14"/>
      <c r="B36" s="15"/>
      <c r="C36" s="41" t="str">
        <f>+$C20</f>
        <v>January 2025</v>
      </c>
      <c r="D36" s="18"/>
      <c r="E36" s="18"/>
      <c r="F36" s="18"/>
      <c r="G36" s="20" t="str">
        <f>+$G$4</f>
        <v>Mnt</v>
      </c>
      <c r="H36" s="20" t="str">
        <f>+G36</f>
        <v>Mnt</v>
      </c>
      <c r="I36" s="20" t="str">
        <f t="shared" si="10"/>
        <v>Mnt</v>
      </c>
      <c r="J36" s="20" t="str">
        <f t="shared" si="10"/>
        <v>Mnt</v>
      </c>
      <c r="K36" s="20" t="str">
        <f t="shared" si="10"/>
        <v>Mnt</v>
      </c>
      <c r="L36" s="20" t="str">
        <f t="shared" si="10"/>
        <v>Mnt</v>
      </c>
      <c r="M36" s="20" t="str">
        <f t="shared" si="10"/>
        <v>Mnt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5</v>
      </c>
      <c r="H37" s="25">
        <f>+$H$5</f>
        <v>12</v>
      </c>
      <c r="I37" s="25">
        <f>+$I$5</f>
        <v>19</v>
      </c>
      <c r="J37" s="25">
        <f>+$J$5</f>
        <v>26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77</v>
      </c>
      <c r="H39" s="31">
        <f t="shared" ref="H39:L39" si="11">SUM(H40:H43)</f>
        <v>80</v>
      </c>
      <c r="I39" s="31">
        <f t="shared" si="11"/>
        <v>91</v>
      </c>
      <c r="J39" s="31">
        <f t="shared" si="11"/>
        <v>70</v>
      </c>
      <c r="K39" s="31">
        <f t="shared" si="11"/>
        <v>0</v>
      </c>
      <c r="L39" s="31">
        <f t="shared" si="11"/>
        <v>318</v>
      </c>
      <c r="M39" s="31">
        <f>ROUND((L39/$E$1),0)</f>
        <v>80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5</v>
      </c>
      <c r="H40" s="42">
        <v>5</v>
      </c>
      <c r="I40" s="42">
        <v>6</v>
      </c>
      <c r="J40" s="42">
        <v>5</v>
      </c>
      <c r="K40" s="42"/>
      <c r="L40" s="35">
        <f>SUM(G40:K40)</f>
        <v>21</v>
      </c>
      <c r="M40" s="35">
        <f t="shared" ref="M40:M48" si="12">ROUND((L40/$E$1),0)</f>
        <v>5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12</v>
      </c>
      <c r="H41" s="42">
        <v>15</v>
      </c>
      <c r="I41" s="42">
        <v>16</v>
      </c>
      <c r="J41" s="42">
        <v>10</v>
      </c>
      <c r="K41" s="42"/>
      <c r="L41" s="35">
        <f t="shared" ref="L41:L48" si="13">SUM(G41:K41)</f>
        <v>53</v>
      </c>
      <c r="M41" s="35">
        <f t="shared" si="12"/>
        <v>13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20</v>
      </c>
      <c r="H42" s="42">
        <v>20</v>
      </c>
      <c r="I42" s="42">
        <v>24</v>
      </c>
      <c r="J42" s="42">
        <v>20</v>
      </c>
      <c r="K42" s="42"/>
      <c r="L42" s="35">
        <f t="shared" si="13"/>
        <v>84</v>
      </c>
      <c r="M42" s="35">
        <f t="shared" si="12"/>
        <v>21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40</v>
      </c>
      <c r="H43" s="43">
        <v>40</v>
      </c>
      <c r="I43" s="43">
        <v>45</v>
      </c>
      <c r="J43" s="43">
        <v>35</v>
      </c>
      <c r="K43" s="43"/>
      <c r="L43" s="31">
        <f t="shared" si="13"/>
        <v>160</v>
      </c>
      <c r="M43" s="31">
        <f t="shared" si="12"/>
        <v>40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>
        <v>2</v>
      </c>
      <c r="I44" s="42">
        <v>4</v>
      </c>
      <c r="J44" s="42">
        <v>2</v>
      </c>
      <c r="K44" s="42"/>
      <c r="L44" s="35">
        <f t="shared" si="13"/>
        <v>8</v>
      </c>
      <c r="M44" s="35">
        <f t="shared" si="12"/>
        <v>2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10</v>
      </c>
      <c r="H46" s="42">
        <v>13</v>
      </c>
      <c r="I46" s="42">
        <v>12</v>
      </c>
      <c r="J46" s="42">
        <v>8</v>
      </c>
      <c r="K46" s="42"/>
      <c r="L46" s="35">
        <f t="shared" si="13"/>
        <v>43</v>
      </c>
      <c r="M46" s="35">
        <f t="shared" si="12"/>
        <v>11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96</v>
      </c>
      <c r="H47" s="42">
        <v>128</v>
      </c>
      <c r="I47" s="42">
        <v>96</v>
      </c>
      <c r="J47" s="42">
        <v>96</v>
      </c>
      <c r="K47" s="42"/>
      <c r="L47" s="35">
        <f t="shared" si="13"/>
        <v>416</v>
      </c>
      <c r="M47" s="35">
        <f t="shared" si="12"/>
        <v>104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 t="str">
        <f>+$G$3</f>
        <v>Year</v>
      </c>
      <c r="H51" s="10" t="str">
        <f>+G51</f>
        <v>Year</v>
      </c>
      <c r="I51" s="10" t="str">
        <f t="shared" ref="I51:M52" si="14">+H51</f>
        <v>Year</v>
      </c>
      <c r="J51" s="10" t="str">
        <f t="shared" si="14"/>
        <v>Year</v>
      </c>
      <c r="K51" s="10" t="str">
        <f t="shared" si="14"/>
        <v>Year</v>
      </c>
      <c r="L51" s="10" t="str">
        <f t="shared" si="14"/>
        <v>Year</v>
      </c>
      <c r="M51" s="10" t="str">
        <f t="shared" si="14"/>
        <v>Year</v>
      </c>
      <c r="N51" s="11"/>
      <c r="O51" s="44"/>
      <c r="P51" s="44"/>
      <c r="Q51" s="44"/>
      <c r="S51" s="12" t="str">
        <f>+C51</f>
        <v>Lavumisa</v>
      </c>
      <c r="T51" s="13">
        <f>+L55</f>
        <v>214</v>
      </c>
      <c r="U51" s="13">
        <f>+L56+L57</f>
        <v>63</v>
      </c>
      <c r="V51" s="13">
        <f>+L58+L59</f>
        <v>151</v>
      </c>
      <c r="W51" s="13">
        <f>+L62</f>
        <v>27</v>
      </c>
      <c r="X51" s="13">
        <f>+L60</f>
        <v>0</v>
      </c>
    </row>
    <row r="52" spans="1:24" x14ac:dyDescent="0.25">
      <c r="A52" s="14"/>
      <c r="B52" s="15"/>
      <c r="C52" s="41" t="str">
        <f>+$C36</f>
        <v>January 2025</v>
      </c>
      <c r="D52" s="18"/>
      <c r="E52" s="18"/>
      <c r="F52" s="18"/>
      <c r="G52" s="20" t="str">
        <f>+$G$4</f>
        <v>Mnt</v>
      </c>
      <c r="H52" s="20" t="str">
        <f>+G52</f>
        <v>Mnt</v>
      </c>
      <c r="I52" s="20" t="str">
        <f t="shared" si="14"/>
        <v>Mnt</v>
      </c>
      <c r="J52" s="20" t="str">
        <f t="shared" si="14"/>
        <v>Mnt</v>
      </c>
      <c r="K52" s="20" t="str">
        <f t="shared" si="14"/>
        <v>Mnt</v>
      </c>
      <c r="L52" s="20" t="str">
        <f t="shared" si="14"/>
        <v>Mnt</v>
      </c>
      <c r="M52" s="20" t="str">
        <f t="shared" si="14"/>
        <v>Mnt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5</v>
      </c>
      <c r="H53" s="25">
        <f>+$H$5</f>
        <v>12</v>
      </c>
      <c r="I53" s="25">
        <f>+$I$5</f>
        <v>19</v>
      </c>
      <c r="J53" s="25">
        <f>+$J$5</f>
        <v>26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72</v>
      </c>
      <c r="H55" s="31">
        <f t="shared" ref="H55:L55" si="15">SUM(H56:H59)</f>
        <v>31</v>
      </c>
      <c r="I55" s="31">
        <f t="shared" si="15"/>
        <v>53</v>
      </c>
      <c r="J55" s="31">
        <f t="shared" si="15"/>
        <v>58</v>
      </c>
      <c r="K55" s="31">
        <f t="shared" si="15"/>
        <v>0</v>
      </c>
      <c r="L55" s="31">
        <f t="shared" si="15"/>
        <v>214</v>
      </c>
      <c r="M55" s="31">
        <f>ROUND((L55/$E$1),0)</f>
        <v>54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2</v>
      </c>
      <c r="H56" s="42">
        <v>2</v>
      </c>
      <c r="I56" s="42">
        <v>2</v>
      </c>
      <c r="J56" s="42">
        <v>2</v>
      </c>
      <c r="K56" s="42"/>
      <c r="L56" s="35">
        <f>SUM(G56:K56)</f>
        <v>8</v>
      </c>
      <c r="M56" s="35">
        <f t="shared" ref="M56:M64" si="16">ROUND((L56/$E$1),0)</f>
        <v>2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12</v>
      </c>
      <c r="H57" s="42">
        <v>9</v>
      </c>
      <c r="I57" s="42">
        <v>17</v>
      </c>
      <c r="J57" s="42">
        <v>17</v>
      </c>
      <c r="K57" s="42"/>
      <c r="L57" s="35">
        <f t="shared" ref="L57:L64" si="17">SUM(G57:K57)</f>
        <v>55</v>
      </c>
      <c r="M57" s="35">
        <f t="shared" si="16"/>
        <v>14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32</v>
      </c>
      <c r="H58" s="42">
        <v>8</v>
      </c>
      <c r="I58" s="42">
        <v>15</v>
      </c>
      <c r="J58" s="42">
        <v>21</v>
      </c>
      <c r="K58" s="42"/>
      <c r="L58" s="35">
        <f t="shared" si="17"/>
        <v>76</v>
      </c>
      <c r="M58" s="35">
        <f t="shared" si="16"/>
        <v>19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26</v>
      </c>
      <c r="H59" s="43">
        <v>12</v>
      </c>
      <c r="I59" s="43">
        <v>19</v>
      </c>
      <c r="J59" s="43">
        <v>18</v>
      </c>
      <c r="K59" s="43"/>
      <c r="L59" s="31">
        <f t="shared" si="17"/>
        <v>75</v>
      </c>
      <c r="M59" s="31">
        <f t="shared" si="16"/>
        <v>19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7</v>
      </c>
      <c r="H62" s="42">
        <v>6</v>
      </c>
      <c r="I62" s="42">
        <v>8</v>
      </c>
      <c r="J62" s="42">
        <v>6</v>
      </c>
      <c r="K62" s="42"/>
      <c r="L62" s="35">
        <f t="shared" si="17"/>
        <v>27</v>
      </c>
      <c r="M62" s="35">
        <f t="shared" si="16"/>
        <v>7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 t="str">
        <f>+$G$3</f>
        <v>Year</v>
      </c>
      <c r="H67" s="10" t="str">
        <f>+G67</f>
        <v>Year</v>
      </c>
      <c r="I67" s="10" t="str">
        <f t="shared" ref="I67:M68" si="18">+H67</f>
        <v>Year</v>
      </c>
      <c r="J67" s="10" t="str">
        <f t="shared" si="18"/>
        <v>Year</v>
      </c>
      <c r="K67" s="10" t="str">
        <f t="shared" si="18"/>
        <v>Year</v>
      </c>
      <c r="L67" s="10" t="str">
        <f t="shared" si="18"/>
        <v>Year</v>
      </c>
      <c r="M67" s="10" t="str">
        <f t="shared" si="18"/>
        <v>Year</v>
      </c>
      <c r="N67" s="11"/>
      <c r="O67" s="44"/>
      <c r="P67" s="44"/>
      <c r="Q67" s="44"/>
      <c r="S67" s="12" t="str">
        <f>+C67</f>
        <v>Engcamini</v>
      </c>
      <c r="T67" s="13">
        <f>+L71</f>
        <v>448</v>
      </c>
      <c r="U67" s="13">
        <f>+L72+L73</f>
        <v>74</v>
      </c>
      <c r="V67" s="13">
        <f>+L74+L75</f>
        <v>374</v>
      </c>
      <c r="W67" s="13">
        <f>+L78</f>
        <v>14</v>
      </c>
      <c r="X67" s="13">
        <f>+L76</f>
        <v>16</v>
      </c>
    </row>
    <row r="68" spans="1:24" x14ac:dyDescent="0.25">
      <c r="A68" s="14"/>
      <c r="B68" s="15"/>
      <c r="C68" s="41" t="str">
        <f>+$C52</f>
        <v>January 2025</v>
      </c>
      <c r="D68" s="18"/>
      <c r="E68" s="18"/>
      <c r="F68" s="18"/>
      <c r="G68" s="20" t="str">
        <f>+$G$4</f>
        <v>Mnt</v>
      </c>
      <c r="H68" s="20" t="str">
        <f>+G68</f>
        <v>Mnt</v>
      </c>
      <c r="I68" s="20" t="str">
        <f t="shared" si="18"/>
        <v>Mnt</v>
      </c>
      <c r="J68" s="20" t="str">
        <f t="shared" si="18"/>
        <v>Mnt</v>
      </c>
      <c r="K68" s="20" t="str">
        <f t="shared" si="18"/>
        <v>Mnt</v>
      </c>
      <c r="L68" s="20" t="str">
        <f t="shared" si="18"/>
        <v>Mnt</v>
      </c>
      <c r="M68" s="20" t="str">
        <f t="shared" si="18"/>
        <v>Mnt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5</v>
      </c>
      <c r="H69" s="25">
        <f>+$H$5</f>
        <v>12</v>
      </c>
      <c r="I69" s="25">
        <f>+$I$5</f>
        <v>19</v>
      </c>
      <c r="J69" s="25">
        <f>+$J$5</f>
        <v>26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117</v>
      </c>
      <c r="H71" s="31">
        <f t="shared" ref="H71:L71" si="19">SUM(H72:H75)</f>
        <v>102</v>
      </c>
      <c r="I71" s="31">
        <f t="shared" si="19"/>
        <v>119</v>
      </c>
      <c r="J71" s="31">
        <f t="shared" si="19"/>
        <v>110</v>
      </c>
      <c r="K71" s="31">
        <f t="shared" si="19"/>
        <v>0</v>
      </c>
      <c r="L71" s="31">
        <f t="shared" si="19"/>
        <v>448</v>
      </c>
      <c r="M71" s="31">
        <f>ROUND((L71/$E$1),0)</f>
        <v>112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1</v>
      </c>
      <c r="I72" s="42">
        <v>5</v>
      </c>
      <c r="J72" s="42">
        <v>5</v>
      </c>
      <c r="K72" s="42"/>
      <c r="L72" s="35">
        <f>SUM(G72:K72)</f>
        <v>14</v>
      </c>
      <c r="M72" s="35">
        <f t="shared" ref="M72:M80" si="20">ROUND((L72/$E$1),0)</f>
        <v>4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18</v>
      </c>
      <c r="H73" s="42">
        <v>9</v>
      </c>
      <c r="I73" s="42">
        <v>19</v>
      </c>
      <c r="J73" s="42">
        <v>14</v>
      </c>
      <c r="K73" s="42"/>
      <c r="L73" s="35">
        <f t="shared" ref="L73:L80" si="21">SUM(G73:K73)</f>
        <v>60</v>
      </c>
      <c r="M73" s="35">
        <f t="shared" si="20"/>
        <v>15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15</v>
      </c>
      <c r="H74" s="42">
        <v>12</v>
      </c>
      <c r="I74" s="42">
        <v>23</v>
      </c>
      <c r="J74" s="42">
        <v>16</v>
      </c>
      <c r="K74" s="42"/>
      <c r="L74" s="35">
        <f t="shared" si="21"/>
        <v>66</v>
      </c>
      <c r="M74" s="35">
        <f t="shared" si="20"/>
        <v>17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81</v>
      </c>
      <c r="H75" s="43">
        <v>80</v>
      </c>
      <c r="I75" s="43">
        <v>72</v>
      </c>
      <c r="J75" s="43">
        <v>75</v>
      </c>
      <c r="K75" s="43"/>
      <c r="L75" s="31">
        <f t="shared" si="21"/>
        <v>308</v>
      </c>
      <c r="M75" s="31">
        <f t="shared" si="20"/>
        <v>77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>
        <v>5</v>
      </c>
      <c r="H76" s="42">
        <v>4</v>
      </c>
      <c r="I76" s="42">
        <v>5</v>
      </c>
      <c r="J76" s="42">
        <v>2</v>
      </c>
      <c r="K76" s="42"/>
      <c r="L76" s="35">
        <f t="shared" si="21"/>
        <v>16</v>
      </c>
      <c r="M76" s="35">
        <f t="shared" si="20"/>
        <v>4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>
        <v>3</v>
      </c>
      <c r="H78" s="42">
        <v>2</v>
      </c>
      <c r="I78" s="42">
        <v>7</v>
      </c>
      <c r="J78" s="42">
        <v>2</v>
      </c>
      <c r="K78" s="42"/>
      <c r="L78" s="35">
        <f t="shared" si="21"/>
        <v>14</v>
      </c>
      <c r="M78" s="35">
        <f t="shared" si="20"/>
        <v>4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>
        <v>96</v>
      </c>
      <c r="H79" s="42">
        <v>120</v>
      </c>
      <c r="I79" s="42">
        <v>160</v>
      </c>
      <c r="J79" s="42">
        <v>96</v>
      </c>
      <c r="K79" s="42"/>
      <c r="L79" s="35">
        <f t="shared" si="21"/>
        <v>472</v>
      </c>
      <c r="M79" s="35">
        <f t="shared" si="20"/>
        <v>118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 t="str">
        <f>+$G$3</f>
        <v>Year</v>
      </c>
      <c r="H83" s="10" t="str">
        <f>+G83</f>
        <v>Year</v>
      </c>
      <c r="I83" s="10" t="str">
        <f t="shared" ref="I83:M84" si="22">+H83</f>
        <v>Year</v>
      </c>
      <c r="J83" s="10" t="str">
        <f t="shared" si="22"/>
        <v>Year</v>
      </c>
      <c r="K83" s="10" t="str">
        <f t="shared" si="22"/>
        <v>Year</v>
      </c>
      <c r="L83" s="10" t="str">
        <f t="shared" si="22"/>
        <v>Year</v>
      </c>
      <c r="M83" s="10" t="str">
        <f t="shared" si="22"/>
        <v>Year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January 2025</v>
      </c>
      <c r="D84" s="18"/>
      <c r="E84" s="18"/>
      <c r="F84" s="18"/>
      <c r="G84" s="20" t="str">
        <f>+$G$4</f>
        <v>Mnt</v>
      </c>
      <c r="H84" s="20" t="str">
        <f>+G84</f>
        <v>Mnt</v>
      </c>
      <c r="I84" s="20" t="str">
        <f t="shared" si="22"/>
        <v>Mnt</v>
      </c>
      <c r="J84" s="20" t="str">
        <f t="shared" si="22"/>
        <v>Mnt</v>
      </c>
      <c r="K84" s="20" t="str">
        <f t="shared" si="22"/>
        <v>Mnt</v>
      </c>
      <c r="L84" s="20" t="str">
        <f t="shared" si="22"/>
        <v>Mnt</v>
      </c>
      <c r="M84" s="20" t="str">
        <f t="shared" si="22"/>
        <v>Mnt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5</v>
      </c>
      <c r="H85" s="25">
        <f>+$H$5</f>
        <v>12</v>
      </c>
      <c r="I85" s="25">
        <f>+$I$5</f>
        <v>19</v>
      </c>
      <c r="J85" s="25">
        <f>+$J$5</f>
        <v>26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 t="str">
        <f>+$G$3</f>
        <v>Year</v>
      </c>
      <c r="H99" s="10" t="str">
        <f>+G99</f>
        <v>Year</v>
      </c>
      <c r="I99" s="10" t="str">
        <f t="shared" ref="I99:M100" si="26">+H99</f>
        <v>Year</v>
      </c>
      <c r="J99" s="10" t="str">
        <f t="shared" si="26"/>
        <v>Year</v>
      </c>
      <c r="K99" s="10" t="str">
        <f t="shared" si="26"/>
        <v>Year</v>
      </c>
      <c r="L99" s="10" t="str">
        <f t="shared" si="26"/>
        <v>Year</v>
      </c>
      <c r="M99" s="10" t="str">
        <f t="shared" si="26"/>
        <v>Year</v>
      </c>
      <c r="N99" s="11"/>
      <c r="O99" s="44"/>
      <c r="P99" s="44"/>
      <c r="Q99" s="44"/>
      <c r="S99" s="12" t="str">
        <f>+C99</f>
        <v>Ngwempisi</v>
      </c>
      <c r="T99" s="13">
        <f>+L103</f>
        <v>319</v>
      </c>
      <c r="U99" s="13">
        <f>+L104+L105</f>
        <v>110</v>
      </c>
      <c r="V99" s="13">
        <f>+L106+L107</f>
        <v>209</v>
      </c>
      <c r="W99" s="13">
        <f>+L110</f>
        <v>0</v>
      </c>
      <c r="X99" s="13">
        <f>+L108</f>
        <v>0</v>
      </c>
    </row>
    <row r="100" spans="1:24" x14ac:dyDescent="0.25">
      <c r="A100" s="14"/>
      <c r="B100" s="15"/>
      <c r="C100" s="41" t="str">
        <f>+$C84</f>
        <v>January 2025</v>
      </c>
      <c r="D100" s="18"/>
      <c r="E100" s="18"/>
      <c r="F100" s="18"/>
      <c r="G100" s="20" t="str">
        <f>+$G$4</f>
        <v>Mnt</v>
      </c>
      <c r="H100" s="20" t="str">
        <f>+G100</f>
        <v>Mnt</v>
      </c>
      <c r="I100" s="20" t="str">
        <f t="shared" si="26"/>
        <v>Mnt</v>
      </c>
      <c r="J100" s="20" t="str">
        <f t="shared" si="26"/>
        <v>Mnt</v>
      </c>
      <c r="K100" s="20" t="str">
        <f t="shared" si="26"/>
        <v>Mnt</v>
      </c>
      <c r="L100" s="20" t="str">
        <f t="shared" si="26"/>
        <v>Mnt</v>
      </c>
      <c r="M100" s="20" t="str">
        <f t="shared" si="26"/>
        <v>Mnt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5</v>
      </c>
      <c r="H101" s="25">
        <f>+$H$5</f>
        <v>12</v>
      </c>
      <c r="I101" s="25">
        <f>+$I$5</f>
        <v>19</v>
      </c>
      <c r="J101" s="25">
        <f>+$J$5</f>
        <v>26</v>
      </c>
      <c r="K101" s="25">
        <f>+$K$5</f>
        <v>0</v>
      </c>
      <c r="L101" s="25" t="s">
        <v>6</v>
      </c>
      <c r="M101" s="25" t="s">
        <v>7</v>
      </c>
      <c r="N101" s="26"/>
      <c r="O101" s="44" t="s">
        <v>100</v>
      </c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77</v>
      </c>
      <c r="H103" s="31">
        <f t="shared" ref="H103:L103" si="27">SUM(H104:H107)</f>
        <v>65</v>
      </c>
      <c r="I103" s="31">
        <f t="shared" si="27"/>
        <v>82</v>
      </c>
      <c r="J103" s="31">
        <f t="shared" si="27"/>
        <v>95</v>
      </c>
      <c r="K103" s="31">
        <f t="shared" si="27"/>
        <v>0</v>
      </c>
      <c r="L103" s="31">
        <f t="shared" si="27"/>
        <v>319</v>
      </c>
      <c r="M103" s="31">
        <f>ROUND((L103/$E$1),0)</f>
        <v>80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1</v>
      </c>
      <c r="H104" s="42">
        <v>1</v>
      </c>
      <c r="I104" s="42">
        <v>2</v>
      </c>
      <c r="J104" s="42">
        <v>8</v>
      </c>
      <c r="K104" s="42"/>
      <c r="L104" s="35">
        <f>SUM(G104:K104)</f>
        <v>12</v>
      </c>
      <c r="M104" s="35">
        <f t="shared" ref="M104:M112" si="28">ROUND((L104/$E$1),0)</f>
        <v>3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25</v>
      </c>
      <c r="H105" s="42">
        <v>23</v>
      </c>
      <c r="I105" s="42">
        <v>25</v>
      </c>
      <c r="J105" s="42">
        <v>25</v>
      </c>
      <c r="K105" s="42"/>
      <c r="L105" s="35">
        <f t="shared" ref="L105:L112" si="29">SUM(G105:K105)</f>
        <v>98</v>
      </c>
      <c r="M105" s="35">
        <f t="shared" si="28"/>
        <v>25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19</v>
      </c>
      <c r="H106" s="42">
        <v>12</v>
      </c>
      <c r="I106" s="42">
        <v>18</v>
      </c>
      <c r="J106" s="42">
        <v>23</v>
      </c>
      <c r="K106" s="42"/>
      <c r="L106" s="35">
        <f t="shared" si="29"/>
        <v>72</v>
      </c>
      <c r="M106" s="35">
        <f t="shared" si="28"/>
        <v>18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32</v>
      </c>
      <c r="H107" s="43">
        <v>29</v>
      </c>
      <c r="I107" s="43">
        <v>37</v>
      </c>
      <c r="J107" s="43">
        <v>39</v>
      </c>
      <c r="K107" s="43"/>
      <c r="L107" s="31">
        <f t="shared" si="29"/>
        <v>137</v>
      </c>
      <c r="M107" s="31">
        <f t="shared" si="28"/>
        <v>34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/>
      <c r="H110" s="42"/>
      <c r="I110" s="42"/>
      <c r="J110" s="42"/>
      <c r="K110" s="42"/>
      <c r="L110" s="35">
        <f t="shared" si="29"/>
        <v>0</v>
      </c>
      <c r="M110" s="35">
        <f t="shared" si="28"/>
        <v>0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 t="str">
        <f>+$G$3</f>
        <v>Year</v>
      </c>
      <c r="H115" s="10" t="str">
        <f>+G115</f>
        <v>Year</v>
      </c>
      <c r="I115" s="10" t="str">
        <f t="shared" ref="I115:M116" si="30">+H115</f>
        <v>Year</v>
      </c>
      <c r="J115" s="10" t="str">
        <f t="shared" si="30"/>
        <v>Year</v>
      </c>
      <c r="K115" s="10" t="str">
        <f t="shared" si="30"/>
        <v>Year</v>
      </c>
      <c r="L115" s="10" t="str">
        <f t="shared" si="30"/>
        <v>Year</v>
      </c>
      <c r="M115" s="10" t="str">
        <f t="shared" si="30"/>
        <v>Year</v>
      </c>
      <c r="N115" s="11"/>
      <c r="O115" s="44"/>
      <c r="P115" s="44"/>
      <c r="Q115" s="44"/>
      <c r="S115" s="12" t="str">
        <f>+C115</f>
        <v>Gebeni</v>
      </c>
      <c r="T115" s="13">
        <f>+L119</f>
        <v>261</v>
      </c>
      <c r="U115" s="13">
        <f>+L120+L121</f>
        <v>59</v>
      </c>
      <c r="V115" s="13">
        <f>+L122+L123</f>
        <v>202</v>
      </c>
      <c r="W115" s="13">
        <f>+L126</f>
        <v>1</v>
      </c>
      <c r="X115" s="13">
        <f>+L124</f>
        <v>8</v>
      </c>
    </row>
    <row r="116" spans="1:24" x14ac:dyDescent="0.25">
      <c r="A116" s="14"/>
      <c r="B116" s="15"/>
      <c r="C116" s="41" t="str">
        <f>+$C100</f>
        <v>January 2025</v>
      </c>
      <c r="D116" s="18"/>
      <c r="E116" s="18"/>
      <c r="F116" s="18"/>
      <c r="G116" s="20" t="str">
        <f>+$G$4</f>
        <v>Mnt</v>
      </c>
      <c r="H116" s="20" t="str">
        <f>+G116</f>
        <v>Mnt</v>
      </c>
      <c r="I116" s="20" t="str">
        <f t="shared" si="30"/>
        <v>Mnt</v>
      </c>
      <c r="J116" s="20" t="str">
        <f t="shared" si="30"/>
        <v>Mnt</v>
      </c>
      <c r="K116" s="20" t="str">
        <f t="shared" si="30"/>
        <v>Mnt</v>
      </c>
      <c r="L116" s="20" t="str">
        <f t="shared" si="30"/>
        <v>Mnt</v>
      </c>
      <c r="M116" s="20" t="str">
        <f t="shared" si="30"/>
        <v>Mnt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5</v>
      </c>
      <c r="H117" s="25">
        <f>+$H$5</f>
        <v>12</v>
      </c>
      <c r="I117" s="25">
        <f>+$I$5</f>
        <v>19</v>
      </c>
      <c r="J117" s="25">
        <f>+$J$5</f>
        <v>26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63</v>
      </c>
      <c r="H119" s="31">
        <f t="shared" ref="H119:L119" si="31">SUM(H120:H123)</f>
        <v>68</v>
      </c>
      <c r="I119" s="31">
        <f t="shared" si="31"/>
        <v>65</v>
      </c>
      <c r="J119" s="31">
        <f t="shared" si="31"/>
        <v>65</v>
      </c>
      <c r="K119" s="31">
        <f t="shared" si="31"/>
        <v>0</v>
      </c>
      <c r="L119" s="31">
        <f t="shared" si="31"/>
        <v>261</v>
      </c>
      <c r="M119" s="31">
        <f>ROUND((L119/$E$1),0)</f>
        <v>65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4</v>
      </c>
      <c r="H120" s="42">
        <v>7</v>
      </c>
      <c r="I120" s="42">
        <v>4</v>
      </c>
      <c r="J120" s="42">
        <v>5</v>
      </c>
      <c r="K120" s="42"/>
      <c r="L120" s="35">
        <f>SUM(G120:K120)</f>
        <v>20</v>
      </c>
      <c r="M120" s="35">
        <f t="shared" ref="M120:M128" si="32">ROUND((L120/$E$1),0)</f>
        <v>5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9</v>
      </c>
      <c r="H121" s="42">
        <v>11</v>
      </c>
      <c r="I121" s="42">
        <v>9</v>
      </c>
      <c r="J121" s="42">
        <v>10</v>
      </c>
      <c r="K121" s="42"/>
      <c r="L121" s="35">
        <f t="shared" ref="L121:L128" si="33">SUM(G121:K121)</f>
        <v>39</v>
      </c>
      <c r="M121" s="35">
        <f t="shared" si="32"/>
        <v>10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21</v>
      </c>
      <c r="H122" s="42">
        <v>21</v>
      </c>
      <c r="I122" s="42">
        <v>15</v>
      </c>
      <c r="J122" s="42">
        <v>15</v>
      </c>
      <c r="K122" s="42"/>
      <c r="L122" s="35">
        <f t="shared" si="33"/>
        <v>72</v>
      </c>
      <c r="M122" s="35">
        <f t="shared" si="32"/>
        <v>18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29</v>
      </c>
      <c r="H123" s="43">
        <v>29</v>
      </c>
      <c r="I123" s="43">
        <v>37</v>
      </c>
      <c r="J123" s="43">
        <v>35</v>
      </c>
      <c r="K123" s="43"/>
      <c r="L123" s="31">
        <f t="shared" si="33"/>
        <v>130</v>
      </c>
      <c r="M123" s="31">
        <f t="shared" si="32"/>
        <v>33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2</v>
      </c>
      <c r="H124" s="42"/>
      <c r="I124" s="42">
        <v>3</v>
      </c>
      <c r="J124" s="42">
        <v>3</v>
      </c>
      <c r="K124" s="42"/>
      <c r="L124" s="35">
        <f t="shared" si="33"/>
        <v>8</v>
      </c>
      <c r="M124" s="35">
        <f t="shared" si="32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/>
      <c r="H126" s="42"/>
      <c r="I126" s="42">
        <v>1</v>
      </c>
      <c r="J126" s="42"/>
      <c r="K126" s="42"/>
      <c r="L126" s="35">
        <f t="shared" si="33"/>
        <v>1</v>
      </c>
      <c r="M126" s="35">
        <f t="shared" si="32"/>
        <v>0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/>
      <c r="H127" s="42"/>
      <c r="I127" s="42">
        <v>96</v>
      </c>
      <c r="J127" s="42"/>
      <c r="K127" s="42"/>
      <c r="L127" s="35">
        <f t="shared" si="33"/>
        <v>96</v>
      </c>
      <c r="M127" s="35">
        <f t="shared" si="32"/>
        <v>24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 t="str">
        <f>+$G$3</f>
        <v>Year</v>
      </c>
      <c r="H131" s="10" t="str">
        <f>+G131</f>
        <v>Year</v>
      </c>
      <c r="I131" s="10" t="str">
        <f t="shared" ref="I131:M132" si="34">+H131</f>
        <v>Year</v>
      </c>
      <c r="J131" s="10" t="str">
        <f t="shared" si="34"/>
        <v>Year</v>
      </c>
      <c r="K131" s="10" t="str">
        <f t="shared" si="34"/>
        <v>Year</v>
      </c>
      <c r="L131" s="10" t="str">
        <f t="shared" si="34"/>
        <v>Year</v>
      </c>
      <c r="M131" s="10" t="str">
        <f t="shared" si="34"/>
        <v>Year</v>
      </c>
      <c r="N131" s="11"/>
      <c r="O131" s="44"/>
      <c r="P131" s="44"/>
      <c r="Q131" s="44"/>
      <c r="S131" s="12" t="str">
        <f>+C131</f>
        <v>Mpolonjeni CLC</v>
      </c>
      <c r="T131" s="13">
        <f>+L135</f>
        <v>212</v>
      </c>
      <c r="U131" s="13">
        <f>+L136+L137</f>
        <v>75</v>
      </c>
      <c r="V131" s="13">
        <f>+L138+L139</f>
        <v>137</v>
      </c>
      <c r="W131" s="13">
        <f>+L142</f>
        <v>1</v>
      </c>
      <c r="X131" s="13">
        <f>+L140</f>
        <v>0</v>
      </c>
    </row>
    <row r="132" spans="1:24" x14ac:dyDescent="0.25">
      <c r="A132" s="14"/>
      <c r="B132" s="15"/>
      <c r="C132" s="41" t="str">
        <f>+$C116</f>
        <v>January 2025</v>
      </c>
      <c r="D132" s="18"/>
      <c r="E132" s="18"/>
      <c r="F132" s="18"/>
      <c r="G132" s="20" t="str">
        <f>+$G$4</f>
        <v>Mnt</v>
      </c>
      <c r="H132" s="20" t="str">
        <f>+G132</f>
        <v>Mnt</v>
      </c>
      <c r="I132" s="20" t="str">
        <f t="shared" si="34"/>
        <v>Mnt</v>
      </c>
      <c r="J132" s="20" t="str">
        <f t="shared" si="34"/>
        <v>Mnt</v>
      </c>
      <c r="K132" s="20" t="str">
        <f t="shared" si="34"/>
        <v>Mnt</v>
      </c>
      <c r="L132" s="20" t="str">
        <f t="shared" si="34"/>
        <v>Mnt</v>
      </c>
      <c r="M132" s="20" t="str">
        <f t="shared" si="34"/>
        <v>Mnt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5</v>
      </c>
      <c r="H133" s="25">
        <f>+$H$5</f>
        <v>12</v>
      </c>
      <c r="I133" s="25">
        <f>+$I$5</f>
        <v>19</v>
      </c>
      <c r="J133" s="25">
        <f>+$J$5</f>
        <v>26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44</v>
      </c>
      <c r="H135" s="31">
        <f t="shared" ref="H135:L135" si="35">SUM(H136:H139)</f>
        <v>52</v>
      </c>
      <c r="I135" s="31">
        <f t="shared" si="35"/>
        <v>61</v>
      </c>
      <c r="J135" s="31">
        <f t="shared" si="35"/>
        <v>55</v>
      </c>
      <c r="K135" s="31">
        <f t="shared" si="35"/>
        <v>0</v>
      </c>
      <c r="L135" s="31">
        <f t="shared" si="35"/>
        <v>212</v>
      </c>
      <c r="M135" s="31">
        <f>ROUND((L135/$E$1),0)</f>
        <v>53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>
        <v>4</v>
      </c>
      <c r="H136" s="42">
        <v>5</v>
      </c>
      <c r="I136" s="42">
        <v>5</v>
      </c>
      <c r="J136" s="42">
        <v>3</v>
      </c>
      <c r="K136" s="42"/>
      <c r="L136" s="35">
        <f>SUM(G136:K136)</f>
        <v>17</v>
      </c>
      <c r="M136" s="35">
        <f t="shared" ref="M136:M144" si="36">ROUND((L136/$E$1),0)</f>
        <v>4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>
        <v>12</v>
      </c>
      <c r="H137" s="42">
        <v>15</v>
      </c>
      <c r="I137" s="42">
        <v>15</v>
      </c>
      <c r="J137" s="42">
        <v>16</v>
      </c>
      <c r="K137" s="42"/>
      <c r="L137" s="35">
        <f t="shared" ref="L137:L144" si="37">SUM(G137:K137)</f>
        <v>58</v>
      </c>
      <c r="M137" s="35">
        <f t="shared" si="36"/>
        <v>15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>
        <v>9</v>
      </c>
      <c r="H138" s="42">
        <v>10</v>
      </c>
      <c r="I138" s="42">
        <v>10</v>
      </c>
      <c r="J138" s="42">
        <v>10</v>
      </c>
      <c r="K138" s="42"/>
      <c r="L138" s="35">
        <f t="shared" si="37"/>
        <v>39</v>
      </c>
      <c r="M138" s="35">
        <f t="shared" si="36"/>
        <v>10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>
        <v>19</v>
      </c>
      <c r="H139" s="43">
        <v>22</v>
      </c>
      <c r="I139" s="43">
        <v>31</v>
      </c>
      <c r="J139" s="43">
        <v>26</v>
      </c>
      <c r="K139" s="43"/>
      <c r="L139" s="31">
        <f t="shared" si="37"/>
        <v>98</v>
      </c>
      <c r="M139" s="31">
        <f t="shared" si="36"/>
        <v>25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/>
      <c r="I142" s="42">
        <v>1</v>
      </c>
      <c r="J142" s="42"/>
      <c r="K142" s="42"/>
      <c r="L142" s="35">
        <f t="shared" si="37"/>
        <v>1</v>
      </c>
      <c r="M142" s="35">
        <f t="shared" si="36"/>
        <v>0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>
        <v>40</v>
      </c>
      <c r="H143" s="42">
        <v>96</v>
      </c>
      <c r="I143" s="42">
        <v>96</v>
      </c>
      <c r="J143" s="42">
        <v>60</v>
      </c>
      <c r="K143" s="42"/>
      <c r="L143" s="35">
        <f t="shared" si="37"/>
        <v>292</v>
      </c>
      <c r="M143" s="35">
        <f t="shared" si="36"/>
        <v>73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 t="str">
        <f>+$G$3</f>
        <v>Year</v>
      </c>
      <c r="H147" s="10" t="str">
        <f>+G147</f>
        <v>Year</v>
      </c>
      <c r="I147" s="10" t="str">
        <f t="shared" ref="I147:M148" si="38">+H147</f>
        <v>Year</v>
      </c>
      <c r="J147" s="10" t="str">
        <f t="shared" si="38"/>
        <v>Year</v>
      </c>
      <c r="K147" s="10" t="str">
        <f t="shared" si="38"/>
        <v>Year</v>
      </c>
      <c r="L147" s="10" t="str">
        <f t="shared" si="38"/>
        <v>Year</v>
      </c>
      <c r="M147" s="10" t="str">
        <f t="shared" si="38"/>
        <v>Year</v>
      </c>
      <c r="N147" s="11"/>
      <c r="O147" s="44"/>
      <c r="P147" s="44"/>
      <c r="Q147" s="44"/>
      <c r="S147" s="12" t="str">
        <f>+C147</f>
        <v>Msahweni CLC</v>
      </c>
      <c r="T147" s="13">
        <f>+L151</f>
        <v>530</v>
      </c>
      <c r="U147" s="13">
        <f>+L152+L153</f>
        <v>194</v>
      </c>
      <c r="V147" s="13">
        <f>+L154+L155</f>
        <v>336</v>
      </c>
      <c r="W147" s="13">
        <f>+L158</f>
        <v>8</v>
      </c>
      <c r="X147" s="13">
        <f>+L156</f>
        <v>4</v>
      </c>
    </row>
    <row r="148" spans="1:24" x14ac:dyDescent="0.25">
      <c r="A148" s="14"/>
      <c r="B148" s="15"/>
      <c r="C148" s="41" t="str">
        <f>+$C132</f>
        <v>January 2025</v>
      </c>
      <c r="D148" s="18"/>
      <c r="E148" s="18"/>
      <c r="F148" s="18"/>
      <c r="G148" s="20" t="str">
        <f>+$G$4</f>
        <v>Mnt</v>
      </c>
      <c r="H148" s="20" t="str">
        <f>+G148</f>
        <v>Mnt</v>
      </c>
      <c r="I148" s="20" t="str">
        <f t="shared" si="38"/>
        <v>Mnt</v>
      </c>
      <c r="J148" s="20" t="str">
        <f t="shared" si="38"/>
        <v>Mnt</v>
      </c>
      <c r="K148" s="20" t="str">
        <f t="shared" si="38"/>
        <v>Mnt</v>
      </c>
      <c r="L148" s="20" t="str">
        <f t="shared" si="38"/>
        <v>Mnt</v>
      </c>
      <c r="M148" s="20" t="str">
        <f t="shared" si="38"/>
        <v>Mnt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5</v>
      </c>
      <c r="H149" s="25">
        <f>+$H$5</f>
        <v>12</v>
      </c>
      <c r="I149" s="25">
        <f>+$I$5</f>
        <v>19</v>
      </c>
      <c r="J149" s="25">
        <f>+$J$5</f>
        <v>26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131</v>
      </c>
      <c r="H151" s="31">
        <f t="shared" ref="H151:L151" si="39">SUM(H152:H155)</f>
        <v>142</v>
      </c>
      <c r="I151" s="31">
        <f t="shared" si="39"/>
        <v>125</v>
      </c>
      <c r="J151" s="31">
        <f t="shared" si="39"/>
        <v>132</v>
      </c>
      <c r="K151" s="31">
        <f t="shared" si="39"/>
        <v>0</v>
      </c>
      <c r="L151" s="31">
        <f t="shared" si="39"/>
        <v>530</v>
      </c>
      <c r="M151" s="31">
        <f>ROUND((L151/$E$1),0)</f>
        <v>133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11</v>
      </c>
      <c r="H152" s="42">
        <v>14</v>
      </c>
      <c r="I152" s="42">
        <v>7</v>
      </c>
      <c r="J152" s="42">
        <v>5</v>
      </c>
      <c r="K152" s="42"/>
      <c r="L152" s="35">
        <f>SUM(G152:K152)</f>
        <v>37</v>
      </c>
      <c r="M152" s="35">
        <f t="shared" ref="M152:M160" si="40">ROUND((L152/$E$1),0)</f>
        <v>9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42</v>
      </c>
      <c r="H153" s="42">
        <v>39</v>
      </c>
      <c r="I153" s="42">
        <v>35</v>
      </c>
      <c r="J153" s="42">
        <v>41</v>
      </c>
      <c r="K153" s="42"/>
      <c r="L153" s="35">
        <f t="shared" ref="L153:L160" si="41">SUM(G153:K153)</f>
        <v>157</v>
      </c>
      <c r="M153" s="35">
        <f t="shared" si="40"/>
        <v>39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40</v>
      </c>
      <c r="H154" s="42">
        <v>46</v>
      </c>
      <c r="I154" s="42">
        <v>40</v>
      </c>
      <c r="J154" s="42">
        <v>50</v>
      </c>
      <c r="K154" s="42"/>
      <c r="L154" s="35">
        <f t="shared" si="41"/>
        <v>176</v>
      </c>
      <c r="M154" s="35">
        <f t="shared" si="40"/>
        <v>44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38</v>
      </c>
      <c r="H155" s="43">
        <v>43</v>
      </c>
      <c r="I155" s="43">
        <v>43</v>
      </c>
      <c r="J155" s="43">
        <v>36</v>
      </c>
      <c r="K155" s="43"/>
      <c r="L155" s="31">
        <f t="shared" si="41"/>
        <v>160</v>
      </c>
      <c r="M155" s="31">
        <f t="shared" si="40"/>
        <v>40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>
        <v>4</v>
      </c>
      <c r="H156" s="42"/>
      <c r="I156" s="42"/>
      <c r="J156" s="42"/>
      <c r="K156" s="42"/>
      <c r="L156" s="35">
        <f t="shared" si="41"/>
        <v>4</v>
      </c>
      <c r="M156" s="35">
        <f t="shared" si="40"/>
        <v>1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/>
      <c r="H158" s="42">
        <v>2</v>
      </c>
      <c r="I158" s="42">
        <v>4</v>
      </c>
      <c r="J158" s="42">
        <v>2</v>
      </c>
      <c r="K158" s="42"/>
      <c r="L158" s="35">
        <f t="shared" si="41"/>
        <v>8</v>
      </c>
      <c r="M158" s="35">
        <f t="shared" si="40"/>
        <v>2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36</v>
      </c>
      <c r="H159" s="42">
        <v>12</v>
      </c>
      <c r="I159" s="42">
        <v>19</v>
      </c>
      <c r="J159" s="42"/>
      <c r="K159" s="42"/>
      <c r="L159" s="35">
        <f t="shared" si="41"/>
        <v>67</v>
      </c>
      <c r="M159" s="35">
        <f t="shared" si="40"/>
        <v>17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 t="str">
        <f>+$G$3</f>
        <v>Year</v>
      </c>
      <c r="H163" s="10" t="str">
        <f>+G163</f>
        <v>Year</v>
      </c>
      <c r="I163" s="10" t="str">
        <f t="shared" ref="I163:M164" si="42">+H163</f>
        <v>Year</v>
      </c>
      <c r="J163" s="10" t="str">
        <f t="shared" si="42"/>
        <v>Year</v>
      </c>
      <c r="K163" s="10" t="str">
        <f t="shared" si="42"/>
        <v>Year</v>
      </c>
      <c r="L163" s="10" t="str">
        <f t="shared" si="42"/>
        <v>Year</v>
      </c>
      <c r="M163" s="10" t="str">
        <f t="shared" si="42"/>
        <v>Year</v>
      </c>
      <c r="N163" s="11"/>
      <c r="O163" s="44"/>
      <c r="P163" s="44"/>
      <c r="Q163" s="44"/>
      <c r="S163" s="12" t="str">
        <f>+C163</f>
        <v>Mhlangatane</v>
      </c>
      <c r="T163" s="13">
        <f>+L167</f>
        <v>94</v>
      </c>
      <c r="U163" s="13">
        <f>+L168+L169</f>
        <v>22</v>
      </c>
      <c r="V163" s="13">
        <f>+L170+L171</f>
        <v>72</v>
      </c>
      <c r="W163" s="13">
        <f>+L174</f>
        <v>4</v>
      </c>
      <c r="X163" s="13">
        <f>+L172</f>
        <v>0</v>
      </c>
    </row>
    <row r="164" spans="1:24" x14ac:dyDescent="0.25">
      <c r="A164" s="14"/>
      <c r="B164" s="15"/>
      <c r="C164" s="41" t="str">
        <f>+$C148</f>
        <v>January 2025</v>
      </c>
      <c r="D164" s="18"/>
      <c r="E164" s="18"/>
      <c r="F164" s="18"/>
      <c r="G164" s="20" t="str">
        <f>+$G$4</f>
        <v>Mnt</v>
      </c>
      <c r="H164" s="20" t="str">
        <f>+G164</f>
        <v>Mnt</v>
      </c>
      <c r="I164" s="20" t="str">
        <f t="shared" si="42"/>
        <v>Mnt</v>
      </c>
      <c r="J164" s="20" t="str">
        <f t="shared" si="42"/>
        <v>Mnt</v>
      </c>
      <c r="K164" s="20" t="str">
        <f t="shared" si="42"/>
        <v>Mnt</v>
      </c>
      <c r="L164" s="20" t="str">
        <f t="shared" si="42"/>
        <v>Mnt</v>
      </c>
      <c r="M164" s="20" t="str">
        <f t="shared" si="42"/>
        <v>Mnt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5</v>
      </c>
      <c r="H165" s="25">
        <f>+$H$5</f>
        <v>12</v>
      </c>
      <c r="I165" s="25">
        <f>+$I$5</f>
        <v>19</v>
      </c>
      <c r="J165" s="25">
        <f>+$J$5</f>
        <v>26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30</v>
      </c>
      <c r="H167" s="31">
        <f t="shared" ref="H167:L167" si="43">SUM(H168:H171)</f>
        <v>14</v>
      </c>
      <c r="I167" s="31">
        <f t="shared" si="43"/>
        <v>23</v>
      </c>
      <c r="J167" s="31">
        <f t="shared" si="43"/>
        <v>27</v>
      </c>
      <c r="K167" s="31">
        <f t="shared" si="43"/>
        <v>0</v>
      </c>
      <c r="L167" s="31">
        <f t="shared" si="43"/>
        <v>94</v>
      </c>
      <c r="M167" s="31">
        <f>ROUND((L167/$E$1),0)</f>
        <v>24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1</v>
      </c>
      <c r="H168" s="42">
        <v>1</v>
      </c>
      <c r="I168" s="42">
        <v>1</v>
      </c>
      <c r="J168" s="42">
        <v>2</v>
      </c>
      <c r="K168" s="42"/>
      <c r="L168" s="35">
        <f>SUM(G168:K168)</f>
        <v>5</v>
      </c>
      <c r="M168" s="35">
        <f t="shared" ref="M168:M176" si="44">ROUND((L168/$E$1),0)</f>
        <v>1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6</v>
      </c>
      <c r="H169" s="42">
        <v>2</v>
      </c>
      <c r="I169" s="42">
        <v>5</v>
      </c>
      <c r="J169" s="42">
        <v>4</v>
      </c>
      <c r="K169" s="42"/>
      <c r="L169" s="35">
        <f t="shared" ref="L169:L176" si="45">SUM(G169:K169)</f>
        <v>17</v>
      </c>
      <c r="M169" s="35">
        <f t="shared" si="44"/>
        <v>4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8</v>
      </c>
      <c r="H170" s="42">
        <v>7</v>
      </c>
      <c r="I170" s="42">
        <v>6</v>
      </c>
      <c r="J170" s="42">
        <v>5</v>
      </c>
      <c r="K170" s="42"/>
      <c r="L170" s="35">
        <f t="shared" si="45"/>
        <v>26</v>
      </c>
      <c r="M170" s="35">
        <f t="shared" si="44"/>
        <v>7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15</v>
      </c>
      <c r="H171" s="43">
        <v>4</v>
      </c>
      <c r="I171" s="43">
        <v>11</v>
      </c>
      <c r="J171" s="43">
        <v>16</v>
      </c>
      <c r="K171" s="43"/>
      <c r="L171" s="31">
        <f t="shared" si="45"/>
        <v>46</v>
      </c>
      <c r="M171" s="31">
        <f t="shared" si="44"/>
        <v>12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3</v>
      </c>
      <c r="H174" s="42">
        <v>1</v>
      </c>
      <c r="I174" s="42"/>
      <c r="J174" s="42"/>
      <c r="K174" s="42"/>
      <c r="L174" s="35">
        <f t="shared" si="45"/>
        <v>4</v>
      </c>
      <c r="M174" s="35">
        <f t="shared" si="44"/>
        <v>1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82</v>
      </c>
      <c r="H175" s="42">
        <v>45</v>
      </c>
      <c r="I175" s="42">
        <v>180</v>
      </c>
      <c r="J175" s="42">
        <v>80</v>
      </c>
      <c r="K175" s="42"/>
      <c r="L175" s="35">
        <f t="shared" si="45"/>
        <v>387</v>
      </c>
      <c r="M175" s="35">
        <f t="shared" si="44"/>
        <v>97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 t="str">
        <f>+$G$3</f>
        <v>Year</v>
      </c>
      <c r="H179" s="10" t="str">
        <f>+G179</f>
        <v>Year</v>
      </c>
      <c r="I179" s="10" t="str">
        <f t="shared" ref="I179:M180" si="46">+H179</f>
        <v>Year</v>
      </c>
      <c r="J179" s="10" t="str">
        <f t="shared" si="46"/>
        <v>Year</v>
      </c>
      <c r="K179" s="10" t="str">
        <f t="shared" si="46"/>
        <v>Year</v>
      </c>
      <c r="L179" s="10" t="str">
        <f t="shared" si="46"/>
        <v>Year</v>
      </c>
      <c r="M179" s="10" t="str">
        <f t="shared" si="46"/>
        <v>Year</v>
      </c>
      <c r="N179" s="11"/>
      <c r="O179" s="44"/>
      <c r="P179" s="44"/>
      <c r="Q179" s="44"/>
      <c r="S179" s="12" t="str">
        <f>+C179</f>
        <v>Tibane</v>
      </c>
      <c r="T179" s="13">
        <f>+L183</f>
        <v>283</v>
      </c>
      <c r="U179" s="13">
        <f>+L184+L185</f>
        <v>55</v>
      </c>
      <c r="V179" s="13">
        <f>+L186+L187</f>
        <v>228</v>
      </c>
      <c r="W179" s="13">
        <f>+L190</f>
        <v>15</v>
      </c>
      <c r="X179" s="13">
        <f>+L188</f>
        <v>1</v>
      </c>
    </row>
    <row r="180" spans="1:24" x14ac:dyDescent="0.25">
      <c r="A180" s="14"/>
      <c r="B180" s="15"/>
      <c r="C180" s="41" t="str">
        <f>+$C164</f>
        <v>January 2025</v>
      </c>
      <c r="D180" s="18"/>
      <c r="E180" s="18"/>
      <c r="F180" s="18"/>
      <c r="G180" s="20" t="str">
        <f>+$G$4</f>
        <v>Mnt</v>
      </c>
      <c r="H180" s="20" t="str">
        <f>+G180</f>
        <v>Mnt</v>
      </c>
      <c r="I180" s="20" t="str">
        <f t="shared" si="46"/>
        <v>Mnt</v>
      </c>
      <c r="J180" s="20" t="str">
        <f t="shared" si="46"/>
        <v>Mnt</v>
      </c>
      <c r="K180" s="20" t="str">
        <f t="shared" si="46"/>
        <v>Mnt</v>
      </c>
      <c r="L180" s="20" t="str">
        <f t="shared" si="46"/>
        <v>Mnt</v>
      </c>
      <c r="M180" s="20" t="str">
        <f t="shared" si="46"/>
        <v>Mnt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5</v>
      </c>
      <c r="H181" s="25">
        <f>+$H$5</f>
        <v>12</v>
      </c>
      <c r="I181" s="25">
        <f>+$I$5</f>
        <v>19</v>
      </c>
      <c r="J181" s="25">
        <f>+$J$5</f>
        <v>26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73</v>
      </c>
      <c r="H183" s="31">
        <f t="shared" ref="H183:L183" si="47">SUM(H184:H187)</f>
        <v>74</v>
      </c>
      <c r="I183" s="31">
        <f t="shared" si="47"/>
        <v>73</v>
      </c>
      <c r="J183" s="31">
        <f t="shared" si="47"/>
        <v>63</v>
      </c>
      <c r="K183" s="31">
        <f t="shared" si="47"/>
        <v>0</v>
      </c>
      <c r="L183" s="31">
        <f t="shared" si="47"/>
        <v>283</v>
      </c>
      <c r="M183" s="31">
        <f>ROUND((L183/$E$1),0)</f>
        <v>71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2</v>
      </c>
      <c r="H184" s="42">
        <v>1</v>
      </c>
      <c r="I184" s="42">
        <v>1</v>
      </c>
      <c r="J184" s="42">
        <v>2</v>
      </c>
      <c r="K184" s="42"/>
      <c r="L184" s="35">
        <f>SUM(G184:K184)</f>
        <v>6</v>
      </c>
      <c r="M184" s="35">
        <f t="shared" ref="M184:M192" si="48">ROUND((L184/$E$1),0)</f>
        <v>2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14</v>
      </c>
      <c r="H185" s="42">
        <v>13</v>
      </c>
      <c r="I185" s="42">
        <v>12</v>
      </c>
      <c r="J185" s="42">
        <v>10</v>
      </c>
      <c r="K185" s="42"/>
      <c r="L185" s="35">
        <f t="shared" ref="L185:L192" si="49">SUM(G185:K185)</f>
        <v>49</v>
      </c>
      <c r="M185" s="35">
        <f t="shared" si="48"/>
        <v>12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16</v>
      </c>
      <c r="H186" s="42">
        <v>17</v>
      </c>
      <c r="I186" s="42">
        <v>18</v>
      </c>
      <c r="J186" s="42">
        <v>16</v>
      </c>
      <c r="K186" s="42"/>
      <c r="L186" s="35">
        <f t="shared" si="49"/>
        <v>67</v>
      </c>
      <c r="M186" s="35">
        <f t="shared" si="48"/>
        <v>17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41</v>
      </c>
      <c r="H187" s="43">
        <v>43</v>
      </c>
      <c r="I187" s="43">
        <v>42</v>
      </c>
      <c r="J187" s="43">
        <v>35</v>
      </c>
      <c r="K187" s="43"/>
      <c r="L187" s="31">
        <f t="shared" si="49"/>
        <v>161</v>
      </c>
      <c r="M187" s="31">
        <f t="shared" si="48"/>
        <v>40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/>
      <c r="H188" s="42">
        <v>1</v>
      </c>
      <c r="I188" s="42"/>
      <c r="J188" s="42"/>
      <c r="K188" s="42"/>
      <c r="L188" s="35">
        <f t="shared" si="49"/>
        <v>1</v>
      </c>
      <c r="M188" s="35">
        <f t="shared" si="48"/>
        <v>0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4</v>
      </c>
      <c r="H190" s="42">
        <v>3</v>
      </c>
      <c r="I190" s="42">
        <v>3</v>
      </c>
      <c r="J190" s="42">
        <v>5</v>
      </c>
      <c r="K190" s="42"/>
      <c r="L190" s="35">
        <f t="shared" si="49"/>
        <v>15</v>
      </c>
      <c r="M190" s="35">
        <f t="shared" si="48"/>
        <v>4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64</v>
      </c>
      <c r="H191" s="42">
        <v>64</v>
      </c>
      <c r="I191" s="42">
        <v>64</v>
      </c>
      <c r="J191" s="42">
        <v>64</v>
      </c>
      <c r="K191" s="42"/>
      <c r="L191" s="35">
        <f t="shared" si="49"/>
        <v>256</v>
      </c>
      <c r="M191" s="35">
        <f t="shared" si="48"/>
        <v>64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 t="str">
        <f>+$G$3</f>
        <v>Year</v>
      </c>
      <c r="H195" s="10" t="str">
        <f>+G195</f>
        <v>Year</v>
      </c>
      <c r="I195" s="10" t="str">
        <f t="shared" ref="I195:M196" si="50">+H195</f>
        <v>Year</v>
      </c>
      <c r="J195" s="10" t="str">
        <f t="shared" si="50"/>
        <v>Year</v>
      </c>
      <c r="K195" s="10" t="str">
        <f t="shared" si="50"/>
        <v>Year</v>
      </c>
      <c r="L195" s="10" t="str">
        <f t="shared" si="50"/>
        <v>Year</v>
      </c>
      <c r="M195" s="10" t="str">
        <f t="shared" si="50"/>
        <v>Year</v>
      </c>
      <c r="N195" s="11"/>
      <c r="O195" s="44"/>
      <c r="P195" s="44"/>
      <c r="Q195" s="44"/>
      <c r="S195" s="12" t="str">
        <f>+C195</f>
        <v>Nyathela</v>
      </c>
      <c r="T195" s="13">
        <f>+L199</f>
        <v>288</v>
      </c>
      <c r="U195" s="13">
        <f>+L200+L201</f>
        <v>45</v>
      </c>
      <c r="V195" s="13">
        <f>+L202+L203</f>
        <v>243</v>
      </c>
      <c r="W195" s="13">
        <f>+L206</f>
        <v>12</v>
      </c>
      <c r="X195" s="13">
        <f>+L204</f>
        <v>0</v>
      </c>
    </row>
    <row r="196" spans="1:24" x14ac:dyDescent="0.25">
      <c r="A196" s="14"/>
      <c r="B196" s="15"/>
      <c r="C196" s="41" t="str">
        <f>+$C180</f>
        <v>January 2025</v>
      </c>
      <c r="D196" s="18"/>
      <c r="E196" s="18"/>
      <c r="F196" s="18"/>
      <c r="G196" s="20" t="str">
        <f>+$G$4</f>
        <v>Mnt</v>
      </c>
      <c r="H196" s="20" t="str">
        <f>+G196</f>
        <v>Mnt</v>
      </c>
      <c r="I196" s="20" t="str">
        <f t="shared" si="50"/>
        <v>Mnt</v>
      </c>
      <c r="J196" s="20" t="str">
        <f t="shared" si="50"/>
        <v>Mnt</v>
      </c>
      <c r="K196" s="20" t="str">
        <f t="shared" si="50"/>
        <v>Mnt</v>
      </c>
      <c r="L196" s="20" t="str">
        <f t="shared" si="50"/>
        <v>Mnt</v>
      </c>
      <c r="M196" s="20" t="str">
        <f t="shared" si="50"/>
        <v>Mnt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5</v>
      </c>
      <c r="H197" s="25">
        <f>+$H$5</f>
        <v>12</v>
      </c>
      <c r="I197" s="25">
        <f>+$I$5</f>
        <v>19</v>
      </c>
      <c r="J197" s="25">
        <f>+$J$5</f>
        <v>26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84</v>
      </c>
      <c r="H199" s="31">
        <f t="shared" ref="H199:L199" si="51">SUM(H200:H203)</f>
        <v>64</v>
      </c>
      <c r="I199" s="31">
        <f t="shared" si="51"/>
        <v>67</v>
      </c>
      <c r="J199" s="31">
        <f t="shared" si="51"/>
        <v>73</v>
      </c>
      <c r="K199" s="31">
        <f t="shared" si="51"/>
        <v>0</v>
      </c>
      <c r="L199" s="31">
        <f t="shared" si="51"/>
        <v>288</v>
      </c>
      <c r="M199" s="31">
        <f>ROUND((L199/$E$1),0)</f>
        <v>72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4</v>
      </c>
      <c r="H200" s="42">
        <v>3</v>
      </c>
      <c r="I200" s="42">
        <v>3</v>
      </c>
      <c r="J200" s="42">
        <v>4</v>
      </c>
      <c r="K200" s="42"/>
      <c r="L200" s="35">
        <f>SUM(G200:K200)</f>
        <v>14</v>
      </c>
      <c r="M200" s="35">
        <f t="shared" ref="M200:M208" si="52">ROUND((L200/$E$1),0)</f>
        <v>4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10</v>
      </c>
      <c r="H201" s="42">
        <v>5</v>
      </c>
      <c r="I201" s="42">
        <v>8</v>
      </c>
      <c r="J201" s="42">
        <v>8</v>
      </c>
      <c r="K201" s="42"/>
      <c r="L201" s="35">
        <f t="shared" ref="L201:L208" si="53">SUM(G201:K201)</f>
        <v>31</v>
      </c>
      <c r="M201" s="35">
        <f t="shared" si="52"/>
        <v>8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30</v>
      </c>
      <c r="H202" s="42">
        <v>27</v>
      </c>
      <c r="I202" s="42">
        <v>28</v>
      </c>
      <c r="J202" s="42">
        <v>29</v>
      </c>
      <c r="K202" s="42"/>
      <c r="L202" s="35">
        <f t="shared" si="53"/>
        <v>114</v>
      </c>
      <c r="M202" s="35">
        <f t="shared" si="52"/>
        <v>29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40</v>
      </c>
      <c r="H203" s="43">
        <v>29</v>
      </c>
      <c r="I203" s="43">
        <v>28</v>
      </c>
      <c r="J203" s="43">
        <v>32</v>
      </c>
      <c r="K203" s="43"/>
      <c r="L203" s="31">
        <f t="shared" si="53"/>
        <v>129</v>
      </c>
      <c r="M203" s="31">
        <f t="shared" si="52"/>
        <v>32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53"/>
        <v>0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2</v>
      </c>
      <c r="H206" s="42">
        <v>3</v>
      </c>
      <c r="I206" s="42">
        <v>4</v>
      </c>
      <c r="J206" s="42">
        <v>3</v>
      </c>
      <c r="K206" s="42"/>
      <c r="L206" s="35">
        <f t="shared" si="53"/>
        <v>12</v>
      </c>
      <c r="M206" s="35">
        <f t="shared" si="52"/>
        <v>3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32</v>
      </c>
      <c r="H207" s="42">
        <v>128</v>
      </c>
      <c r="I207" s="42">
        <v>96</v>
      </c>
      <c r="J207" s="42">
        <v>64</v>
      </c>
      <c r="K207" s="42"/>
      <c r="L207" s="35">
        <f t="shared" si="53"/>
        <v>320</v>
      </c>
      <c r="M207" s="35">
        <f t="shared" si="52"/>
        <v>80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 t="str">
        <f>+$G$3</f>
        <v>Year</v>
      </c>
      <c r="H211" s="10" t="str">
        <f>+G211</f>
        <v>Year</v>
      </c>
      <c r="I211" s="10" t="str">
        <f t="shared" ref="I211:M212" si="54">+H211</f>
        <v>Year</v>
      </c>
      <c r="J211" s="10" t="str">
        <f t="shared" si="54"/>
        <v>Year</v>
      </c>
      <c r="K211" s="10" t="str">
        <f t="shared" si="54"/>
        <v>Year</v>
      </c>
      <c r="L211" s="10" t="str">
        <f t="shared" si="54"/>
        <v>Year</v>
      </c>
      <c r="M211" s="10" t="str">
        <f t="shared" si="54"/>
        <v>Year</v>
      </c>
      <c r="N211" s="11"/>
      <c r="O211" s="44"/>
      <c r="P211" s="44"/>
      <c r="Q211" s="44"/>
      <c r="S211" s="12" t="str">
        <f>+C211</f>
        <v>Mlindazwe</v>
      </c>
      <c r="T211" s="13">
        <f>+L215</f>
        <v>337</v>
      </c>
      <c r="U211" s="13">
        <f>+L216+L217</f>
        <v>51</v>
      </c>
      <c r="V211" s="13">
        <f>+L218+L219</f>
        <v>286</v>
      </c>
      <c r="W211" s="13">
        <f>+L222</f>
        <v>13</v>
      </c>
      <c r="X211" s="13">
        <f>+L220</f>
        <v>1</v>
      </c>
    </row>
    <row r="212" spans="1:24" x14ac:dyDescent="0.25">
      <c r="A212" s="14"/>
      <c r="B212" s="15"/>
      <c r="C212" s="41" t="str">
        <f>+$C196</f>
        <v>January 2025</v>
      </c>
      <c r="D212" s="18"/>
      <c r="E212" s="18"/>
      <c r="F212" s="18"/>
      <c r="G212" s="20" t="str">
        <f>+$G$4</f>
        <v>Mnt</v>
      </c>
      <c r="H212" s="20" t="str">
        <f>+G212</f>
        <v>Mnt</v>
      </c>
      <c r="I212" s="20" t="str">
        <f t="shared" si="54"/>
        <v>Mnt</v>
      </c>
      <c r="J212" s="20" t="str">
        <f t="shared" si="54"/>
        <v>Mnt</v>
      </c>
      <c r="K212" s="20" t="str">
        <f t="shared" si="54"/>
        <v>Mnt</v>
      </c>
      <c r="L212" s="20" t="str">
        <f t="shared" si="54"/>
        <v>Mnt</v>
      </c>
      <c r="M212" s="20" t="str">
        <f t="shared" si="54"/>
        <v>Mnt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5</v>
      </c>
      <c r="H213" s="25">
        <f>+$H$5</f>
        <v>12</v>
      </c>
      <c r="I213" s="25">
        <f>+$I$5</f>
        <v>19</v>
      </c>
      <c r="J213" s="25">
        <f>+$J$5</f>
        <v>26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67</v>
      </c>
      <c r="H215" s="31">
        <f t="shared" ref="H215:L215" si="55">SUM(H216:H219)</f>
        <v>80</v>
      </c>
      <c r="I215" s="31">
        <f t="shared" si="55"/>
        <v>93</v>
      </c>
      <c r="J215" s="31">
        <f t="shared" si="55"/>
        <v>97</v>
      </c>
      <c r="K215" s="31">
        <f t="shared" si="55"/>
        <v>0</v>
      </c>
      <c r="L215" s="31">
        <f t="shared" si="55"/>
        <v>337</v>
      </c>
      <c r="M215" s="31">
        <f>ROUND((L215/$E$1),0)</f>
        <v>84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>
        <v>2</v>
      </c>
      <c r="H216" s="42">
        <v>1</v>
      </c>
      <c r="I216" s="42">
        <v>0</v>
      </c>
      <c r="J216" s="42">
        <v>2</v>
      </c>
      <c r="K216" s="42"/>
      <c r="L216" s="35">
        <f>SUM(G216:K216)</f>
        <v>5</v>
      </c>
      <c r="M216" s="35">
        <f t="shared" ref="M216:M224" si="56">ROUND((L216/$E$1),0)</f>
        <v>1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8</v>
      </c>
      <c r="H217" s="42">
        <v>10</v>
      </c>
      <c r="I217" s="42">
        <v>16</v>
      </c>
      <c r="J217" s="42">
        <v>12</v>
      </c>
      <c r="K217" s="42"/>
      <c r="L217" s="35">
        <f t="shared" ref="L217:L224" si="57">SUM(G217:K217)</f>
        <v>46</v>
      </c>
      <c r="M217" s="35">
        <f t="shared" si="56"/>
        <v>12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25</v>
      </c>
      <c r="H218" s="42">
        <v>26</v>
      </c>
      <c r="I218" s="42">
        <v>22</v>
      </c>
      <c r="J218" s="42">
        <v>22</v>
      </c>
      <c r="K218" s="42"/>
      <c r="L218" s="35">
        <f t="shared" si="57"/>
        <v>95</v>
      </c>
      <c r="M218" s="35">
        <f t="shared" si="56"/>
        <v>24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32</v>
      </c>
      <c r="H219" s="43">
        <v>43</v>
      </c>
      <c r="I219" s="43">
        <v>55</v>
      </c>
      <c r="J219" s="43">
        <v>61</v>
      </c>
      <c r="K219" s="43"/>
      <c r="L219" s="31">
        <f t="shared" si="57"/>
        <v>191</v>
      </c>
      <c r="M219" s="31">
        <f t="shared" si="56"/>
        <v>48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>
        <v>1</v>
      </c>
      <c r="H220" s="42"/>
      <c r="I220" s="42"/>
      <c r="J220" s="42"/>
      <c r="K220" s="42"/>
      <c r="L220" s="35">
        <f t="shared" si="57"/>
        <v>1</v>
      </c>
      <c r="M220" s="35">
        <f t="shared" si="56"/>
        <v>0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3</v>
      </c>
      <c r="H222" s="42">
        <v>5</v>
      </c>
      <c r="I222" s="42">
        <v>2</v>
      </c>
      <c r="J222" s="42">
        <v>3</v>
      </c>
      <c r="K222" s="42"/>
      <c r="L222" s="35">
        <f t="shared" si="57"/>
        <v>13</v>
      </c>
      <c r="M222" s="35">
        <f t="shared" si="56"/>
        <v>3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>
        <v>18</v>
      </c>
      <c r="H223" s="42">
        <v>198</v>
      </c>
      <c r="I223" s="42">
        <v>10</v>
      </c>
      <c r="J223" s="42">
        <v>20</v>
      </c>
      <c r="K223" s="42"/>
      <c r="L223" s="35">
        <f t="shared" si="57"/>
        <v>246</v>
      </c>
      <c r="M223" s="35">
        <f t="shared" si="56"/>
        <v>62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 t="str">
        <f>+$G$3</f>
        <v>Year</v>
      </c>
      <c r="H227" s="10" t="str">
        <f>+G227</f>
        <v>Year</v>
      </c>
      <c r="I227" s="10" t="str">
        <f t="shared" ref="I227:M228" si="58">+H227</f>
        <v>Year</v>
      </c>
      <c r="J227" s="10" t="str">
        <f t="shared" si="58"/>
        <v>Year</v>
      </c>
      <c r="K227" s="10" t="str">
        <f t="shared" si="58"/>
        <v>Year</v>
      </c>
      <c r="L227" s="10" t="str">
        <f t="shared" si="58"/>
        <v>Year</v>
      </c>
      <c r="M227" s="10" t="str">
        <f t="shared" si="58"/>
        <v>Year</v>
      </c>
      <c r="N227" s="11"/>
      <c r="O227" s="44"/>
      <c r="P227" s="44"/>
      <c r="Q227" s="44"/>
      <c r="S227" s="12" t="str">
        <f>+C227</f>
        <v>Lundzi</v>
      </c>
      <c r="T227" s="13">
        <f>+L231</f>
        <v>312</v>
      </c>
      <c r="U227" s="13">
        <f>+L232+L233</f>
        <v>118</v>
      </c>
      <c r="V227" s="13">
        <f>+L234+L235</f>
        <v>194</v>
      </c>
      <c r="W227" s="13">
        <f>+L238</f>
        <v>7</v>
      </c>
      <c r="X227" s="13">
        <f>+L236</f>
        <v>26</v>
      </c>
    </row>
    <row r="228" spans="1:24" x14ac:dyDescent="0.25">
      <c r="A228" s="14"/>
      <c r="B228" s="15"/>
      <c r="C228" s="41" t="str">
        <f>+$C212</f>
        <v>January 2025</v>
      </c>
      <c r="D228" s="18"/>
      <c r="E228" s="18"/>
      <c r="F228" s="18"/>
      <c r="G228" s="20" t="str">
        <f>+$G$4</f>
        <v>Mnt</v>
      </c>
      <c r="H228" s="20" t="str">
        <f>+G228</f>
        <v>Mnt</v>
      </c>
      <c r="I228" s="20" t="str">
        <f t="shared" si="58"/>
        <v>Mnt</v>
      </c>
      <c r="J228" s="20" t="str">
        <f t="shared" si="58"/>
        <v>Mnt</v>
      </c>
      <c r="K228" s="20" t="str">
        <f t="shared" si="58"/>
        <v>Mnt</v>
      </c>
      <c r="L228" s="20" t="str">
        <f t="shared" si="58"/>
        <v>Mnt</v>
      </c>
      <c r="M228" s="20" t="str">
        <f t="shared" si="58"/>
        <v>Mnt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5</v>
      </c>
      <c r="H229" s="25">
        <f>+$H$5</f>
        <v>12</v>
      </c>
      <c r="I229" s="25">
        <f>+$I$5</f>
        <v>19</v>
      </c>
      <c r="J229" s="25">
        <f>+$J$5</f>
        <v>26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53</v>
      </c>
      <c r="H231" s="31">
        <f t="shared" ref="H231:L231" si="59">SUM(H232:H235)</f>
        <v>118</v>
      </c>
      <c r="I231" s="31">
        <f t="shared" si="59"/>
        <v>76</v>
      </c>
      <c r="J231" s="31">
        <f t="shared" si="59"/>
        <v>65</v>
      </c>
      <c r="K231" s="31">
        <f t="shared" si="59"/>
        <v>0</v>
      </c>
      <c r="L231" s="31">
        <f t="shared" si="59"/>
        <v>312</v>
      </c>
      <c r="M231" s="31">
        <f>ROUND((L231/$E$1),0)</f>
        <v>78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9</v>
      </c>
      <c r="H232" s="42">
        <v>16</v>
      </c>
      <c r="I232" s="42">
        <v>9</v>
      </c>
      <c r="J232" s="42">
        <v>9</v>
      </c>
      <c r="K232" s="42"/>
      <c r="L232" s="35">
        <f>SUM(G232:K232)</f>
        <v>43</v>
      </c>
      <c r="M232" s="35">
        <f t="shared" ref="M232:M240" si="60">ROUND((L232/$E$1),0)</f>
        <v>11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13</v>
      </c>
      <c r="H233" s="42">
        <v>26</v>
      </c>
      <c r="I233" s="42">
        <v>22</v>
      </c>
      <c r="J233" s="42">
        <v>14</v>
      </c>
      <c r="K233" s="42"/>
      <c r="L233" s="35">
        <f t="shared" ref="L233:L240" si="61">SUM(G233:K233)</f>
        <v>75</v>
      </c>
      <c r="M233" s="35">
        <f t="shared" si="60"/>
        <v>19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5</v>
      </c>
      <c r="H234" s="42">
        <v>30</v>
      </c>
      <c r="I234" s="42">
        <v>18</v>
      </c>
      <c r="J234" s="42">
        <v>17</v>
      </c>
      <c r="K234" s="42"/>
      <c r="L234" s="35">
        <f t="shared" si="61"/>
        <v>70</v>
      </c>
      <c r="M234" s="35">
        <f t="shared" si="60"/>
        <v>18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26</v>
      </c>
      <c r="H235" s="43">
        <v>46</v>
      </c>
      <c r="I235" s="43">
        <v>27</v>
      </c>
      <c r="J235" s="43">
        <v>25</v>
      </c>
      <c r="K235" s="43"/>
      <c r="L235" s="31">
        <f t="shared" si="61"/>
        <v>124</v>
      </c>
      <c r="M235" s="31">
        <f t="shared" si="60"/>
        <v>31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>
        <v>15</v>
      </c>
      <c r="I236" s="42">
        <v>7</v>
      </c>
      <c r="J236" s="42">
        <v>4</v>
      </c>
      <c r="K236" s="42"/>
      <c r="L236" s="35">
        <f t="shared" si="61"/>
        <v>26</v>
      </c>
      <c r="M236" s="35">
        <f t="shared" si="60"/>
        <v>7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>
        <v>3</v>
      </c>
      <c r="H238" s="42"/>
      <c r="I238" s="42">
        <v>2</v>
      </c>
      <c r="J238" s="42">
        <v>2</v>
      </c>
      <c r="K238" s="42"/>
      <c r="L238" s="35">
        <f t="shared" si="61"/>
        <v>7</v>
      </c>
      <c r="M238" s="35">
        <f t="shared" si="60"/>
        <v>2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>
        <v>320</v>
      </c>
      <c r="J239" s="42"/>
      <c r="K239" s="42"/>
      <c r="L239" s="35">
        <f t="shared" si="61"/>
        <v>320</v>
      </c>
      <c r="M239" s="35">
        <f t="shared" si="60"/>
        <v>80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 t="str">
        <f>+$G$3</f>
        <v>Year</v>
      </c>
      <c r="H243" s="10" t="str">
        <f>+G243</f>
        <v>Year</v>
      </c>
      <c r="I243" s="10" t="str">
        <f t="shared" ref="I243:M244" si="62">+H243</f>
        <v>Year</v>
      </c>
      <c r="J243" s="10" t="str">
        <f t="shared" si="62"/>
        <v>Year</v>
      </c>
      <c r="K243" s="10" t="str">
        <f t="shared" si="62"/>
        <v>Year</v>
      </c>
      <c r="L243" s="10" t="str">
        <f t="shared" si="62"/>
        <v>Year</v>
      </c>
      <c r="M243" s="10" t="str">
        <f t="shared" si="62"/>
        <v>Year</v>
      </c>
      <c r="N243" s="11"/>
      <c r="O243" s="44"/>
      <c r="P243" s="44"/>
      <c r="Q243" s="44"/>
      <c r="S243" s="12" t="str">
        <f>+C243</f>
        <v>Esigcaweni</v>
      </c>
      <c r="T243" s="13">
        <f>+L247</f>
        <v>512</v>
      </c>
      <c r="U243" s="13">
        <f>+L248+L249</f>
        <v>56</v>
      </c>
      <c r="V243" s="13">
        <f>+L250+L251</f>
        <v>456</v>
      </c>
      <c r="W243" s="13">
        <f>+L254</f>
        <v>39</v>
      </c>
      <c r="X243" s="13">
        <f>+L252</f>
        <v>0</v>
      </c>
    </row>
    <row r="244" spans="1:24" x14ac:dyDescent="0.25">
      <c r="A244" s="14"/>
      <c r="B244" s="15"/>
      <c r="C244" s="41" t="str">
        <f>+$C228</f>
        <v>January 2025</v>
      </c>
      <c r="D244" s="18"/>
      <c r="E244" s="18"/>
      <c r="F244" s="18"/>
      <c r="G244" s="20" t="str">
        <f>+$G$4</f>
        <v>Mnt</v>
      </c>
      <c r="H244" s="20" t="str">
        <f>+G244</f>
        <v>Mnt</v>
      </c>
      <c r="I244" s="20" t="str">
        <f t="shared" si="62"/>
        <v>Mnt</v>
      </c>
      <c r="J244" s="20" t="str">
        <f t="shared" si="62"/>
        <v>Mnt</v>
      </c>
      <c r="K244" s="20" t="str">
        <f t="shared" si="62"/>
        <v>Mnt</v>
      </c>
      <c r="L244" s="20" t="str">
        <f t="shared" si="62"/>
        <v>Mnt</v>
      </c>
      <c r="M244" s="20" t="str">
        <f t="shared" si="62"/>
        <v>Mnt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5</v>
      </c>
      <c r="H245" s="25">
        <f>+$H$5</f>
        <v>12</v>
      </c>
      <c r="I245" s="25">
        <f>+$I$5</f>
        <v>19</v>
      </c>
      <c r="J245" s="25">
        <f>+$J$5</f>
        <v>26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145</v>
      </c>
      <c r="H247" s="31">
        <f t="shared" ref="H247:L247" si="63">SUM(H248:H251)</f>
        <v>138</v>
      </c>
      <c r="I247" s="31">
        <f t="shared" si="63"/>
        <v>112</v>
      </c>
      <c r="J247" s="31">
        <f t="shared" si="63"/>
        <v>117</v>
      </c>
      <c r="K247" s="31">
        <f t="shared" si="63"/>
        <v>0</v>
      </c>
      <c r="L247" s="31">
        <f t="shared" si="63"/>
        <v>512</v>
      </c>
      <c r="M247" s="31">
        <f>ROUND((L247/$E$1),0)</f>
        <v>128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>
        <v>4</v>
      </c>
      <c r="H248" s="42">
        <v>5</v>
      </c>
      <c r="I248" s="42">
        <v>4</v>
      </c>
      <c r="J248" s="42">
        <v>4</v>
      </c>
      <c r="K248" s="42"/>
      <c r="L248" s="35">
        <f>SUM(G248:K248)</f>
        <v>17</v>
      </c>
      <c r="M248" s="35">
        <f t="shared" ref="M248:M256" si="64">ROUND((L248/$E$1),0)</f>
        <v>4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>
        <v>10</v>
      </c>
      <c r="H249" s="42">
        <v>8</v>
      </c>
      <c r="I249" s="42">
        <v>10</v>
      </c>
      <c r="J249" s="42">
        <v>11</v>
      </c>
      <c r="K249" s="42"/>
      <c r="L249" s="35">
        <f t="shared" ref="L249:L256" si="65">SUM(G249:K249)</f>
        <v>39</v>
      </c>
      <c r="M249" s="35">
        <f t="shared" si="64"/>
        <v>10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>
        <v>42</v>
      </c>
      <c r="H250" s="42">
        <v>46</v>
      </c>
      <c r="I250" s="42">
        <v>33</v>
      </c>
      <c r="J250" s="42">
        <v>39</v>
      </c>
      <c r="K250" s="42"/>
      <c r="L250" s="35">
        <f t="shared" si="65"/>
        <v>160</v>
      </c>
      <c r="M250" s="35">
        <f t="shared" si="64"/>
        <v>40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>
        <v>89</v>
      </c>
      <c r="H251" s="43">
        <v>79</v>
      </c>
      <c r="I251" s="43">
        <v>65</v>
      </c>
      <c r="J251" s="43">
        <v>63</v>
      </c>
      <c r="K251" s="43"/>
      <c r="L251" s="31">
        <f t="shared" si="65"/>
        <v>296</v>
      </c>
      <c r="M251" s="31">
        <f t="shared" si="64"/>
        <v>74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>
        <v>9</v>
      </c>
      <c r="H254" s="42">
        <v>12</v>
      </c>
      <c r="I254" s="42">
        <v>9</v>
      </c>
      <c r="J254" s="42">
        <v>9</v>
      </c>
      <c r="K254" s="42"/>
      <c r="L254" s="35">
        <f t="shared" si="65"/>
        <v>39</v>
      </c>
      <c r="M254" s="35">
        <f t="shared" si="64"/>
        <v>10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 t="str">
        <f>+$G$3</f>
        <v>Year</v>
      </c>
      <c r="H259" s="10" t="str">
        <f>+G259</f>
        <v>Year</v>
      </c>
      <c r="I259" s="10" t="str">
        <f t="shared" ref="I259:M260" si="66">+H259</f>
        <v>Year</v>
      </c>
      <c r="J259" s="10" t="str">
        <f t="shared" si="66"/>
        <v>Year</v>
      </c>
      <c r="K259" s="10" t="str">
        <f t="shared" si="66"/>
        <v>Year</v>
      </c>
      <c r="L259" s="10" t="str">
        <f t="shared" si="66"/>
        <v>Year</v>
      </c>
      <c r="M259" s="10" t="str">
        <f t="shared" si="66"/>
        <v>Year</v>
      </c>
      <c r="N259" s="11"/>
      <c r="S259" s="12" t="str">
        <f>+C259</f>
        <v>Lonhlalane</v>
      </c>
      <c r="T259" s="13">
        <f>+L263</f>
        <v>153</v>
      </c>
      <c r="U259" s="13">
        <f>+L264+L265</f>
        <v>21</v>
      </c>
      <c r="V259" s="13">
        <f>+L266+L267</f>
        <v>132</v>
      </c>
      <c r="W259" s="13">
        <f>+L270</f>
        <v>1</v>
      </c>
      <c r="X259" s="13">
        <f>+L268</f>
        <v>0</v>
      </c>
    </row>
    <row r="260" spans="1:24" x14ac:dyDescent="0.25">
      <c r="A260" s="14"/>
      <c r="B260" s="15"/>
      <c r="C260" s="41" t="str">
        <f>+$C244</f>
        <v>January 2025</v>
      </c>
      <c r="D260" s="18"/>
      <c r="E260" s="18"/>
      <c r="F260" s="18"/>
      <c r="G260" s="20" t="str">
        <f>+$G$4</f>
        <v>Mnt</v>
      </c>
      <c r="H260" s="20" t="str">
        <f>+G260</f>
        <v>Mnt</v>
      </c>
      <c r="I260" s="20" t="str">
        <f t="shared" si="66"/>
        <v>Mnt</v>
      </c>
      <c r="J260" s="20" t="str">
        <f t="shared" si="66"/>
        <v>Mnt</v>
      </c>
      <c r="K260" s="20" t="str">
        <f t="shared" si="66"/>
        <v>Mnt</v>
      </c>
      <c r="L260" s="20" t="str">
        <f t="shared" si="66"/>
        <v>Mnt</v>
      </c>
      <c r="M260" s="20" t="str">
        <f t="shared" si="66"/>
        <v>Mnt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5</v>
      </c>
      <c r="H261" s="25">
        <f>+$H$5</f>
        <v>12</v>
      </c>
      <c r="I261" s="25">
        <f>+$I$5</f>
        <v>19</v>
      </c>
      <c r="J261" s="25">
        <f>+$J$5</f>
        <v>26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17</v>
      </c>
      <c r="H263" s="31">
        <f t="shared" ref="H263:L263" si="67">SUM(H264:H267)</f>
        <v>49</v>
      </c>
      <c r="I263" s="31">
        <f t="shared" si="67"/>
        <v>48</v>
      </c>
      <c r="J263" s="31">
        <f t="shared" si="67"/>
        <v>39</v>
      </c>
      <c r="K263" s="31">
        <f t="shared" si="67"/>
        <v>0</v>
      </c>
      <c r="L263" s="31">
        <f t="shared" si="67"/>
        <v>153</v>
      </c>
      <c r="M263" s="31">
        <f>ROUND((L263/$E$1),0)</f>
        <v>38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1</v>
      </c>
      <c r="H264" s="42">
        <v>1</v>
      </c>
      <c r="I264" s="42">
        <v>2</v>
      </c>
      <c r="J264" s="42">
        <v>1</v>
      </c>
      <c r="K264" s="42"/>
      <c r="L264" s="35">
        <f>SUM(G264:K264)</f>
        <v>5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1</v>
      </c>
      <c r="H265" s="42">
        <v>4</v>
      </c>
      <c r="I265" s="42">
        <v>6</v>
      </c>
      <c r="J265" s="42">
        <v>5</v>
      </c>
      <c r="K265" s="42"/>
      <c r="L265" s="35">
        <f t="shared" ref="L265:L272" si="69">SUM(G265:K265)</f>
        <v>16</v>
      </c>
      <c r="M265" s="35">
        <f t="shared" si="68"/>
        <v>4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4</v>
      </c>
      <c r="H266" s="42">
        <v>7</v>
      </c>
      <c r="I266" s="42">
        <v>5</v>
      </c>
      <c r="J266" s="42">
        <v>7</v>
      </c>
      <c r="K266" s="42"/>
      <c r="L266" s="35">
        <f t="shared" si="69"/>
        <v>23</v>
      </c>
      <c r="M266" s="35">
        <f t="shared" si="68"/>
        <v>6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11</v>
      </c>
      <c r="H267" s="43">
        <v>37</v>
      </c>
      <c r="I267" s="43">
        <v>35</v>
      </c>
      <c r="J267" s="43">
        <v>26</v>
      </c>
      <c r="K267" s="43"/>
      <c r="L267" s="31">
        <f t="shared" si="69"/>
        <v>109</v>
      </c>
      <c r="M267" s="31">
        <f t="shared" si="68"/>
        <v>27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>
        <v>1</v>
      </c>
      <c r="J270" s="42"/>
      <c r="K270" s="42"/>
      <c r="L270" s="35">
        <f t="shared" si="69"/>
        <v>1</v>
      </c>
      <c r="M270" s="35">
        <f t="shared" si="68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>
        <v>64</v>
      </c>
      <c r="H271" s="42">
        <v>32</v>
      </c>
      <c r="I271" s="42">
        <v>64</v>
      </c>
      <c r="J271" s="42">
        <v>128</v>
      </c>
      <c r="K271" s="42"/>
      <c r="L271" s="35">
        <f t="shared" si="69"/>
        <v>288</v>
      </c>
      <c r="M271" s="35">
        <f t="shared" si="68"/>
        <v>72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 t="str">
        <f>+$G$3</f>
        <v>Year</v>
      </c>
      <c r="H275" s="10" t="str">
        <f>+G275</f>
        <v>Year</v>
      </c>
      <c r="I275" s="10" t="str">
        <f t="shared" ref="I275:M276" si="70">+H275</f>
        <v>Year</v>
      </c>
      <c r="J275" s="10" t="str">
        <f t="shared" si="70"/>
        <v>Year</v>
      </c>
      <c r="K275" s="10" t="str">
        <f t="shared" si="70"/>
        <v>Year</v>
      </c>
      <c r="L275" s="10" t="str">
        <f t="shared" si="70"/>
        <v>Year</v>
      </c>
      <c r="M275" s="10" t="str">
        <f t="shared" si="70"/>
        <v>Year</v>
      </c>
      <c r="N275" s="11"/>
      <c r="S275" s="12" t="str">
        <f>+C275</f>
        <v>Zondwako</v>
      </c>
      <c r="T275" s="13">
        <f>+L279</f>
        <v>218</v>
      </c>
      <c r="U275" s="13">
        <f>+L280+L281</f>
        <v>29</v>
      </c>
      <c r="V275" s="13">
        <f>+L282+L283</f>
        <v>189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January 2025</v>
      </c>
      <c r="D276" s="18"/>
      <c r="E276" s="18"/>
      <c r="F276" s="18"/>
      <c r="G276" s="20" t="str">
        <f>+$G$4</f>
        <v>Mnt</v>
      </c>
      <c r="H276" s="20" t="str">
        <f>+G276</f>
        <v>Mnt</v>
      </c>
      <c r="I276" s="20" t="str">
        <f t="shared" si="70"/>
        <v>Mnt</v>
      </c>
      <c r="J276" s="20" t="str">
        <f t="shared" si="70"/>
        <v>Mnt</v>
      </c>
      <c r="K276" s="20" t="str">
        <f t="shared" si="70"/>
        <v>Mnt</v>
      </c>
      <c r="L276" s="20" t="str">
        <f t="shared" si="70"/>
        <v>Mnt</v>
      </c>
      <c r="M276" s="20" t="str">
        <f t="shared" si="70"/>
        <v>Mnt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5</v>
      </c>
      <c r="H277" s="25">
        <f>+$H$5</f>
        <v>12</v>
      </c>
      <c r="I277" s="25">
        <f>+$I$5</f>
        <v>19</v>
      </c>
      <c r="J277" s="25">
        <f>+$J$5</f>
        <v>26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57</v>
      </c>
      <c r="H279" s="31">
        <f t="shared" ref="H279:L279" si="71">SUM(H280:H283)</f>
        <v>44</v>
      </c>
      <c r="I279" s="31">
        <f t="shared" si="71"/>
        <v>60</v>
      </c>
      <c r="J279" s="31">
        <f t="shared" si="71"/>
        <v>57</v>
      </c>
      <c r="K279" s="31">
        <f t="shared" si="71"/>
        <v>0</v>
      </c>
      <c r="L279" s="31">
        <f t="shared" si="71"/>
        <v>218</v>
      </c>
      <c r="M279" s="31">
        <f>ROUND((L279/$E$1),0)</f>
        <v>55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3</v>
      </c>
      <c r="H280" s="42">
        <v>2</v>
      </c>
      <c r="I280" s="42">
        <v>3</v>
      </c>
      <c r="J280" s="42">
        <v>3</v>
      </c>
      <c r="K280" s="42"/>
      <c r="L280" s="35">
        <f>SUM(G280:K280)</f>
        <v>11</v>
      </c>
      <c r="M280" s="35">
        <f t="shared" ref="M280:M288" si="72">ROUND((L280/$E$1),0)</f>
        <v>3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7</v>
      </c>
      <c r="H281" s="42">
        <v>3</v>
      </c>
      <c r="I281" s="42">
        <v>6</v>
      </c>
      <c r="J281" s="42">
        <v>2</v>
      </c>
      <c r="K281" s="42"/>
      <c r="L281" s="35">
        <f t="shared" ref="L281:L288" si="73">SUM(G281:K281)</f>
        <v>18</v>
      </c>
      <c r="M281" s="35">
        <f t="shared" si="72"/>
        <v>5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13</v>
      </c>
      <c r="H282" s="42">
        <v>11</v>
      </c>
      <c r="I282" s="42">
        <v>17</v>
      </c>
      <c r="J282" s="42">
        <v>23</v>
      </c>
      <c r="K282" s="42"/>
      <c r="L282" s="35">
        <f t="shared" si="73"/>
        <v>64</v>
      </c>
      <c r="M282" s="35">
        <f t="shared" si="72"/>
        <v>16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34</v>
      </c>
      <c r="H283" s="43">
        <v>28</v>
      </c>
      <c r="I283" s="43">
        <v>34</v>
      </c>
      <c r="J283" s="43">
        <v>29</v>
      </c>
      <c r="K283" s="43"/>
      <c r="L283" s="31">
        <f t="shared" si="73"/>
        <v>125</v>
      </c>
      <c r="M283" s="31">
        <f t="shared" si="72"/>
        <v>31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 t="str">
        <f>+$G$3</f>
        <v>Year</v>
      </c>
      <c r="H291" s="10" t="str">
        <f>+G291</f>
        <v>Year</v>
      </c>
      <c r="I291" s="10" t="str">
        <f t="shared" ref="I291:M292" si="74">+H291</f>
        <v>Year</v>
      </c>
      <c r="J291" s="10" t="str">
        <f t="shared" si="74"/>
        <v>Year</v>
      </c>
      <c r="K291" s="10" t="str">
        <f t="shared" si="74"/>
        <v>Year</v>
      </c>
      <c r="L291" s="10" t="str">
        <f t="shared" si="74"/>
        <v>Year</v>
      </c>
      <c r="M291" s="10" t="str">
        <f t="shared" si="74"/>
        <v>Year</v>
      </c>
      <c r="N291" s="11"/>
      <c r="S291" s="12" t="str">
        <f>+C291</f>
        <v>Mangcongco</v>
      </c>
      <c r="T291" s="13">
        <f>+L295</f>
        <v>211</v>
      </c>
      <c r="U291" s="13">
        <f>+L296+L297</f>
        <v>27</v>
      </c>
      <c r="V291" s="13">
        <f>+L298+L299</f>
        <v>184</v>
      </c>
      <c r="W291" s="13">
        <f>+L302</f>
        <v>12</v>
      </c>
      <c r="X291" s="13">
        <f>+L300</f>
        <v>0</v>
      </c>
    </row>
    <row r="292" spans="1:24" x14ac:dyDescent="0.25">
      <c r="A292" s="14"/>
      <c r="B292" s="15"/>
      <c r="C292" s="41" t="str">
        <f>+$C276</f>
        <v>January 2025</v>
      </c>
      <c r="D292" s="18"/>
      <c r="E292" s="18"/>
      <c r="F292" s="18"/>
      <c r="G292" s="20" t="str">
        <f>+$G$4</f>
        <v>Mnt</v>
      </c>
      <c r="H292" s="20" t="str">
        <f>+G292</f>
        <v>Mnt</v>
      </c>
      <c r="I292" s="20" t="str">
        <f t="shared" si="74"/>
        <v>Mnt</v>
      </c>
      <c r="J292" s="20" t="str">
        <f t="shared" si="74"/>
        <v>Mnt</v>
      </c>
      <c r="K292" s="20" t="str">
        <f t="shared" si="74"/>
        <v>Mnt</v>
      </c>
      <c r="L292" s="20" t="str">
        <f t="shared" si="74"/>
        <v>Mnt</v>
      </c>
      <c r="M292" s="20" t="str">
        <f t="shared" si="74"/>
        <v>Mnt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5</v>
      </c>
      <c r="H293" s="25">
        <f>+$H$5</f>
        <v>12</v>
      </c>
      <c r="I293" s="25">
        <f>+$I$5</f>
        <v>19</v>
      </c>
      <c r="J293" s="25">
        <f>+$J$5</f>
        <v>26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49</v>
      </c>
      <c r="H295" s="31">
        <f t="shared" ref="H295:L295" si="75">SUM(H296:H299)</f>
        <v>51</v>
      </c>
      <c r="I295" s="31">
        <f t="shared" si="75"/>
        <v>55</v>
      </c>
      <c r="J295" s="31">
        <f t="shared" si="75"/>
        <v>56</v>
      </c>
      <c r="K295" s="31">
        <f t="shared" si="75"/>
        <v>0</v>
      </c>
      <c r="L295" s="31">
        <f t="shared" si="75"/>
        <v>211</v>
      </c>
      <c r="M295" s="31">
        <f>ROUND((L295/$E$1),0)</f>
        <v>53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>
        <v>1</v>
      </c>
      <c r="H296" s="42">
        <v>1</v>
      </c>
      <c r="I296" s="42">
        <v>1</v>
      </c>
      <c r="J296" s="42">
        <v>1</v>
      </c>
      <c r="K296" s="42"/>
      <c r="L296" s="35">
        <f>SUM(G296:K296)</f>
        <v>4</v>
      </c>
      <c r="M296" s="35">
        <f t="shared" ref="M296:M304" si="76">ROUND((L296/$E$1),0)</f>
        <v>1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>
        <v>4</v>
      </c>
      <c r="H297" s="42">
        <v>6</v>
      </c>
      <c r="I297" s="42">
        <v>7</v>
      </c>
      <c r="J297" s="42">
        <v>6</v>
      </c>
      <c r="K297" s="42"/>
      <c r="L297" s="35">
        <f t="shared" ref="L297:L304" si="77">SUM(G297:K297)</f>
        <v>23</v>
      </c>
      <c r="M297" s="35">
        <f t="shared" si="76"/>
        <v>6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>
        <v>18</v>
      </c>
      <c r="H298" s="42">
        <v>17</v>
      </c>
      <c r="I298" s="42">
        <v>20</v>
      </c>
      <c r="J298" s="42">
        <v>17</v>
      </c>
      <c r="K298" s="42"/>
      <c r="L298" s="35">
        <f t="shared" si="77"/>
        <v>72</v>
      </c>
      <c r="M298" s="35">
        <f t="shared" si="76"/>
        <v>18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>
        <v>26</v>
      </c>
      <c r="H299" s="43">
        <v>27</v>
      </c>
      <c r="I299" s="43">
        <v>27</v>
      </c>
      <c r="J299" s="43">
        <v>32</v>
      </c>
      <c r="K299" s="43"/>
      <c r="L299" s="31">
        <f t="shared" si="77"/>
        <v>112</v>
      </c>
      <c r="M299" s="31">
        <f t="shared" si="76"/>
        <v>28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>
        <v>4</v>
      </c>
      <c r="H302" s="42">
        <v>4</v>
      </c>
      <c r="I302" s="42">
        <v>2</v>
      </c>
      <c r="J302" s="42">
        <v>2</v>
      </c>
      <c r="K302" s="42"/>
      <c r="L302" s="35">
        <f t="shared" si="77"/>
        <v>12</v>
      </c>
      <c r="M302" s="35">
        <f t="shared" si="76"/>
        <v>3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 t="str">
        <f>+$G$3</f>
        <v>Year</v>
      </c>
      <c r="H307" s="10" t="str">
        <f>+G307</f>
        <v>Year</v>
      </c>
      <c r="I307" s="10" t="str">
        <f t="shared" ref="I307:M308" si="78">+H307</f>
        <v>Year</v>
      </c>
      <c r="J307" s="10" t="str">
        <f t="shared" si="78"/>
        <v>Year</v>
      </c>
      <c r="K307" s="10" t="str">
        <f t="shared" si="78"/>
        <v>Year</v>
      </c>
      <c r="L307" s="10" t="str">
        <f t="shared" si="78"/>
        <v>Year</v>
      </c>
      <c r="M307" s="10" t="str">
        <f t="shared" si="78"/>
        <v>Year</v>
      </c>
      <c r="N307" s="11"/>
      <c r="S307" s="12" t="str">
        <f>+C307</f>
        <v>Kaliba</v>
      </c>
      <c r="T307" s="13">
        <f>+L311</f>
        <v>295</v>
      </c>
      <c r="U307" s="13">
        <f>+L312+L313</f>
        <v>69</v>
      </c>
      <c r="V307" s="13">
        <f>+L314+L315</f>
        <v>226</v>
      </c>
      <c r="W307" s="13">
        <f>+L318</f>
        <v>0</v>
      </c>
      <c r="X307" s="13">
        <f>+L316</f>
        <v>0</v>
      </c>
    </row>
    <row r="308" spans="1:24" x14ac:dyDescent="0.25">
      <c r="A308" s="14"/>
      <c r="B308" s="15"/>
      <c r="C308" s="41" t="str">
        <f>+$C292</f>
        <v>January 2025</v>
      </c>
      <c r="D308" s="18"/>
      <c r="E308" s="18"/>
      <c r="F308" s="18"/>
      <c r="G308" s="20" t="str">
        <f>+$G$4</f>
        <v>Mnt</v>
      </c>
      <c r="H308" s="20" t="str">
        <f>+G308</f>
        <v>Mnt</v>
      </c>
      <c r="I308" s="20" t="str">
        <f t="shared" si="78"/>
        <v>Mnt</v>
      </c>
      <c r="J308" s="20" t="str">
        <f t="shared" si="78"/>
        <v>Mnt</v>
      </c>
      <c r="K308" s="20" t="str">
        <f t="shared" si="78"/>
        <v>Mnt</v>
      </c>
      <c r="L308" s="20" t="str">
        <f t="shared" si="78"/>
        <v>Mnt</v>
      </c>
      <c r="M308" s="20" t="str">
        <f t="shared" si="78"/>
        <v>Mnt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5</v>
      </c>
      <c r="H309" s="25">
        <f>+$H$5</f>
        <v>12</v>
      </c>
      <c r="I309" s="25">
        <f>+$I$5</f>
        <v>19</v>
      </c>
      <c r="J309" s="25">
        <f>+$J$5</f>
        <v>26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79</v>
      </c>
      <c r="H311" s="31">
        <f t="shared" ref="H311:L311" si="79">SUM(H312:H315)</f>
        <v>42</v>
      </c>
      <c r="I311" s="31">
        <f t="shared" si="79"/>
        <v>90</v>
      </c>
      <c r="J311" s="31">
        <f t="shared" si="79"/>
        <v>84</v>
      </c>
      <c r="K311" s="31">
        <f t="shared" si="79"/>
        <v>0</v>
      </c>
      <c r="L311" s="31">
        <f t="shared" si="79"/>
        <v>295</v>
      </c>
      <c r="M311" s="31">
        <f>ROUND((L311/$E$1),0)</f>
        <v>74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4</v>
      </c>
      <c r="H312" s="42">
        <v>4</v>
      </c>
      <c r="I312" s="42">
        <v>5</v>
      </c>
      <c r="J312" s="42">
        <v>6</v>
      </c>
      <c r="K312" s="42"/>
      <c r="L312" s="35">
        <f>SUM(G312:K312)</f>
        <v>19</v>
      </c>
      <c r="M312" s="35">
        <f t="shared" ref="M312:M320" si="80">ROUND((L312/$E$1),0)</f>
        <v>5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12</v>
      </c>
      <c r="H313" s="42">
        <v>7</v>
      </c>
      <c r="I313" s="42">
        <v>14</v>
      </c>
      <c r="J313" s="42">
        <v>17</v>
      </c>
      <c r="K313" s="42"/>
      <c r="L313" s="35">
        <f t="shared" ref="L313:L320" si="81">SUM(G313:K313)</f>
        <v>50</v>
      </c>
      <c r="M313" s="35">
        <f t="shared" si="80"/>
        <v>13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26</v>
      </c>
      <c r="H314" s="42">
        <v>13</v>
      </c>
      <c r="I314" s="42">
        <v>24</v>
      </c>
      <c r="J314" s="42">
        <v>24</v>
      </c>
      <c r="K314" s="42"/>
      <c r="L314" s="35">
        <f t="shared" si="81"/>
        <v>87</v>
      </c>
      <c r="M314" s="35">
        <f t="shared" si="80"/>
        <v>22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37</v>
      </c>
      <c r="H315" s="43">
        <v>18</v>
      </c>
      <c r="I315" s="43">
        <v>47</v>
      </c>
      <c r="J315" s="43">
        <v>37</v>
      </c>
      <c r="K315" s="43"/>
      <c r="L315" s="31">
        <f t="shared" si="81"/>
        <v>139</v>
      </c>
      <c r="M315" s="31">
        <f t="shared" si="80"/>
        <v>35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/>
      <c r="I316" s="42"/>
      <c r="J316" s="42"/>
      <c r="K316" s="42"/>
      <c r="L316" s="35">
        <f t="shared" si="81"/>
        <v>0</v>
      </c>
      <c r="M316" s="35">
        <f t="shared" si="80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/>
      <c r="I318" s="42"/>
      <c r="J318" s="42"/>
      <c r="K318" s="42"/>
      <c r="L318" s="35">
        <f t="shared" si="81"/>
        <v>0</v>
      </c>
      <c r="M318" s="35">
        <f t="shared" si="80"/>
        <v>0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>
        <v>204</v>
      </c>
      <c r="H319" s="42">
        <v>106</v>
      </c>
      <c r="I319" s="42">
        <v>124</v>
      </c>
      <c r="J319" s="42">
        <v>146</v>
      </c>
      <c r="K319" s="42"/>
      <c r="L319" s="35">
        <f t="shared" si="81"/>
        <v>580</v>
      </c>
      <c r="M319" s="35">
        <f t="shared" si="80"/>
        <v>145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 t="str">
        <f>+$G$3</f>
        <v>Year</v>
      </c>
      <c r="H323" s="10" t="str">
        <f>+G323</f>
        <v>Year</v>
      </c>
      <c r="I323" s="10" t="str">
        <f t="shared" ref="I323:M324" si="82">+H323</f>
        <v>Year</v>
      </c>
      <c r="J323" s="10" t="str">
        <f t="shared" si="82"/>
        <v>Year</v>
      </c>
      <c r="K323" s="10" t="str">
        <f t="shared" si="82"/>
        <v>Year</v>
      </c>
      <c r="L323" s="10" t="str">
        <f t="shared" si="82"/>
        <v>Year</v>
      </c>
      <c r="M323" s="10" t="str">
        <f t="shared" si="82"/>
        <v>Year</v>
      </c>
      <c r="N323" s="11"/>
      <c r="S323" s="12" t="str">
        <f>+C323</f>
        <v>Kancesi</v>
      </c>
      <c r="T323" s="13">
        <f>+L327</f>
        <v>307</v>
      </c>
      <c r="U323" s="13">
        <f>+L328+L329</f>
        <v>88</v>
      </c>
      <c r="V323" s="13">
        <f>+L330+L331</f>
        <v>219</v>
      </c>
      <c r="W323" s="13">
        <f>+L334</f>
        <v>39</v>
      </c>
      <c r="X323" s="13">
        <f>+L332</f>
        <v>11</v>
      </c>
    </row>
    <row r="324" spans="1:24" x14ac:dyDescent="0.25">
      <c r="A324" s="14"/>
      <c r="B324" s="15"/>
      <c r="C324" s="41" t="str">
        <f>+$C308</f>
        <v>January 2025</v>
      </c>
      <c r="D324" s="18"/>
      <c r="E324" s="18"/>
      <c r="F324" s="18"/>
      <c r="G324" s="20" t="str">
        <f>+$G$4</f>
        <v>Mnt</v>
      </c>
      <c r="H324" s="20" t="str">
        <f>+G324</f>
        <v>Mnt</v>
      </c>
      <c r="I324" s="20" t="str">
        <f t="shared" si="82"/>
        <v>Mnt</v>
      </c>
      <c r="J324" s="20" t="str">
        <f t="shared" si="82"/>
        <v>Mnt</v>
      </c>
      <c r="K324" s="20" t="str">
        <f t="shared" si="82"/>
        <v>Mnt</v>
      </c>
      <c r="L324" s="20" t="str">
        <f t="shared" si="82"/>
        <v>Mnt</v>
      </c>
      <c r="M324" s="20" t="str">
        <f t="shared" si="82"/>
        <v>Mnt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5</v>
      </c>
      <c r="H325" s="25">
        <f>+$H$5</f>
        <v>12</v>
      </c>
      <c r="I325" s="25">
        <f>+$I$5</f>
        <v>19</v>
      </c>
      <c r="J325" s="25">
        <f>+$J$5</f>
        <v>26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59</v>
      </c>
      <c r="H327" s="31">
        <f t="shared" ref="H327:L327" si="83">SUM(H328:H331)</f>
        <v>76</v>
      </c>
      <c r="I327" s="31">
        <f t="shared" si="83"/>
        <v>81</v>
      </c>
      <c r="J327" s="31">
        <f t="shared" si="83"/>
        <v>91</v>
      </c>
      <c r="K327" s="31">
        <f t="shared" si="83"/>
        <v>0</v>
      </c>
      <c r="L327" s="31">
        <f t="shared" si="83"/>
        <v>307</v>
      </c>
      <c r="M327" s="31">
        <f>ROUND((L327/$E$1),0)</f>
        <v>77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7</v>
      </c>
      <c r="H328" s="42">
        <v>6</v>
      </c>
      <c r="I328" s="42">
        <v>6</v>
      </c>
      <c r="J328" s="42">
        <v>6</v>
      </c>
      <c r="K328" s="42"/>
      <c r="L328" s="35">
        <f>SUM(G328:K328)</f>
        <v>25</v>
      </c>
      <c r="M328" s="35">
        <f t="shared" ref="M328:M336" si="84">ROUND((L328/$E$1),0)</f>
        <v>6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15</v>
      </c>
      <c r="H329" s="42">
        <v>16</v>
      </c>
      <c r="I329" s="42">
        <v>16</v>
      </c>
      <c r="J329" s="42">
        <v>16</v>
      </c>
      <c r="K329" s="42"/>
      <c r="L329" s="35">
        <f t="shared" ref="L329:L336" si="85">SUM(G329:K329)</f>
        <v>63</v>
      </c>
      <c r="M329" s="35">
        <f t="shared" si="84"/>
        <v>16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12</v>
      </c>
      <c r="H330" s="42">
        <v>12</v>
      </c>
      <c r="I330" s="42">
        <v>14</v>
      </c>
      <c r="J330" s="42">
        <v>20</v>
      </c>
      <c r="K330" s="42"/>
      <c r="L330" s="35">
        <f t="shared" si="85"/>
        <v>58</v>
      </c>
      <c r="M330" s="35">
        <f t="shared" si="84"/>
        <v>15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25</v>
      </c>
      <c r="H331" s="43">
        <v>42</v>
      </c>
      <c r="I331" s="43">
        <v>45</v>
      </c>
      <c r="J331" s="43">
        <v>49</v>
      </c>
      <c r="K331" s="43"/>
      <c r="L331" s="31">
        <f t="shared" si="85"/>
        <v>161</v>
      </c>
      <c r="M331" s="31">
        <f t="shared" si="84"/>
        <v>40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/>
      <c r="H332" s="42">
        <v>3</v>
      </c>
      <c r="I332" s="42">
        <v>2</v>
      </c>
      <c r="J332" s="42">
        <v>6</v>
      </c>
      <c r="K332" s="42"/>
      <c r="L332" s="35">
        <f t="shared" si="85"/>
        <v>11</v>
      </c>
      <c r="M332" s="35">
        <f t="shared" si="84"/>
        <v>3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>
        <v>4</v>
      </c>
      <c r="H334" s="42">
        <v>11</v>
      </c>
      <c r="I334" s="42">
        <v>12</v>
      </c>
      <c r="J334" s="42">
        <v>12</v>
      </c>
      <c r="K334" s="42"/>
      <c r="L334" s="35">
        <f t="shared" si="85"/>
        <v>39</v>
      </c>
      <c r="M334" s="35">
        <f t="shared" si="84"/>
        <v>10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>
        <v>160</v>
      </c>
      <c r="H335" s="42">
        <v>64</v>
      </c>
      <c r="I335" s="42">
        <v>160</v>
      </c>
      <c r="J335" s="42"/>
      <c r="K335" s="42"/>
      <c r="L335" s="35">
        <f t="shared" si="85"/>
        <v>384</v>
      </c>
      <c r="M335" s="35">
        <f t="shared" si="84"/>
        <v>96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 t="str">
        <f>+$G$3</f>
        <v>Year</v>
      </c>
      <c r="H339" s="10" t="str">
        <f>+G339</f>
        <v>Year</v>
      </c>
      <c r="I339" s="10" t="str">
        <f t="shared" ref="I339:M340" si="86">+H339</f>
        <v>Year</v>
      </c>
      <c r="J339" s="10" t="str">
        <f t="shared" si="86"/>
        <v>Year</v>
      </c>
      <c r="K339" s="10" t="str">
        <f t="shared" si="86"/>
        <v>Year</v>
      </c>
      <c r="L339" s="10" t="str">
        <f t="shared" si="86"/>
        <v>Year</v>
      </c>
      <c r="M339" s="10" t="str">
        <f t="shared" si="86"/>
        <v>Year</v>
      </c>
      <c r="N339" s="11"/>
      <c r="S339" s="12" t="str">
        <f>+C339</f>
        <v>Mpuluzi</v>
      </c>
      <c r="T339" s="13">
        <f>+L343</f>
        <v>575</v>
      </c>
      <c r="U339" s="13">
        <f>+L344+L345</f>
        <v>240</v>
      </c>
      <c r="V339" s="13">
        <f>+L346+L347</f>
        <v>335</v>
      </c>
      <c r="W339" s="13">
        <f>+L350</f>
        <v>23</v>
      </c>
      <c r="X339" s="13">
        <f>+L348</f>
        <v>17</v>
      </c>
    </row>
    <row r="340" spans="1:24" x14ac:dyDescent="0.25">
      <c r="A340" s="14"/>
      <c r="B340" s="15"/>
      <c r="C340" s="41" t="str">
        <f>+$C324</f>
        <v>January 2025</v>
      </c>
      <c r="D340" s="18"/>
      <c r="E340" s="18"/>
      <c r="F340" s="18"/>
      <c r="G340" s="20" t="str">
        <f>+$G$4</f>
        <v>Mnt</v>
      </c>
      <c r="H340" s="20" t="str">
        <f>+G340</f>
        <v>Mnt</v>
      </c>
      <c r="I340" s="20" t="str">
        <f t="shared" si="86"/>
        <v>Mnt</v>
      </c>
      <c r="J340" s="20" t="str">
        <f t="shared" si="86"/>
        <v>Mnt</v>
      </c>
      <c r="K340" s="20" t="str">
        <f t="shared" si="86"/>
        <v>Mnt</v>
      </c>
      <c r="L340" s="20" t="str">
        <f t="shared" si="86"/>
        <v>Mnt</v>
      </c>
      <c r="M340" s="20" t="str">
        <f t="shared" si="86"/>
        <v>Mnt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5</v>
      </c>
      <c r="H341" s="25">
        <f>+$H$5</f>
        <v>12</v>
      </c>
      <c r="I341" s="25">
        <f>+$I$5</f>
        <v>19</v>
      </c>
      <c r="J341" s="25">
        <f>+$J$5</f>
        <v>26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143</v>
      </c>
      <c r="H343" s="31">
        <f t="shared" ref="H343:L343" si="87">SUM(H344:H347)</f>
        <v>134</v>
      </c>
      <c r="I343" s="31">
        <f t="shared" si="87"/>
        <v>141</v>
      </c>
      <c r="J343" s="31">
        <f t="shared" si="87"/>
        <v>157</v>
      </c>
      <c r="K343" s="31">
        <f t="shared" si="87"/>
        <v>0</v>
      </c>
      <c r="L343" s="31">
        <f t="shared" si="87"/>
        <v>575</v>
      </c>
      <c r="M343" s="31">
        <f>ROUND((L343/$E$1),0)</f>
        <v>144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14</v>
      </c>
      <c r="H344" s="42">
        <v>16</v>
      </c>
      <c r="I344" s="42">
        <v>12</v>
      </c>
      <c r="J344" s="42">
        <v>16</v>
      </c>
      <c r="K344" s="42"/>
      <c r="L344" s="35">
        <f>SUM(G344:K344)</f>
        <v>58</v>
      </c>
      <c r="M344" s="35">
        <f t="shared" ref="M344:M352" si="88">ROUND((L344/$E$1),0)</f>
        <v>15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49</v>
      </c>
      <c r="H345" s="42">
        <v>51</v>
      </c>
      <c r="I345" s="42">
        <v>39</v>
      </c>
      <c r="J345" s="42">
        <v>43</v>
      </c>
      <c r="K345" s="42"/>
      <c r="L345" s="35">
        <f t="shared" ref="L345:L352" si="89">SUM(G345:K345)</f>
        <v>182</v>
      </c>
      <c r="M345" s="35">
        <f t="shared" si="88"/>
        <v>46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26</v>
      </c>
      <c r="H346" s="42">
        <v>19</v>
      </c>
      <c r="I346" s="42">
        <v>31</v>
      </c>
      <c r="J346" s="42">
        <v>26</v>
      </c>
      <c r="K346" s="42"/>
      <c r="L346" s="35">
        <f t="shared" si="89"/>
        <v>102</v>
      </c>
      <c r="M346" s="35">
        <f t="shared" si="88"/>
        <v>26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54</v>
      </c>
      <c r="H347" s="43">
        <v>48</v>
      </c>
      <c r="I347" s="43">
        <v>59</v>
      </c>
      <c r="J347" s="43">
        <v>72</v>
      </c>
      <c r="K347" s="43"/>
      <c r="L347" s="31">
        <f t="shared" si="89"/>
        <v>233</v>
      </c>
      <c r="M347" s="31">
        <f t="shared" si="88"/>
        <v>58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/>
      <c r="H348" s="42">
        <v>3</v>
      </c>
      <c r="I348" s="42">
        <v>6</v>
      </c>
      <c r="J348" s="42">
        <v>8</v>
      </c>
      <c r="K348" s="42"/>
      <c r="L348" s="35">
        <f t="shared" si="89"/>
        <v>17</v>
      </c>
      <c r="M348" s="35">
        <f t="shared" si="88"/>
        <v>4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5</v>
      </c>
      <c r="H350" s="42">
        <v>7</v>
      </c>
      <c r="I350" s="42">
        <v>6</v>
      </c>
      <c r="J350" s="42">
        <v>5</v>
      </c>
      <c r="K350" s="42"/>
      <c r="L350" s="35">
        <f t="shared" si="89"/>
        <v>23</v>
      </c>
      <c r="M350" s="35">
        <f t="shared" si="88"/>
        <v>6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>
        <v>128</v>
      </c>
      <c r="H351" s="42">
        <v>64</v>
      </c>
      <c r="I351" s="42">
        <v>32</v>
      </c>
      <c r="J351" s="42">
        <v>32</v>
      </c>
      <c r="K351" s="42"/>
      <c r="L351" s="35">
        <f t="shared" si="89"/>
        <v>256</v>
      </c>
      <c r="M351" s="35">
        <f t="shared" si="88"/>
        <v>64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 t="str">
        <f>+$G$3</f>
        <v>Year</v>
      </c>
      <c r="H355" s="10" t="str">
        <f>+G355</f>
        <v>Year</v>
      </c>
      <c r="I355" s="10" t="str">
        <f t="shared" ref="I355:M356" si="90">+H355</f>
        <v>Year</v>
      </c>
      <c r="J355" s="10" t="str">
        <f t="shared" si="90"/>
        <v>Year</v>
      </c>
      <c r="K355" s="10" t="str">
        <f t="shared" si="90"/>
        <v>Year</v>
      </c>
      <c r="L355" s="10" t="str">
        <f t="shared" si="90"/>
        <v>Year</v>
      </c>
      <c r="M355" s="10" t="str">
        <f t="shared" si="90"/>
        <v>Year</v>
      </c>
      <c r="N355" s="11"/>
      <c r="S355" s="12" t="str">
        <f>+C355</f>
        <v>Bulunga</v>
      </c>
      <c r="T355" s="13">
        <f>+L359</f>
        <v>110</v>
      </c>
      <c r="U355" s="13">
        <f>+L360+L361</f>
        <v>13</v>
      </c>
      <c r="V355" s="13">
        <f>+L362+L363</f>
        <v>97</v>
      </c>
      <c r="W355" s="13">
        <f>+L366</f>
        <v>24</v>
      </c>
      <c r="X355" s="13">
        <f>+L364</f>
        <v>13</v>
      </c>
    </row>
    <row r="356" spans="1:24" x14ac:dyDescent="0.25">
      <c r="A356" s="14"/>
      <c r="B356" s="15"/>
      <c r="C356" s="41" t="str">
        <f>+$C340</f>
        <v>January 2025</v>
      </c>
      <c r="D356" s="18"/>
      <c r="E356" s="18"/>
      <c r="F356" s="18"/>
      <c r="G356" s="20" t="str">
        <f>+$G$4</f>
        <v>Mnt</v>
      </c>
      <c r="H356" s="20" t="str">
        <f>+G356</f>
        <v>Mnt</v>
      </c>
      <c r="I356" s="20" t="str">
        <f t="shared" si="90"/>
        <v>Mnt</v>
      </c>
      <c r="J356" s="20" t="str">
        <f t="shared" si="90"/>
        <v>Mnt</v>
      </c>
      <c r="K356" s="20" t="str">
        <f t="shared" si="90"/>
        <v>Mnt</v>
      </c>
      <c r="L356" s="20" t="str">
        <f t="shared" si="90"/>
        <v>Mnt</v>
      </c>
      <c r="M356" s="20" t="str">
        <f t="shared" si="90"/>
        <v>Mnt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5</v>
      </c>
      <c r="H357" s="25">
        <f>+$H$5</f>
        <v>12</v>
      </c>
      <c r="I357" s="25">
        <f>+$I$5</f>
        <v>19</v>
      </c>
      <c r="J357" s="25">
        <f>+$J$5</f>
        <v>26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26</v>
      </c>
      <c r="H359" s="31">
        <f t="shared" ref="H359:L359" si="91">SUM(H360:H363)</f>
        <v>17</v>
      </c>
      <c r="I359" s="31">
        <f t="shared" si="91"/>
        <v>34</v>
      </c>
      <c r="J359" s="31">
        <f t="shared" si="91"/>
        <v>33</v>
      </c>
      <c r="K359" s="31">
        <f t="shared" si="91"/>
        <v>0</v>
      </c>
      <c r="L359" s="31">
        <f t="shared" si="91"/>
        <v>110</v>
      </c>
      <c r="M359" s="31">
        <f>ROUND((L359/$E$1),0)</f>
        <v>28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1</v>
      </c>
      <c r="H360" s="42">
        <v>1</v>
      </c>
      <c r="I360" s="42">
        <v>2</v>
      </c>
      <c r="J360" s="42">
        <v>2</v>
      </c>
      <c r="K360" s="42"/>
      <c r="L360" s="35">
        <f>SUM(G360:K360)</f>
        <v>6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1</v>
      </c>
      <c r="H361" s="42">
        <v>1</v>
      </c>
      <c r="I361" s="42">
        <v>2</v>
      </c>
      <c r="J361" s="42">
        <v>3</v>
      </c>
      <c r="K361" s="42"/>
      <c r="L361" s="35">
        <f t="shared" ref="L361:L368" si="93">SUM(G361:K361)</f>
        <v>7</v>
      </c>
      <c r="M361" s="35">
        <f t="shared" si="92"/>
        <v>2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8</v>
      </c>
      <c r="H362" s="42">
        <v>9</v>
      </c>
      <c r="I362" s="42">
        <v>11</v>
      </c>
      <c r="J362" s="42">
        <v>16</v>
      </c>
      <c r="K362" s="42"/>
      <c r="L362" s="35">
        <f t="shared" si="93"/>
        <v>44</v>
      </c>
      <c r="M362" s="35">
        <f t="shared" si="92"/>
        <v>11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16</v>
      </c>
      <c r="H363" s="43">
        <v>6</v>
      </c>
      <c r="I363" s="43">
        <v>19</v>
      </c>
      <c r="J363" s="43">
        <v>12</v>
      </c>
      <c r="K363" s="43"/>
      <c r="L363" s="31">
        <f t="shared" si="93"/>
        <v>53</v>
      </c>
      <c r="M363" s="31">
        <f t="shared" si="92"/>
        <v>13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>
        <v>3</v>
      </c>
      <c r="H364" s="42"/>
      <c r="I364" s="42"/>
      <c r="J364" s="42">
        <v>10</v>
      </c>
      <c r="K364" s="42"/>
      <c r="L364" s="35">
        <f t="shared" si="93"/>
        <v>13</v>
      </c>
      <c r="M364" s="35">
        <f t="shared" si="92"/>
        <v>3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4</v>
      </c>
      <c r="H366" s="42">
        <v>4</v>
      </c>
      <c r="I366" s="42">
        <v>10</v>
      </c>
      <c r="J366" s="42">
        <v>6</v>
      </c>
      <c r="K366" s="42"/>
      <c r="L366" s="35">
        <f t="shared" si="93"/>
        <v>24</v>
      </c>
      <c r="M366" s="35">
        <f t="shared" si="92"/>
        <v>6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>
        <v>96</v>
      </c>
      <c r="I367" s="42">
        <v>224</v>
      </c>
      <c r="J367" s="42"/>
      <c r="K367" s="42"/>
      <c r="L367" s="35">
        <f t="shared" si="93"/>
        <v>320</v>
      </c>
      <c r="M367" s="35">
        <f t="shared" si="92"/>
        <v>80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 t="str">
        <f>+$G$3</f>
        <v>Year</v>
      </c>
      <c r="H371" s="10" t="str">
        <f>+G371</f>
        <v>Year</v>
      </c>
      <c r="I371" s="10" t="str">
        <f t="shared" ref="I371:M372" si="94">+H371</f>
        <v>Year</v>
      </c>
      <c r="J371" s="10" t="str">
        <f t="shared" si="94"/>
        <v>Year</v>
      </c>
      <c r="K371" s="10" t="str">
        <f t="shared" si="94"/>
        <v>Year</v>
      </c>
      <c r="L371" s="10" t="str">
        <f t="shared" si="94"/>
        <v>Year</v>
      </c>
      <c r="M371" s="10" t="str">
        <f t="shared" si="94"/>
        <v>Year</v>
      </c>
      <c r="N371" s="11"/>
      <c r="P371" s="44"/>
      <c r="S371" s="12" t="str">
        <f>+C371</f>
        <v>Mbowane</v>
      </c>
      <c r="T371" s="13">
        <f>+L375</f>
        <v>120</v>
      </c>
      <c r="U371" s="13">
        <f>+L376+L377</f>
        <v>24</v>
      </c>
      <c r="V371" s="13">
        <f>+L378+L379</f>
        <v>96</v>
      </c>
      <c r="W371" s="13">
        <f>+L382</f>
        <v>2</v>
      </c>
      <c r="X371" s="13">
        <f>+L380</f>
        <v>7</v>
      </c>
    </row>
    <row r="372" spans="1:24" x14ac:dyDescent="0.25">
      <c r="A372" s="14"/>
      <c r="B372" s="15"/>
      <c r="C372" s="41" t="str">
        <f>+$C356</f>
        <v>January 2025</v>
      </c>
      <c r="D372" s="18"/>
      <c r="E372" s="18"/>
      <c r="F372" s="18"/>
      <c r="G372" s="20" t="str">
        <f>+$G$4</f>
        <v>Mnt</v>
      </c>
      <c r="H372" s="20" t="str">
        <f>+G372</f>
        <v>Mnt</v>
      </c>
      <c r="I372" s="20" t="str">
        <f t="shared" si="94"/>
        <v>Mnt</v>
      </c>
      <c r="J372" s="20" t="str">
        <f t="shared" si="94"/>
        <v>Mnt</v>
      </c>
      <c r="K372" s="20" t="str">
        <f t="shared" si="94"/>
        <v>Mnt</v>
      </c>
      <c r="L372" s="20" t="str">
        <f t="shared" si="94"/>
        <v>Mnt</v>
      </c>
      <c r="M372" s="20" t="str">
        <f t="shared" si="94"/>
        <v>Mnt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5</v>
      </c>
      <c r="H373" s="25">
        <f>+$H$5</f>
        <v>12</v>
      </c>
      <c r="I373" s="25">
        <f>+$I$5</f>
        <v>19</v>
      </c>
      <c r="J373" s="25">
        <f>+$J$5</f>
        <v>26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25</v>
      </c>
      <c r="H375" s="31">
        <f t="shared" ref="H375:L375" si="95">SUM(H376:H379)</f>
        <v>18</v>
      </c>
      <c r="I375" s="31">
        <f t="shared" si="95"/>
        <v>52</v>
      </c>
      <c r="J375" s="31">
        <f t="shared" si="95"/>
        <v>25</v>
      </c>
      <c r="K375" s="31">
        <f t="shared" si="95"/>
        <v>0</v>
      </c>
      <c r="L375" s="31">
        <f t="shared" si="95"/>
        <v>120</v>
      </c>
      <c r="M375" s="31">
        <f>ROUND((L375/$E$1),0)</f>
        <v>30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>
        <v>2</v>
      </c>
      <c r="H376" s="42">
        <v>1</v>
      </c>
      <c r="I376" s="42">
        <v>1</v>
      </c>
      <c r="J376" s="42">
        <v>1</v>
      </c>
      <c r="K376" s="42"/>
      <c r="L376" s="35">
        <f>SUM(G376:K376)</f>
        <v>5</v>
      </c>
      <c r="M376" s="35">
        <f t="shared" ref="M376:M384" si="96">ROUND((L376/$E$1),0)</f>
        <v>1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>
        <v>2</v>
      </c>
      <c r="H377" s="42">
        <v>3</v>
      </c>
      <c r="I377" s="42">
        <v>9</v>
      </c>
      <c r="J377" s="42">
        <v>5</v>
      </c>
      <c r="K377" s="42"/>
      <c r="L377" s="35">
        <f t="shared" ref="L377:L384" si="97">SUM(G377:K377)</f>
        <v>19</v>
      </c>
      <c r="M377" s="35">
        <f t="shared" si="96"/>
        <v>5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>
        <v>12</v>
      </c>
      <c r="H378" s="42">
        <v>7</v>
      </c>
      <c r="I378" s="42">
        <v>15</v>
      </c>
      <c r="J378" s="42">
        <v>9</v>
      </c>
      <c r="K378" s="42"/>
      <c r="L378" s="35">
        <f t="shared" si="97"/>
        <v>43</v>
      </c>
      <c r="M378" s="35">
        <f t="shared" si="96"/>
        <v>11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>
        <v>9</v>
      </c>
      <c r="H379" s="43">
        <v>7</v>
      </c>
      <c r="I379" s="43">
        <v>27</v>
      </c>
      <c r="J379" s="43">
        <v>10</v>
      </c>
      <c r="K379" s="43"/>
      <c r="L379" s="31">
        <f t="shared" si="97"/>
        <v>53</v>
      </c>
      <c r="M379" s="31">
        <f t="shared" si="96"/>
        <v>13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>
        <v>4</v>
      </c>
      <c r="I380" s="42">
        <v>3</v>
      </c>
      <c r="J380" s="42"/>
      <c r="K380" s="42"/>
      <c r="L380" s="35">
        <f t="shared" si="97"/>
        <v>7</v>
      </c>
      <c r="M380" s="35">
        <f t="shared" si="96"/>
        <v>2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/>
      <c r="H382" s="42">
        <v>1</v>
      </c>
      <c r="I382" s="42"/>
      <c r="J382" s="42">
        <v>1</v>
      </c>
      <c r="K382" s="42"/>
      <c r="L382" s="35">
        <f t="shared" si="97"/>
        <v>2</v>
      </c>
      <c r="M382" s="35">
        <f t="shared" si="96"/>
        <v>1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/>
      <c r="H383" s="42"/>
      <c r="I383" s="42"/>
      <c r="J383" s="42"/>
      <c r="K383" s="42"/>
      <c r="L383" s="35">
        <f t="shared" si="97"/>
        <v>0</v>
      </c>
      <c r="M383" s="35">
        <f t="shared" si="96"/>
        <v>0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 t="str">
        <f>+$G$3</f>
        <v>Year</v>
      </c>
      <c r="H387" s="10" t="str">
        <f>+G387</f>
        <v>Year</v>
      </c>
      <c r="I387" s="10" t="str">
        <f t="shared" ref="I387:M388" si="98">+H387</f>
        <v>Year</v>
      </c>
      <c r="J387" s="10" t="str">
        <f t="shared" si="98"/>
        <v>Year</v>
      </c>
      <c r="K387" s="10" t="str">
        <f t="shared" si="98"/>
        <v>Year</v>
      </c>
      <c r="L387" s="10" t="str">
        <f t="shared" si="98"/>
        <v>Year</v>
      </c>
      <c r="M387" s="10" t="str">
        <f t="shared" si="98"/>
        <v>Year</v>
      </c>
      <c r="N387" s="11"/>
      <c r="P387" s="44"/>
      <c r="S387" s="12" t="str">
        <f>+C387</f>
        <v>Sibovini</v>
      </c>
      <c r="T387" s="13">
        <f>+L391</f>
        <v>224</v>
      </c>
      <c r="U387" s="13">
        <f>+L392+L393</f>
        <v>51</v>
      </c>
      <c r="V387" s="13">
        <f>+L394+L395</f>
        <v>173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January 2025</v>
      </c>
      <c r="D388" s="18"/>
      <c r="E388" s="18"/>
      <c r="F388" s="18"/>
      <c r="G388" s="20" t="str">
        <f>+$G$4</f>
        <v>Mnt</v>
      </c>
      <c r="H388" s="20" t="str">
        <f>+G388</f>
        <v>Mnt</v>
      </c>
      <c r="I388" s="20" t="str">
        <f t="shared" si="98"/>
        <v>Mnt</v>
      </c>
      <c r="J388" s="20" t="str">
        <f t="shared" si="98"/>
        <v>Mnt</v>
      </c>
      <c r="K388" s="20" t="str">
        <f t="shared" si="98"/>
        <v>Mnt</v>
      </c>
      <c r="L388" s="20" t="str">
        <f t="shared" si="98"/>
        <v>Mnt</v>
      </c>
      <c r="M388" s="20" t="str">
        <f t="shared" si="98"/>
        <v>Mnt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5</v>
      </c>
      <c r="H389" s="25">
        <f>+$H$5</f>
        <v>12</v>
      </c>
      <c r="I389" s="25">
        <f>+$I$5</f>
        <v>19</v>
      </c>
      <c r="J389" s="25">
        <f>+$J$5</f>
        <v>26</v>
      </c>
      <c r="K389" s="25">
        <f>+$K$5</f>
        <v>0</v>
      </c>
      <c r="L389" s="25" t="s">
        <v>6</v>
      </c>
      <c r="M389" s="25" t="s">
        <v>7</v>
      </c>
      <c r="N389" s="26"/>
      <c r="O389" s="1" t="s">
        <v>101</v>
      </c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45</v>
      </c>
      <c r="H391" s="31">
        <f t="shared" ref="H391:L391" si="99">SUM(H392:H395)</f>
        <v>0</v>
      </c>
      <c r="I391" s="31">
        <f t="shared" si="99"/>
        <v>93</v>
      </c>
      <c r="J391" s="31">
        <f t="shared" si="99"/>
        <v>86</v>
      </c>
      <c r="K391" s="31">
        <f t="shared" si="99"/>
        <v>0</v>
      </c>
      <c r="L391" s="31">
        <f t="shared" si="99"/>
        <v>224</v>
      </c>
      <c r="M391" s="31">
        <f>ROUND((L391/$E$1),0)</f>
        <v>56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4</v>
      </c>
      <c r="H392" s="42"/>
      <c r="I392" s="42">
        <v>6</v>
      </c>
      <c r="J392" s="42">
        <v>3</v>
      </c>
      <c r="K392" s="42"/>
      <c r="L392" s="35">
        <f>SUM(G392:K392)</f>
        <v>13</v>
      </c>
      <c r="M392" s="35">
        <f t="shared" ref="M392:M400" si="100">ROUND((L392/$E$1),0)</f>
        <v>3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9</v>
      </c>
      <c r="H393" s="42"/>
      <c r="I393" s="42">
        <v>13</v>
      </c>
      <c r="J393" s="42">
        <v>16</v>
      </c>
      <c r="K393" s="42"/>
      <c r="L393" s="35">
        <f t="shared" ref="L393:L400" si="101">SUM(G393:K393)</f>
        <v>38</v>
      </c>
      <c r="M393" s="35">
        <f t="shared" si="100"/>
        <v>10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7</v>
      </c>
      <c r="H394" s="42"/>
      <c r="I394" s="42">
        <v>11</v>
      </c>
      <c r="J394" s="42">
        <v>13</v>
      </c>
      <c r="K394" s="42"/>
      <c r="L394" s="35">
        <f t="shared" si="101"/>
        <v>31</v>
      </c>
      <c r="M394" s="35">
        <f t="shared" si="100"/>
        <v>8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25</v>
      </c>
      <c r="H395" s="43"/>
      <c r="I395" s="43">
        <v>63</v>
      </c>
      <c r="J395" s="43">
        <v>54</v>
      </c>
      <c r="K395" s="43"/>
      <c r="L395" s="31">
        <f t="shared" si="101"/>
        <v>142</v>
      </c>
      <c r="M395" s="31">
        <f t="shared" si="100"/>
        <v>36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 t="str">
        <f>+$G$3</f>
        <v>Year</v>
      </c>
      <c r="H403" s="10" t="str">
        <f>+G403</f>
        <v>Year</v>
      </c>
      <c r="I403" s="10" t="str">
        <f t="shared" ref="I403:M404" si="102">+H403</f>
        <v>Year</v>
      </c>
      <c r="J403" s="10" t="str">
        <f t="shared" si="102"/>
        <v>Year</v>
      </c>
      <c r="K403" s="10" t="str">
        <f t="shared" si="102"/>
        <v>Year</v>
      </c>
      <c r="L403" s="10" t="str">
        <f t="shared" si="102"/>
        <v>Year</v>
      </c>
      <c r="M403" s="10" t="str">
        <f t="shared" si="102"/>
        <v>Year</v>
      </c>
      <c r="N403" s="11"/>
      <c r="P403" s="44"/>
      <c r="S403" s="12" t="str">
        <f>+C403</f>
        <v>Nsubani</v>
      </c>
      <c r="T403" s="13">
        <f>+L407</f>
        <v>255</v>
      </c>
      <c r="U403" s="13">
        <f>+L408+L409</f>
        <v>66</v>
      </c>
      <c r="V403" s="13">
        <f>+L410+L411</f>
        <v>189</v>
      </c>
      <c r="W403" s="13">
        <f>+L414</f>
        <v>31</v>
      </c>
      <c r="X403" s="13">
        <f>+L412</f>
        <v>0</v>
      </c>
    </row>
    <row r="404" spans="1:24" x14ac:dyDescent="0.25">
      <c r="A404" s="14"/>
      <c r="B404" s="15"/>
      <c r="C404" s="41" t="str">
        <f>+$C388</f>
        <v>January 2025</v>
      </c>
      <c r="D404" s="18"/>
      <c r="E404" s="18"/>
      <c r="F404" s="18"/>
      <c r="G404" s="20" t="str">
        <f>+$G$4</f>
        <v>Mnt</v>
      </c>
      <c r="H404" s="20" t="str">
        <f>+G404</f>
        <v>Mnt</v>
      </c>
      <c r="I404" s="20" t="str">
        <f t="shared" si="102"/>
        <v>Mnt</v>
      </c>
      <c r="J404" s="20" t="str">
        <f t="shared" si="102"/>
        <v>Mnt</v>
      </c>
      <c r="K404" s="20" t="str">
        <f t="shared" si="102"/>
        <v>Mnt</v>
      </c>
      <c r="L404" s="20" t="str">
        <f t="shared" si="102"/>
        <v>Mnt</v>
      </c>
      <c r="M404" s="20" t="str">
        <f t="shared" si="102"/>
        <v>Mnt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5</v>
      </c>
      <c r="H405" s="25">
        <f>+$H$5</f>
        <v>12</v>
      </c>
      <c r="I405" s="25">
        <f>+$I$5</f>
        <v>19</v>
      </c>
      <c r="J405" s="25">
        <f>+$J$5</f>
        <v>26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69</v>
      </c>
      <c r="H407" s="31">
        <f t="shared" ref="H407:L407" si="103">SUM(H408:H411)</f>
        <v>54</v>
      </c>
      <c r="I407" s="31">
        <f t="shared" si="103"/>
        <v>54</v>
      </c>
      <c r="J407" s="31">
        <f t="shared" si="103"/>
        <v>78</v>
      </c>
      <c r="K407" s="31">
        <f t="shared" si="103"/>
        <v>0</v>
      </c>
      <c r="L407" s="31">
        <f t="shared" si="103"/>
        <v>255</v>
      </c>
      <c r="M407" s="31">
        <f>ROUND((L407/$E$1),0)</f>
        <v>64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7</v>
      </c>
      <c r="H408" s="42">
        <v>4</v>
      </c>
      <c r="I408" s="42">
        <v>3</v>
      </c>
      <c r="J408" s="42">
        <v>4</v>
      </c>
      <c r="K408" s="42"/>
      <c r="L408" s="35">
        <f>SUM(G408:K408)</f>
        <v>18</v>
      </c>
      <c r="M408" s="35">
        <f t="shared" ref="M408:M416" si="104">ROUND((L408/$E$1),0)</f>
        <v>5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11</v>
      </c>
      <c r="H409" s="42">
        <v>11</v>
      </c>
      <c r="I409" s="42">
        <v>10</v>
      </c>
      <c r="J409" s="42">
        <v>16</v>
      </c>
      <c r="K409" s="42"/>
      <c r="L409" s="35">
        <f t="shared" ref="L409:L416" si="105">SUM(G409:K409)</f>
        <v>48</v>
      </c>
      <c r="M409" s="35">
        <f t="shared" si="104"/>
        <v>12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18</v>
      </c>
      <c r="H410" s="42">
        <v>16</v>
      </c>
      <c r="I410" s="42">
        <v>14</v>
      </c>
      <c r="J410" s="42">
        <v>20</v>
      </c>
      <c r="K410" s="42"/>
      <c r="L410" s="35">
        <f t="shared" si="105"/>
        <v>68</v>
      </c>
      <c r="M410" s="35">
        <f t="shared" si="104"/>
        <v>17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33</v>
      </c>
      <c r="H411" s="43">
        <v>23</v>
      </c>
      <c r="I411" s="43">
        <v>27</v>
      </c>
      <c r="J411" s="43">
        <v>38</v>
      </c>
      <c r="K411" s="43"/>
      <c r="L411" s="31">
        <f t="shared" si="105"/>
        <v>121</v>
      </c>
      <c r="M411" s="31">
        <f t="shared" si="104"/>
        <v>30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9</v>
      </c>
      <c r="H414" s="42">
        <v>7</v>
      </c>
      <c r="I414" s="42">
        <v>6</v>
      </c>
      <c r="J414" s="42">
        <v>9</v>
      </c>
      <c r="K414" s="42"/>
      <c r="L414" s="35">
        <f t="shared" si="105"/>
        <v>31</v>
      </c>
      <c r="M414" s="35">
        <f t="shared" si="104"/>
        <v>8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64</v>
      </c>
      <c r="H415" s="42">
        <v>32</v>
      </c>
      <c r="I415" s="42">
        <v>32</v>
      </c>
      <c r="J415" s="42">
        <v>64</v>
      </c>
      <c r="K415" s="42"/>
      <c r="L415" s="35">
        <f t="shared" si="105"/>
        <v>192</v>
      </c>
      <c r="M415" s="35">
        <f t="shared" si="104"/>
        <v>48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 t="str">
        <f>+$G$3</f>
        <v>Year</v>
      </c>
      <c r="H419" s="10" t="str">
        <f>+G419</f>
        <v>Year</v>
      </c>
      <c r="I419" s="10" t="str">
        <f t="shared" ref="I419:M420" si="106">+H419</f>
        <v>Year</v>
      </c>
      <c r="J419" s="10" t="str">
        <f t="shared" si="106"/>
        <v>Year</v>
      </c>
      <c r="K419" s="10" t="str">
        <f t="shared" si="106"/>
        <v>Year</v>
      </c>
      <c r="L419" s="10" t="str">
        <f t="shared" si="106"/>
        <v>Year</v>
      </c>
      <c r="M419" s="10" t="str">
        <f t="shared" si="106"/>
        <v>Year</v>
      </c>
      <c r="N419" s="11"/>
      <c r="P419" s="44"/>
      <c r="S419" s="12" t="str">
        <f>+C419</f>
        <v>Mhlabubovu</v>
      </c>
      <c r="T419" s="13">
        <f>+L423</f>
        <v>135</v>
      </c>
      <c r="U419" s="13">
        <f>+L424+L425</f>
        <v>33</v>
      </c>
      <c r="V419" s="13">
        <f>+L426+L427</f>
        <v>102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January 2025</v>
      </c>
      <c r="D420" s="18"/>
      <c r="E420" s="18"/>
      <c r="F420" s="18"/>
      <c r="G420" s="20" t="str">
        <f>+$G$4</f>
        <v>Mnt</v>
      </c>
      <c r="H420" s="20" t="str">
        <f>+G420</f>
        <v>Mnt</v>
      </c>
      <c r="I420" s="20" t="str">
        <f t="shared" si="106"/>
        <v>Mnt</v>
      </c>
      <c r="J420" s="20" t="str">
        <f t="shared" si="106"/>
        <v>Mnt</v>
      </c>
      <c r="K420" s="20" t="str">
        <f t="shared" si="106"/>
        <v>Mnt</v>
      </c>
      <c r="L420" s="20" t="str">
        <f t="shared" si="106"/>
        <v>Mnt</v>
      </c>
      <c r="M420" s="20" t="str">
        <f t="shared" si="106"/>
        <v>Mnt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5</v>
      </c>
      <c r="H421" s="25">
        <f>+$H$5</f>
        <v>12</v>
      </c>
      <c r="I421" s="25">
        <f>+$I$5</f>
        <v>19</v>
      </c>
      <c r="J421" s="25">
        <f>+$J$5</f>
        <v>26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21</v>
      </c>
      <c r="H423" s="31">
        <f t="shared" ref="H423:L423" si="107">SUM(H424:H427)</f>
        <v>24</v>
      </c>
      <c r="I423" s="31">
        <f t="shared" si="107"/>
        <v>55</v>
      </c>
      <c r="J423" s="31">
        <f t="shared" si="107"/>
        <v>35</v>
      </c>
      <c r="K423" s="31">
        <f t="shared" si="107"/>
        <v>0</v>
      </c>
      <c r="L423" s="31">
        <f t="shared" si="107"/>
        <v>135</v>
      </c>
      <c r="M423" s="31">
        <f>ROUND((L423/$E$1),0)</f>
        <v>34</v>
      </c>
      <c r="N423" s="32"/>
      <c r="AA423" s="46"/>
      <c r="AB423" s="46"/>
      <c r="AC423" s="46"/>
      <c r="AD423" s="46"/>
      <c r="AE423" s="46"/>
      <c r="AF423" s="46"/>
      <c r="AG423" s="46"/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>
        <v>1</v>
      </c>
      <c r="H424" s="42">
        <v>1</v>
      </c>
      <c r="I424" s="42">
        <v>1</v>
      </c>
      <c r="J424" s="42">
        <v>1</v>
      </c>
      <c r="K424" s="42"/>
      <c r="L424" s="35">
        <f>SUM(G424:K424)</f>
        <v>4</v>
      </c>
      <c r="M424" s="35">
        <f t="shared" ref="M424:M432" si="108">ROUND((L424/$E$1),0)</f>
        <v>1</v>
      </c>
      <c r="N424" s="32"/>
      <c r="AA424" s="46"/>
      <c r="AB424" s="46"/>
      <c r="AC424" s="46"/>
      <c r="AD424" s="46"/>
      <c r="AE424" s="46"/>
      <c r="AF424" s="46"/>
      <c r="AG424" s="46"/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>
        <v>5</v>
      </c>
      <c r="H425" s="42">
        <v>5</v>
      </c>
      <c r="I425" s="42">
        <v>11</v>
      </c>
      <c r="J425" s="42">
        <v>8</v>
      </c>
      <c r="K425" s="42"/>
      <c r="L425" s="35">
        <f t="shared" ref="L425:L432" si="109">SUM(G425:K425)</f>
        <v>29</v>
      </c>
      <c r="M425" s="35">
        <f t="shared" si="108"/>
        <v>7</v>
      </c>
      <c r="N425" s="32"/>
      <c r="AA425" s="46"/>
      <c r="AB425" s="46"/>
      <c r="AC425" s="46"/>
      <c r="AD425" s="46"/>
      <c r="AE425" s="46"/>
      <c r="AF425" s="46"/>
      <c r="AG425" s="46"/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>
        <v>10</v>
      </c>
      <c r="H426" s="42">
        <v>8</v>
      </c>
      <c r="I426" s="42">
        <v>14</v>
      </c>
      <c r="J426" s="42">
        <v>11</v>
      </c>
      <c r="K426" s="42"/>
      <c r="L426" s="35">
        <f t="shared" si="109"/>
        <v>43</v>
      </c>
      <c r="M426" s="35">
        <f t="shared" si="108"/>
        <v>11</v>
      </c>
      <c r="N426" s="32"/>
      <c r="AA426" s="46"/>
      <c r="AB426" s="46"/>
      <c r="AC426" s="46"/>
      <c r="AD426" s="46"/>
      <c r="AE426" s="46"/>
      <c r="AF426" s="46"/>
      <c r="AG426" s="46"/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>
        <v>5</v>
      </c>
      <c r="H427" s="43">
        <v>10</v>
      </c>
      <c r="I427" s="43">
        <v>29</v>
      </c>
      <c r="J427" s="43">
        <v>15</v>
      </c>
      <c r="K427" s="43"/>
      <c r="L427" s="31">
        <f t="shared" si="109"/>
        <v>59</v>
      </c>
      <c r="M427" s="31">
        <f t="shared" si="108"/>
        <v>15</v>
      </c>
      <c r="N427" s="32"/>
      <c r="AA427" s="46"/>
      <c r="AB427" s="46"/>
      <c r="AC427" s="46"/>
      <c r="AD427" s="46"/>
      <c r="AE427" s="46"/>
      <c r="AF427" s="46"/>
      <c r="AG427" s="46"/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/>
      <c r="AG428" s="46"/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/>
      <c r="AG429" s="46"/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>
        <f t="shared" si="108"/>
        <v>0</v>
      </c>
      <c r="N430" s="32"/>
      <c r="AA430" s="46"/>
      <c r="AB430" s="46"/>
      <c r="AC430" s="46"/>
      <c r="AD430" s="46"/>
      <c r="AE430" s="46"/>
      <c r="AF430" s="46"/>
      <c r="AG430" s="46"/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/>
      <c r="AG431" s="46"/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/>
      <c r="AG432" s="46"/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 t="str">
        <f>+$G$3</f>
        <v>Year</v>
      </c>
      <c r="H435" s="10" t="str">
        <f>+G435</f>
        <v>Year</v>
      </c>
      <c r="I435" s="10" t="str">
        <f t="shared" ref="I435:M436" si="110">+H435</f>
        <v>Year</v>
      </c>
      <c r="J435" s="10" t="str">
        <f t="shared" si="110"/>
        <v>Year</v>
      </c>
      <c r="K435" s="10" t="str">
        <f t="shared" si="110"/>
        <v>Year</v>
      </c>
      <c r="L435" s="10" t="str">
        <f t="shared" si="110"/>
        <v>Year</v>
      </c>
      <c r="M435" s="10" t="str">
        <f t="shared" si="110"/>
        <v>Year</v>
      </c>
      <c r="N435" s="11"/>
      <c r="S435" s="12" t="str">
        <f>+C435</f>
        <v>Jubukweni</v>
      </c>
      <c r="T435" s="13">
        <f>+L439</f>
        <v>107</v>
      </c>
      <c r="U435" s="13">
        <f>+L440+L441</f>
        <v>23</v>
      </c>
      <c r="V435" s="13">
        <f>+L442+L443</f>
        <v>84</v>
      </c>
      <c r="W435" s="13">
        <f>+L446</f>
        <v>10</v>
      </c>
      <c r="X435" s="13">
        <f>+L444</f>
        <v>0</v>
      </c>
    </row>
    <row r="436" spans="1:24" x14ac:dyDescent="0.25">
      <c r="A436" s="14"/>
      <c r="B436" s="15"/>
      <c r="C436" s="41" t="str">
        <f>+$C420</f>
        <v>January 2025</v>
      </c>
      <c r="D436" s="18"/>
      <c r="E436" s="18"/>
      <c r="F436" s="18"/>
      <c r="G436" s="20" t="str">
        <f>+$G$4</f>
        <v>Mnt</v>
      </c>
      <c r="H436" s="20" t="str">
        <f>+G436</f>
        <v>Mnt</v>
      </c>
      <c r="I436" s="20" t="str">
        <f t="shared" si="110"/>
        <v>Mnt</v>
      </c>
      <c r="J436" s="20" t="str">
        <f t="shared" si="110"/>
        <v>Mnt</v>
      </c>
      <c r="K436" s="20" t="str">
        <f t="shared" si="110"/>
        <v>Mnt</v>
      </c>
      <c r="L436" s="20" t="str">
        <f t="shared" si="110"/>
        <v>Mnt</v>
      </c>
      <c r="M436" s="20" t="str">
        <f t="shared" si="110"/>
        <v>Mnt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5</v>
      </c>
      <c r="H437" s="25">
        <f>+$H$5</f>
        <v>12</v>
      </c>
      <c r="I437" s="25">
        <f>+$I$5</f>
        <v>19</v>
      </c>
      <c r="J437" s="25">
        <f>+$J$5</f>
        <v>26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29</v>
      </c>
      <c r="H439" s="31">
        <f t="shared" ref="H439:L439" si="111">SUM(H440:H443)</f>
        <v>20</v>
      </c>
      <c r="I439" s="31">
        <f t="shared" si="111"/>
        <v>32</v>
      </c>
      <c r="J439" s="31">
        <f t="shared" si="111"/>
        <v>26</v>
      </c>
      <c r="K439" s="31">
        <f t="shared" si="111"/>
        <v>0</v>
      </c>
      <c r="L439" s="31">
        <f t="shared" si="111"/>
        <v>107</v>
      </c>
      <c r="M439" s="31">
        <f>ROUND((L439/$E$1),0)</f>
        <v>27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2</v>
      </c>
      <c r="I440" s="42">
        <v>2</v>
      </c>
      <c r="J440" s="42">
        <v>2</v>
      </c>
      <c r="K440" s="42"/>
      <c r="L440" s="35">
        <f>SUM(G440:K440)</f>
        <v>8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2</v>
      </c>
      <c r="H441" s="42">
        <v>4</v>
      </c>
      <c r="I441" s="42">
        <v>5</v>
      </c>
      <c r="J441" s="42">
        <v>4</v>
      </c>
      <c r="K441" s="42"/>
      <c r="L441" s="35">
        <f t="shared" ref="L441:L448" si="113">SUM(G441:K441)</f>
        <v>15</v>
      </c>
      <c r="M441" s="35">
        <f t="shared" si="112"/>
        <v>4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15</v>
      </c>
      <c r="H442" s="42">
        <v>10</v>
      </c>
      <c r="I442" s="42">
        <v>10</v>
      </c>
      <c r="J442" s="42">
        <v>10</v>
      </c>
      <c r="K442" s="42"/>
      <c r="L442" s="35">
        <f t="shared" si="113"/>
        <v>45</v>
      </c>
      <c r="M442" s="35">
        <f t="shared" si="112"/>
        <v>11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4</v>
      </c>
      <c r="I443" s="43">
        <v>15</v>
      </c>
      <c r="J443" s="43">
        <v>10</v>
      </c>
      <c r="K443" s="43"/>
      <c r="L443" s="31">
        <f t="shared" si="113"/>
        <v>39</v>
      </c>
      <c r="M443" s="31">
        <f t="shared" si="112"/>
        <v>10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/>
      <c r="I446" s="42">
        <v>10</v>
      </c>
      <c r="J446" s="42"/>
      <c r="K446" s="42"/>
      <c r="L446" s="35">
        <f t="shared" si="113"/>
        <v>10</v>
      </c>
      <c r="M446" s="35">
        <f t="shared" si="112"/>
        <v>3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/>
      <c r="I447" s="42">
        <v>128</v>
      </c>
      <c r="J447" s="42">
        <v>160</v>
      </c>
      <c r="K447" s="42"/>
      <c r="L447" s="35">
        <f t="shared" si="113"/>
        <v>288</v>
      </c>
      <c r="M447" s="35">
        <f t="shared" si="112"/>
        <v>72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 t="str">
        <f>+$G$3</f>
        <v>Year</v>
      </c>
      <c r="H451" s="10" t="str">
        <f>+G451</f>
        <v>Year</v>
      </c>
      <c r="I451" s="10" t="str">
        <f t="shared" ref="I451:M452" si="114">+H451</f>
        <v>Year</v>
      </c>
      <c r="J451" s="10" t="str">
        <f t="shared" si="114"/>
        <v>Year</v>
      </c>
      <c r="K451" s="10" t="str">
        <f t="shared" si="114"/>
        <v>Year</v>
      </c>
      <c r="L451" s="10" t="str">
        <f t="shared" si="114"/>
        <v>Year</v>
      </c>
      <c r="M451" s="10" t="str">
        <f t="shared" si="114"/>
        <v>Year</v>
      </c>
      <c r="N451" s="11"/>
      <c r="S451" s="12" t="str">
        <f>+C451</f>
        <v>Sigangeni</v>
      </c>
      <c r="T451" s="13">
        <f>+L455</f>
        <v>222</v>
      </c>
      <c r="U451" s="13">
        <f>+L456+L457</f>
        <v>52</v>
      </c>
      <c r="V451" s="13">
        <f>+L458+L459</f>
        <v>170</v>
      </c>
      <c r="W451" s="13">
        <f>+L462</f>
        <v>31</v>
      </c>
      <c r="X451" s="13">
        <f>+L460</f>
        <v>0</v>
      </c>
    </row>
    <row r="452" spans="1:24" x14ac:dyDescent="0.25">
      <c r="A452" s="14"/>
      <c r="B452" s="15"/>
      <c r="C452" s="41" t="str">
        <f>+$C436</f>
        <v>January 2025</v>
      </c>
      <c r="D452" s="18"/>
      <c r="E452" s="18"/>
      <c r="F452" s="18"/>
      <c r="G452" s="20" t="str">
        <f>+$G$4</f>
        <v>Mnt</v>
      </c>
      <c r="H452" s="20" t="str">
        <f>+G452</f>
        <v>Mnt</v>
      </c>
      <c r="I452" s="20" t="str">
        <f t="shared" si="114"/>
        <v>Mnt</v>
      </c>
      <c r="J452" s="20" t="str">
        <f t="shared" si="114"/>
        <v>Mnt</v>
      </c>
      <c r="K452" s="20" t="str">
        <f t="shared" si="114"/>
        <v>Mnt</v>
      </c>
      <c r="L452" s="20" t="str">
        <f t="shared" si="114"/>
        <v>Mnt</v>
      </c>
      <c r="M452" s="20" t="str">
        <f t="shared" si="114"/>
        <v>Mnt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5</v>
      </c>
      <c r="H453" s="25">
        <f>+$H$5</f>
        <v>12</v>
      </c>
      <c r="I453" s="25">
        <f>+$I$5</f>
        <v>19</v>
      </c>
      <c r="J453" s="25">
        <f>+$J$5</f>
        <v>26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60</v>
      </c>
      <c r="H455" s="31">
        <f t="shared" ref="H455:L455" si="115">SUM(H456:H459)</f>
        <v>43</v>
      </c>
      <c r="I455" s="31">
        <f t="shared" si="115"/>
        <v>57</v>
      </c>
      <c r="J455" s="31">
        <f t="shared" si="115"/>
        <v>62</v>
      </c>
      <c r="K455" s="31">
        <f t="shared" si="115"/>
        <v>0</v>
      </c>
      <c r="L455" s="31">
        <f t="shared" si="115"/>
        <v>222</v>
      </c>
      <c r="M455" s="31">
        <f>ROUND((L455/$E$1),0)</f>
        <v>56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>
        <v>9</v>
      </c>
      <c r="H456" s="42">
        <v>6</v>
      </c>
      <c r="I456" s="42">
        <v>9</v>
      </c>
      <c r="J456" s="42">
        <v>9</v>
      </c>
      <c r="K456" s="42"/>
      <c r="L456" s="35">
        <f>SUM(G456:K456)</f>
        <v>33</v>
      </c>
      <c r="M456" s="35">
        <f t="shared" ref="M456:M464" si="116">ROUND((L456/$E$1),0)</f>
        <v>8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>
        <v>4</v>
      </c>
      <c r="H457" s="42">
        <v>4</v>
      </c>
      <c r="I457" s="42">
        <v>6</v>
      </c>
      <c r="J457" s="42">
        <v>5</v>
      </c>
      <c r="K457" s="42"/>
      <c r="L457" s="35">
        <f t="shared" ref="L457:L464" si="117">SUM(G457:K457)</f>
        <v>19</v>
      </c>
      <c r="M457" s="35">
        <f t="shared" si="116"/>
        <v>5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>
        <v>13</v>
      </c>
      <c r="H458" s="42">
        <v>8</v>
      </c>
      <c r="I458" s="42">
        <v>13</v>
      </c>
      <c r="J458" s="42">
        <v>9</v>
      </c>
      <c r="K458" s="42"/>
      <c r="L458" s="35">
        <f t="shared" si="117"/>
        <v>43</v>
      </c>
      <c r="M458" s="35">
        <f t="shared" si="116"/>
        <v>11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>
        <v>34</v>
      </c>
      <c r="H459" s="43">
        <v>25</v>
      </c>
      <c r="I459" s="43">
        <v>29</v>
      </c>
      <c r="J459" s="43">
        <v>39</v>
      </c>
      <c r="K459" s="43"/>
      <c r="L459" s="31">
        <f t="shared" si="117"/>
        <v>127</v>
      </c>
      <c r="M459" s="31">
        <f t="shared" si="116"/>
        <v>32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>
        <v>6</v>
      </c>
      <c r="H462" s="42">
        <v>11</v>
      </c>
      <c r="I462" s="42">
        <v>11</v>
      </c>
      <c r="J462" s="42">
        <v>3</v>
      </c>
      <c r="K462" s="42"/>
      <c r="L462" s="35">
        <f t="shared" si="117"/>
        <v>31</v>
      </c>
      <c r="M462" s="35">
        <f t="shared" si="116"/>
        <v>8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 t="str">
        <f>+$G$3</f>
        <v>Year</v>
      </c>
      <c r="H467" s="10" t="str">
        <f>+G467</f>
        <v>Year</v>
      </c>
      <c r="I467" s="10" t="str">
        <f t="shared" ref="I467:M468" si="118">+H467</f>
        <v>Year</v>
      </c>
      <c r="J467" s="10" t="str">
        <f t="shared" si="118"/>
        <v>Year</v>
      </c>
      <c r="K467" s="10" t="str">
        <f t="shared" si="118"/>
        <v>Year</v>
      </c>
      <c r="L467" s="10" t="str">
        <f t="shared" si="118"/>
        <v>Year</v>
      </c>
      <c r="M467" s="10" t="str">
        <f t="shared" si="118"/>
        <v>Year</v>
      </c>
      <c r="N467" s="11"/>
      <c r="S467" s="12" t="str">
        <f>+C467</f>
        <v>Sgombeni</v>
      </c>
      <c r="T467" s="13">
        <f>+L471</f>
        <v>289</v>
      </c>
      <c r="U467" s="13">
        <f>+L472+L473</f>
        <v>77</v>
      </c>
      <c r="V467" s="13">
        <f>+L474+L475</f>
        <v>212</v>
      </c>
      <c r="W467" s="13">
        <f>+L478</f>
        <v>13</v>
      </c>
      <c r="X467" s="13">
        <f>+L476</f>
        <v>0</v>
      </c>
    </row>
    <row r="468" spans="1:24" x14ac:dyDescent="0.25">
      <c r="A468" s="14"/>
      <c r="B468" s="15"/>
      <c r="C468" s="41" t="str">
        <f>+$C452</f>
        <v>January 2025</v>
      </c>
      <c r="D468" s="18"/>
      <c r="E468" s="18"/>
      <c r="F468" s="18"/>
      <c r="G468" s="20" t="str">
        <f>+$G$4</f>
        <v>Mnt</v>
      </c>
      <c r="H468" s="20" t="str">
        <f>+G468</f>
        <v>Mnt</v>
      </c>
      <c r="I468" s="20" t="str">
        <f t="shared" si="118"/>
        <v>Mnt</v>
      </c>
      <c r="J468" s="20" t="str">
        <f t="shared" si="118"/>
        <v>Mnt</v>
      </c>
      <c r="K468" s="20" t="str">
        <f t="shared" si="118"/>
        <v>Mnt</v>
      </c>
      <c r="L468" s="20" t="str">
        <f t="shared" si="118"/>
        <v>Mnt</v>
      </c>
      <c r="M468" s="20" t="str">
        <f t="shared" si="118"/>
        <v>Mnt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5</v>
      </c>
      <c r="H469" s="25">
        <f>+$H$5</f>
        <v>12</v>
      </c>
      <c r="I469" s="25">
        <f>+$I$5</f>
        <v>19</v>
      </c>
      <c r="J469" s="25">
        <f>+$J$5</f>
        <v>26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74</v>
      </c>
      <c r="H471" s="31">
        <f t="shared" ref="H471:L471" si="119">SUM(H472:H475)</f>
        <v>41</v>
      </c>
      <c r="I471" s="31">
        <f t="shared" si="119"/>
        <v>90</v>
      </c>
      <c r="J471" s="31">
        <f t="shared" si="119"/>
        <v>84</v>
      </c>
      <c r="K471" s="31">
        <f t="shared" si="119"/>
        <v>0</v>
      </c>
      <c r="L471" s="31">
        <f t="shared" si="119"/>
        <v>289</v>
      </c>
      <c r="M471" s="31">
        <f>ROUND((L471/$E$1),0)</f>
        <v>72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>
        <v>6</v>
      </c>
      <c r="H472" s="42">
        <v>5</v>
      </c>
      <c r="I472" s="42">
        <v>12</v>
      </c>
      <c r="J472" s="42">
        <v>7</v>
      </c>
      <c r="K472" s="42"/>
      <c r="L472" s="35">
        <f>SUM(G472:K472)</f>
        <v>30</v>
      </c>
      <c r="M472" s="35">
        <f t="shared" ref="M472:M480" si="120">ROUND((L472/$E$1),0)</f>
        <v>8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>
        <v>12</v>
      </c>
      <c r="H473" s="42">
        <v>8</v>
      </c>
      <c r="I473" s="42">
        <v>15</v>
      </c>
      <c r="J473" s="42">
        <v>12</v>
      </c>
      <c r="K473" s="42"/>
      <c r="L473" s="35">
        <f t="shared" ref="L473:L480" si="121">SUM(G473:K473)</f>
        <v>47</v>
      </c>
      <c r="M473" s="35">
        <f t="shared" si="120"/>
        <v>12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>
        <v>16</v>
      </c>
      <c r="H474" s="42">
        <v>10</v>
      </c>
      <c r="I474" s="42">
        <v>18</v>
      </c>
      <c r="J474" s="42">
        <v>25</v>
      </c>
      <c r="K474" s="42"/>
      <c r="L474" s="35">
        <f t="shared" si="121"/>
        <v>69</v>
      </c>
      <c r="M474" s="35">
        <f t="shared" si="120"/>
        <v>17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>
        <v>40</v>
      </c>
      <c r="H475" s="43">
        <v>18</v>
      </c>
      <c r="I475" s="43">
        <v>45</v>
      </c>
      <c r="J475" s="43">
        <v>40</v>
      </c>
      <c r="K475" s="43"/>
      <c r="L475" s="31">
        <f t="shared" si="121"/>
        <v>143</v>
      </c>
      <c r="M475" s="31">
        <f t="shared" si="120"/>
        <v>36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>
        <v>3</v>
      </c>
      <c r="H478" s="42">
        <v>4</v>
      </c>
      <c r="I478" s="42">
        <v>3</v>
      </c>
      <c r="J478" s="42">
        <v>3</v>
      </c>
      <c r="K478" s="42"/>
      <c r="L478" s="35">
        <f t="shared" si="121"/>
        <v>13</v>
      </c>
      <c r="M478" s="35">
        <f t="shared" si="120"/>
        <v>3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>
        <v>16</v>
      </c>
      <c r="H479" s="42">
        <v>128</v>
      </c>
      <c r="I479" s="42">
        <v>10</v>
      </c>
      <c r="J479" s="42">
        <v>12</v>
      </c>
      <c r="K479" s="42"/>
      <c r="L479" s="35">
        <f t="shared" si="121"/>
        <v>166</v>
      </c>
      <c r="M479" s="35">
        <f t="shared" si="120"/>
        <v>42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 t="str">
        <f>+$G$3</f>
        <v>Year</v>
      </c>
      <c r="H483" s="10" t="str">
        <f>+G483</f>
        <v>Year</v>
      </c>
      <c r="I483" s="10" t="str">
        <f t="shared" ref="I483:M484" si="122">+H483</f>
        <v>Year</v>
      </c>
      <c r="J483" s="10" t="str">
        <f t="shared" si="122"/>
        <v>Year</v>
      </c>
      <c r="K483" s="10" t="str">
        <f t="shared" si="122"/>
        <v>Year</v>
      </c>
      <c r="L483" s="10" t="str">
        <f t="shared" si="122"/>
        <v>Year</v>
      </c>
      <c r="M483" s="10" t="str">
        <f t="shared" si="122"/>
        <v>Year</v>
      </c>
      <c r="N483" s="11"/>
      <c r="S483" s="12" t="str">
        <f>+C483</f>
        <v>Lushikishini</v>
      </c>
      <c r="T483" s="13">
        <f>+L487</f>
        <v>238</v>
      </c>
      <c r="U483" s="13">
        <f>+L488+L489</f>
        <v>59</v>
      </c>
      <c r="V483" s="13">
        <f>+L490+L491</f>
        <v>179</v>
      </c>
      <c r="W483" s="13">
        <f>+L494</f>
        <v>2</v>
      </c>
      <c r="X483" s="13">
        <f>+L492</f>
        <v>25</v>
      </c>
    </row>
    <row r="484" spans="1:24" x14ac:dyDescent="0.25">
      <c r="A484" s="14"/>
      <c r="B484" s="15"/>
      <c r="C484" s="41" t="str">
        <f>+$C468</f>
        <v>January 2025</v>
      </c>
      <c r="D484" s="18"/>
      <c r="E484" s="18"/>
      <c r="F484" s="18"/>
      <c r="G484" s="20" t="str">
        <f>+$G$4</f>
        <v>Mnt</v>
      </c>
      <c r="H484" s="20" t="str">
        <f>+G484</f>
        <v>Mnt</v>
      </c>
      <c r="I484" s="20" t="str">
        <f t="shared" si="122"/>
        <v>Mnt</v>
      </c>
      <c r="J484" s="20" t="str">
        <f t="shared" si="122"/>
        <v>Mnt</v>
      </c>
      <c r="K484" s="20" t="str">
        <f t="shared" si="122"/>
        <v>Mnt</v>
      </c>
      <c r="L484" s="20" t="str">
        <f t="shared" si="122"/>
        <v>Mnt</v>
      </c>
      <c r="M484" s="20" t="str">
        <f t="shared" si="122"/>
        <v>Mnt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5</v>
      </c>
      <c r="H485" s="25">
        <f>+$H$5</f>
        <v>12</v>
      </c>
      <c r="I485" s="25">
        <f>+$I$5</f>
        <v>19</v>
      </c>
      <c r="J485" s="25">
        <f>+$J$5</f>
        <v>26</v>
      </c>
      <c r="K485" s="25">
        <f>+$K$5</f>
        <v>0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66</v>
      </c>
      <c r="H487" s="31">
        <f t="shared" ref="H487:L487" si="123">SUM(H488:H491)</f>
        <v>54</v>
      </c>
      <c r="I487" s="31">
        <f t="shared" si="123"/>
        <v>49</v>
      </c>
      <c r="J487" s="31">
        <f t="shared" si="123"/>
        <v>69</v>
      </c>
      <c r="K487" s="31">
        <f t="shared" si="123"/>
        <v>0</v>
      </c>
      <c r="L487" s="31">
        <f t="shared" si="123"/>
        <v>238</v>
      </c>
      <c r="M487" s="31">
        <f>ROUND((L487/$E$1),0)</f>
        <v>60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5</v>
      </c>
      <c r="H488" s="42">
        <v>3</v>
      </c>
      <c r="I488" s="42">
        <v>3</v>
      </c>
      <c r="J488" s="42">
        <v>5</v>
      </c>
      <c r="K488" s="42"/>
      <c r="L488" s="35">
        <f>SUM(G488:K488)</f>
        <v>16</v>
      </c>
      <c r="M488" s="35">
        <f t="shared" ref="M488:M496" si="124">ROUND((L488/$E$1),0)</f>
        <v>4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13</v>
      </c>
      <c r="H489" s="42">
        <v>10</v>
      </c>
      <c r="I489" s="42">
        <v>10</v>
      </c>
      <c r="J489" s="42">
        <v>10</v>
      </c>
      <c r="K489" s="42"/>
      <c r="L489" s="35">
        <f t="shared" ref="L489:L496" si="125">SUM(G489:K489)</f>
        <v>43</v>
      </c>
      <c r="M489" s="35">
        <f t="shared" si="124"/>
        <v>11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18</v>
      </c>
      <c r="H490" s="42">
        <v>13</v>
      </c>
      <c r="I490" s="42">
        <v>10</v>
      </c>
      <c r="J490" s="42">
        <v>14</v>
      </c>
      <c r="K490" s="42"/>
      <c r="L490" s="35">
        <f t="shared" si="125"/>
        <v>55</v>
      </c>
      <c r="M490" s="35">
        <f t="shared" si="124"/>
        <v>14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30</v>
      </c>
      <c r="H491" s="43">
        <v>28</v>
      </c>
      <c r="I491" s="43">
        <v>26</v>
      </c>
      <c r="J491" s="43">
        <v>40</v>
      </c>
      <c r="K491" s="43"/>
      <c r="L491" s="31">
        <f t="shared" si="125"/>
        <v>124</v>
      </c>
      <c r="M491" s="31">
        <f t="shared" si="124"/>
        <v>31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>
        <v>25</v>
      </c>
      <c r="H492" s="42"/>
      <c r="I492" s="42"/>
      <c r="J492" s="42"/>
      <c r="K492" s="42"/>
      <c r="L492" s="35">
        <f t="shared" si="125"/>
        <v>25</v>
      </c>
      <c r="M492" s="35">
        <f t="shared" si="124"/>
        <v>6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>
        <v>1</v>
      </c>
      <c r="H494" s="42"/>
      <c r="I494" s="42"/>
      <c r="J494" s="42">
        <v>1</v>
      </c>
      <c r="K494" s="42"/>
      <c r="L494" s="35">
        <f t="shared" si="125"/>
        <v>2</v>
      </c>
      <c r="M494" s="35">
        <f t="shared" si="124"/>
        <v>1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/>
      <c r="I495" s="42">
        <v>448</v>
      </c>
      <c r="J495" s="42"/>
      <c r="K495" s="42"/>
      <c r="L495" s="35">
        <f t="shared" si="125"/>
        <v>448</v>
      </c>
      <c r="M495" s="35">
        <f t="shared" si="124"/>
        <v>112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 t="str">
        <f>+$G$3</f>
        <v>Year</v>
      </c>
      <c r="H499" s="10" t="str">
        <f>+G499</f>
        <v>Year</v>
      </c>
      <c r="I499" s="10" t="str">
        <f t="shared" ref="I499:M500" si="126">+H499</f>
        <v>Year</v>
      </c>
      <c r="J499" s="10" t="str">
        <f t="shared" si="126"/>
        <v>Year</v>
      </c>
      <c r="K499" s="10" t="str">
        <f t="shared" si="126"/>
        <v>Year</v>
      </c>
      <c r="L499" s="10" t="str">
        <f t="shared" si="126"/>
        <v>Year</v>
      </c>
      <c r="M499" s="10" t="str">
        <f t="shared" si="126"/>
        <v>Year</v>
      </c>
      <c r="N499" s="11"/>
      <c r="S499" s="12" t="str">
        <f>+C499</f>
        <v>Sigengeni (Shiselweni)</v>
      </c>
      <c r="T499" s="13">
        <f>+L503</f>
        <v>285</v>
      </c>
      <c r="U499" s="13">
        <f>+L504+L505</f>
        <v>50</v>
      </c>
      <c r="V499" s="13">
        <f>+L506+L507</f>
        <v>235</v>
      </c>
      <c r="W499" s="13">
        <f>+L510</f>
        <v>6</v>
      </c>
      <c r="X499" s="13">
        <f>+L508</f>
        <v>5</v>
      </c>
    </row>
    <row r="500" spans="1:24" x14ac:dyDescent="0.25">
      <c r="A500" s="14"/>
      <c r="B500" s="15"/>
      <c r="C500" s="41" t="str">
        <f>+$C484</f>
        <v>January 2025</v>
      </c>
      <c r="D500" s="18"/>
      <c r="E500" s="18"/>
      <c r="F500" s="18"/>
      <c r="G500" s="20" t="str">
        <f>+$G$4</f>
        <v>Mnt</v>
      </c>
      <c r="H500" s="20" t="str">
        <f>+G500</f>
        <v>Mnt</v>
      </c>
      <c r="I500" s="20" t="str">
        <f t="shared" si="126"/>
        <v>Mnt</v>
      </c>
      <c r="J500" s="20" t="str">
        <f t="shared" si="126"/>
        <v>Mnt</v>
      </c>
      <c r="K500" s="20" t="str">
        <f t="shared" si="126"/>
        <v>Mnt</v>
      </c>
      <c r="L500" s="20" t="str">
        <f t="shared" si="126"/>
        <v>Mnt</v>
      </c>
      <c r="M500" s="20" t="str">
        <f t="shared" si="126"/>
        <v>Mnt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5</v>
      </c>
      <c r="H501" s="25">
        <f>+$H$5</f>
        <v>12</v>
      </c>
      <c r="I501" s="25">
        <f>+$I$5</f>
        <v>19</v>
      </c>
      <c r="J501" s="25">
        <f>+$J$5</f>
        <v>26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64</v>
      </c>
      <c r="H503" s="31">
        <f t="shared" ref="H503:L503" si="127">SUM(H504:H507)</f>
        <v>26</v>
      </c>
      <c r="I503" s="31">
        <f t="shared" si="127"/>
        <v>103</v>
      </c>
      <c r="J503" s="31">
        <f t="shared" si="127"/>
        <v>92</v>
      </c>
      <c r="K503" s="31">
        <f t="shared" si="127"/>
        <v>0</v>
      </c>
      <c r="L503" s="31">
        <f t="shared" si="127"/>
        <v>285</v>
      </c>
      <c r="M503" s="31">
        <f>ROUND((L503/$E$1),0)</f>
        <v>71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5</v>
      </c>
      <c r="H504" s="42">
        <v>2</v>
      </c>
      <c r="I504" s="42">
        <v>3</v>
      </c>
      <c r="J504" s="42">
        <v>3</v>
      </c>
      <c r="K504" s="42"/>
      <c r="L504" s="35">
        <f>SUM(G504:K504)</f>
        <v>13</v>
      </c>
      <c r="M504" s="35">
        <f t="shared" ref="M504:M512" si="128">ROUND((L504/$E$1),0)</f>
        <v>3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9</v>
      </c>
      <c r="H505" s="42">
        <v>6</v>
      </c>
      <c r="I505" s="42">
        <v>14</v>
      </c>
      <c r="J505" s="42">
        <v>8</v>
      </c>
      <c r="K505" s="42"/>
      <c r="L505" s="35">
        <f t="shared" ref="L505:L512" si="129">SUM(G505:K505)</f>
        <v>37</v>
      </c>
      <c r="M505" s="35">
        <f t="shared" si="128"/>
        <v>9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16</v>
      </c>
      <c r="H506" s="42">
        <v>8</v>
      </c>
      <c r="I506" s="42">
        <v>17</v>
      </c>
      <c r="J506" s="42">
        <v>12</v>
      </c>
      <c r="K506" s="42"/>
      <c r="L506" s="35">
        <f t="shared" si="129"/>
        <v>53</v>
      </c>
      <c r="M506" s="35">
        <f t="shared" si="128"/>
        <v>13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34</v>
      </c>
      <c r="H507" s="43">
        <v>10</v>
      </c>
      <c r="I507" s="43">
        <v>69</v>
      </c>
      <c r="J507" s="43">
        <v>69</v>
      </c>
      <c r="K507" s="43"/>
      <c r="L507" s="31">
        <f t="shared" si="129"/>
        <v>182</v>
      </c>
      <c r="M507" s="31">
        <f t="shared" si="128"/>
        <v>46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>
        <v>1</v>
      </c>
      <c r="I508" s="42"/>
      <c r="J508" s="42">
        <v>4</v>
      </c>
      <c r="K508" s="42"/>
      <c r="L508" s="35">
        <f t="shared" si="129"/>
        <v>5</v>
      </c>
      <c r="M508" s="35">
        <f t="shared" si="128"/>
        <v>1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2</v>
      </c>
      <c r="H510" s="42"/>
      <c r="I510" s="42">
        <v>1</v>
      </c>
      <c r="J510" s="42">
        <v>3</v>
      </c>
      <c r="K510" s="42"/>
      <c r="L510" s="35">
        <f t="shared" si="129"/>
        <v>6</v>
      </c>
      <c r="M510" s="35">
        <f t="shared" si="128"/>
        <v>2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>
        <v>96</v>
      </c>
      <c r="H511" s="42">
        <v>20</v>
      </c>
      <c r="I511" s="42">
        <v>32</v>
      </c>
      <c r="J511" s="42">
        <v>160</v>
      </c>
      <c r="K511" s="42"/>
      <c r="L511" s="35">
        <f t="shared" si="129"/>
        <v>308</v>
      </c>
      <c r="M511" s="35">
        <f t="shared" si="128"/>
        <v>77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 t="str">
        <f>+$G$3</f>
        <v>Year</v>
      </c>
      <c r="H515" s="10" t="str">
        <f>+G515</f>
        <v>Year</v>
      </c>
      <c r="I515" s="10" t="str">
        <f t="shared" ref="I515:M516" si="130">+H515</f>
        <v>Year</v>
      </c>
      <c r="J515" s="10" t="str">
        <f t="shared" si="130"/>
        <v>Year</v>
      </c>
      <c r="K515" s="10" t="str">
        <f t="shared" si="130"/>
        <v>Year</v>
      </c>
      <c r="L515" s="10" t="str">
        <f t="shared" si="130"/>
        <v>Year</v>
      </c>
      <c r="M515" s="10" t="str">
        <f t="shared" si="130"/>
        <v>Year</v>
      </c>
      <c r="N515" s="11"/>
      <c r="S515" s="12" t="str">
        <f>+C515</f>
        <v>Gundviwini</v>
      </c>
      <c r="T515" s="13">
        <f>+L519</f>
        <v>260</v>
      </c>
      <c r="U515" s="13">
        <f>+L520+L521</f>
        <v>79</v>
      </c>
      <c r="V515" s="13">
        <f>+L522+L523</f>
        <v>181</v>
      </c>
      <c r="W515" s="13">
        <f>+L526</f>
        <v>12</v>
      </c>
      <c r="X515" s="13">
        <f>+L524</f>
        <v>23</v>
      </c>
    </row>
    <row r="516" spans="1:24" x14ac:dyDescent="0.25">
      <c r="A516" s="14"/>
      <c r="B516" s="15"/>
      <c r="C516" s="41" t="str">
        <f>+$C500</f>
        <v>January 2025</v>
      </c>
      <c r="D516" s="18"/>
      <c r="E516" s="18"/>
      <c r="F516" s="18"/>
      <c r="G516" s="20" t="str">
        <f>+$G$4</f>
        <v>Mnt</v>
      </c>
      <c r="H516" s="20" t="str">
        <f>+G516</f>
        <v>Mnt</v>
      </c>
      <c r="I516" s="20" t="str">
        <f t="shared" si="130"/>
        <v>Mnt</v>
      </c>
      <c r="J516" s="20" t="str">
        <f t="shared" si="130"/>
        <v>Mnt</v>
      </c>
      <c r="K516" s="20" t="str">
        <f t="shared" si="130"/>
        <v>Mnt</v>
      </c>
      <c r="L516" s="20" t="str">
        <f t="shared" si="130"/>
        <v>Mnt</v>
      </c>
      <c r="M516" s="20" t="str">
        <f t="shared" si="130"/>
        <v>Mnt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5</v>
      </c>
      <c r="H517" s="25">
        <f>+$H$5</f>
        <v>12</v>
      </c>
      <c r="I517" s="25">
        <f>+$I$5</f>
        <v>19</v>
      </c>
      <c r="J517" s="25">
        <f>+$J$5</f>
        <v>26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58</v>
      </c>
      <c r="H519" s="31">
        <f t="shared" ref="H519:L519" si="131">SUM(H520:H523)</f>
        <v>60</v>
      </c>
      <c r="I519" s="31">
        <f t="shared" si="131"/>
        <v>71</v>
      </c>
      <c r="J519" s="31">
        <f t="shared" si="131"/>
        <v>71</v>
      </c>
      <c r="K519" s="31">
        <f t="shared" si="131"/>
        <v>0</v>
      </c>
      <c r="L519" s="31">
        <f t="shared" si="131"/>
        <v>260</v>
      </c>
      <c r="M519" s="31">
        <f>ROUND((L519/$E$1),0)</f>
        <v>65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7</v>
      </c>
      <c r="H520" s="42">
        <v>7</v>
      </c>
      <c r="I520" s="42">
        <v>8</v>
      </c>
      <c r="J520" s="42">
        <v>7</v>
      </c>
      <c r="K520" s="42"/>
      <c r="L520" s="35">
        <f>SUM(G520:K520)</f>
        <v>29</v>
      </c>
      <c r="M520" s="35">
        <f t="shared" ref="M520:M528" si="132">ROUND((L520/$E$1),0)</f>
        <v>7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9</v>
      </c>
      <c r="H521" s="42">
        <v>13</v>
      </c>
      <c r="I521" s="42">
        <v>15</v>
      </c>
      <c r="J521" s="42">
        <v>13</v>
      </c>
      <c r="K521" s="42"/>
      <c r="L521" s="35">
        <f t="shared" ref="L521:L528" si="133">SUM(G521:K521)</f>
        <v>50</v>
      </c>
      <c r="M521" s="35">
        <f t="shared" si="132"/>
        <v>13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10</v>
      </c>
      <c r="H522" s="42">
        <v>10</v>
      </c>
      <c r="I522" s="42">
        <v>11</v>
      </c>
      <c r="J522" s="42">
        <v>15</v>
      </c>
      <c r="K522" s="42"/>
      <c r="L522" s="35">
        <f t="shared" si="133"/>
        <v>46</v>
      </c>
      <c r="M522" s="35">
        <f t="shared" si="132"/>
        <v>12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32</v>
      </c>
      <c r="H523" s="43">
        <v>30</v>
      </c>
      <c r="I523" s="43">
        <v>37</v>
      </c>
      <c r="J523" s="43">
        <v>36</v>
      </c>
      <c r="K523" s="43"/>
      <c r="L523" s="31">
        <f t="shared" si="133"/>
        <v>135</v>
      </c>
      <c r="M523" s="31">
        <f t="shared" si="132"/>
        <v>34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>
        <v>1</v>
      </c>
      <c r="H524" s="42">
        <v>12</v>
      </c>
      <c r="I524" s="42">
        <v>2</v>
      </c>
      <c r="J524" s="42">
        <v>8</v>
      </c>
      <c r="K524" s="42"/>
      <c r="L524" s="35">
        <f t="shared" si="133"/>
        <v>23</v>
      </c>
      <c r="M524" s="35">
        <f t="shared" si="132"/>
        <v>6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>
        <v>4</v>
      </c>
      <c r="I526" s="42">
        <v>5</v>
      </c>
      <c r="J526" s="42">
        <v>3</v>
      </c>
      <c r="K526" s="42"/>
      <c r="L526" s="35">
        <f t="shared" si="133"/>
        <v>12</v>
      </c>
      <c r="M526" s="35">
        <f t="shared" si="132"/>
        <v>3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 t="str">
        <f>+$G$3</f>
        <v>Year</v>
      </c>
      <c r="H531" s="10" t="str">
        <f>+G531</f>
        <v>Year</v>
      </c>
      <c r="I531" s="10" t="str">
        <f t="shared" ref="I531:M532" si="134">+H531</f>
        <v>Year</v>
      </c>
      <c r="J531" s="10" t="str">
        <f t="shared" si="134"/>
        <v>Year</v>
      </c>
      <c r="K531" s="10" t="str">
        <f t="shared" si="134"/>
        <v>Year</v>
      </c>
      <c r="L531" s="10" t="str">
        <f t="shared" si="134"/>
        <v>Year</v>
      </c>
      <c r="M531" s="10" t="str">
        <f t="shared" si="134"/>
        <v>Year</v>
      </c>
      <c r="N531" s="11"/>
      <c r="P531" s="44"/>
      <c r="S531" s="12" t="str">
        <f>+C531</f>
        <v>Mcuba</v>
      </c>
      <c r="T531" s="13">
        <f>+L535</f>
        <v>288</v>
      </c>
      <c r="U531" s="13">
        <f>+L536+L537</f>
        <v>71</v>
      </c>
      <c r="V531" s="13">
        <f>+L538+L539</f>
        <v>217</v>
      </c>
      <c r="W531" s="13">
        <f>+L542</f>
        <v>0</v>
      </c>
      <c r="X531" s="13">
        <f>+L540</f>
        <v>0</v>
      </c>
    </row>
    <row r="532" spans="1:24" x14ac:dyDescent="0.25">
      <c r="A532" s="14"/>
      <c r="B532" s="15"/>
      <c r="C532" s="41" t="str">
        <f>+$C516</f>
        <v>January 2025</v>
      </c>
      <c r="D532" s="18"/>
      <c r="E532" s="18"/>
      <c r="F532" s="18"/>
      <c r="G532" s="20" t="str">
        <f>+$G$4</f>
        <v>Mnt</v>
      </c>
      <c r="H532" s="20" t="str">
        <f>+G532</f>
        <v>Mnt</v>
      </c>
      <c r="I532" s="20" t="str">
        <f t="shared" si="134"/>
        <v>Mnt</v>
      </c>
      <c r="J532" s="20" t="str">
        <f t="shared" si="134"/>
        <v>Mnt</v>
      </c>
      <c r="K532" s="20" t="str">
        <f t="shared" si="134"/>
        <v>Mnt</v>
      </c>
      <c r="L532" s="20" t="str">
        <f t="shared" si="134"/>
        <v>Mnt</v>
      </c>
      <c r="M532" s="20" t="str">
        <f t="shared" si="134"/>
        <v>Mnt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5</v>
      </c>
      <c r="H533" s="25">
        <f>+$H$5</f>
        <v>12</v>
      </c>
      <c r="I533" s="25">
        <f>+$I$5</f>
        <v>19</v>
      </c>
      <c r="J533" s="25">
        <f>+$J$5</f>
        <v>26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75</v>
      </c>
      <c r="H535" s="31">
        <f t="shared" ref="H535:L535" si="135">SUM(H536:H539)</f>
        <v>72</v>
      </c>
      <c r="I535" s="31">
        <f t="shared" si="135"/>
        <v>69</v>
      </c>
      <c r="J535" s="31">
        <f t="shared" si="135"/>
        <v>72</v>
      </c>
      <c r="K535" s="31">
        <f t="shared" si="135"/>
        <v>0</v>
      </c>
      <c r="L535" s="31">
        <f t="shared" si="135"/>
        <v>288</v>
      </c>
      <c r="M535" s="31">
        <f>ROUND((L535/$E$1),0)</f>
        <v>72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6</v>
      </c>
      <c r="H536" s="42">
        <v>4</v>
      </c>
      <c r="I536" s="42">
        <v>3</v>
      </c>
      <c r="J536" s="42">
        <v>4</v>
      </c>
      <c r="K536" s="42"/>
      <c r="L536" s="35">
        <f>SUM(G536:K536)</f>
        <v>17</v>
      </c>
      <c r="M536" s="35">
        <f t="shared" ref="M536:M544" si="136">ROUND((L536/$E$1),0)</f>
        <v>4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14</v>
      </c>
      <c r="H537" s="42">
        <v>14</v>
      </c>
      <c r="I537" s="42">
        <v>12</v>
      </c>
      <c r="J537" s="42">
        <v>14</v>
      </c>
      <c r="K537" s="42"/>
      <c r="L537" s="35">
        <f t="shared" ref="L537:L544" si="137">SUM(G537:K537)</f>
        <v>54</v>
      </c>
      <c r="M537" s="35">
        <f t="shared" si="136"/>
        <v>14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15</v>
      </c>
      <c r="H538" s="42">
        <v>16</v>
      </c>
      <c r="I538" s="42">
        <v>16</v>
      </c>
      <c r="J538" s="42">
        <v>18</v>
      </c>
      <c r="K538" s="42"/>
      <c r="L538" s="35">
        <f t="shared" si="137"/>
        <v>65</v>
      </c>
      <c r="M538" s="35">
        <f t="shared" si="136"/>
        <v>16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40</v>
      </c>
      <c r="H539" s="43">
        <v>38</v>
      </c>
      <c r="I539" s="43">
        <v>38</v>
      </c>
      <c r="J539" s="43">
        <v>36</v>
      </c>
      <c r="K539" s="43"/>
      <c r="L539" s="31">
        <f t="shared" si="137"/>
        <v>152</v>
      </c>
      <c r="M539" s="31">
        <f t="shared" si="136"/>
        <v>38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/>
      <c r="J542" s="42"/>
      <c r="K542" s="42"/>
      <c r="L542" s="35">
        <f t="shared" si="137"/>
        <v>0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>
        <v>160</v>
      </c>
      <c r="H543" s="42">
        <v>96</v>
      </c>
      <c r="I543" s="42">
        <v>96</v>
      </c>
      <c r="J543" s="42">
        <v>192</v>
      </c>
      <c r="K543" s="42"/>
      <c r="L543" s="35">
        <f t="shared" si="137"/>
        <v>544</v>
      </c>
      <c r="M543" s="35">
        <f t="shared" si="136"/>
        <v>136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 t="str">
        <f>+$G$3</f>
        <v>Year</v>
      </c>
      <c r="H547" s="10" t="str">
        <f>+G547</f>
        <v>Year</v>
      </c>
      <c r="I547" s="10" t="str">
        <f t="shared" ref="I547:M548" si="138">+H547</f>
        <v>Year</v>
      </c>
      <c r="J547" s="10" t="str">
        <f t="shared" si="138"/>
        <v>Year</v>
      </c>
      <c r="K547" s="10" t="str">
        <f t="shared" si="138"/>
        <v>Year</v>
      </c>
      <c r="L547" s="10" t="str">
        <f t="shared" si="138"/>
        <v>Year</v>
      </c>
      <c r="M547" s="10" t="str">
        <f t="shared" si="138"/>
        <v>Year</v>
      </c>
      <c r="N547" s="11"/>
      <c r="P547" s="44"/>
      <c r="S547" s="12" t="str">
        <f>+C547</f>
        <v>Phonjwane</v>
      </c>
      <c r="T547" s="13">
        <f>+L551</f>
        <v>484</v>
      </c>
      <c r="U547" s="13">
        <f>+L552+L553</f>
        <v>98</v>
      </c>
      <c r="V547" s="13">
        <f>+L554+L555</f>
        <v>386</v>
      </c>
      <c r="W547" s="13">
        <f>+L558</f>
        <v>11</v>
      </c>
      <c r="X547" s="13">
        <f>+L556</f>
        <v>1</v>
      </c>
    </row>
    <row r="548" spans="1:24" x14ac:dyDescent="0.25">
      <c r="A548" s="14"/>
      <c r="B548" s="15"/>
      <c r="C548" s="41" t="str">
        <f>+$C532</f>
        <v>January 2025</v>
      </c>
      <c r="D548" s="18"/>
      <c r="E548" s="18"/>
      <c r="F548" s="18"/>
      <c r="G548" s="20" t="str">
        <f>+$G$4</f>
        <v>Mnt</v>
      </c>
      <c r="H548" s="20" t="str">
        <f>+G548</f>
        <v>Mnt</v>
      </c>
      <c r="I548" s="20" t="str">
        <f t="shared" si="138"/>
        <v>Mnt</v>
      </c>
      <c r="J548" s="20" t="str">
        <f t="shared" si="138"/>
        <v>Mnt</v>
      </c>
      <c r="K548" s="20" t="str">
        <f t="shared" si="138"/>
        <v>Mnt</v>
      </c>
      <c r="L548" s="20" t="str">
        <f t="shared" si="138"/>
        <v>Mnt</v>
      </c>
      <c r="M548" s="20" t="str">
        <f t="shared" si="138"/>
        <v>Mnt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5</v>
      </c>
      <c r="H549" s="25">
        <f>+$H$5</f>
        <v>12</v>
      </c>
      <c r="I549" s="25">
        <f>+$I$5</f>
        <v>19</v>
      </c>
      <c r="J549" s="25">
        <f>+$J$5</f>
        <v>26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114</v>
      </c>
      <c r="H551" s="31">
        <f t="shared" ref="H551:L551" si="139">SUM(H552:H555)</f>
        <v>127</v>
      </c>
      <c r="I551" s="31">
        <f t="shared" si="139"/>
        <v>117</v>
      </c>
      <c r="J551" s="31">
        <f t="shared" si="139"/>
        <v>126</v>
      </c>
      <c r="K551" s="31">
        <f t="shared" si="139"/>
        <v>0</v>
      </c>
      <c r="L551" s="31">
        <f t="shared" si="139"/>
        <v>484</v>
      </c>
      <c r="M551" s="31">
        <f>ROUND((L551/$E$1),0)</f>
        <v>121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>
        <v>6</v>
      </c>
      <c r="H552" s="42">
        <v>5</v>
      </c>
      <c r="I552" s="42">
        <v>4</v>
      </c>
      <c r="J552" s="42">
        <v>4</v>
      </c>
      <c r="K552" s="42"/>
      <c r="L552" s="35">
        <f>SUM(G552:K552)</f>
        <v>19</v>
      </c>
      <c r="M552" s="35">
        <f t="shared" ref="M552:M560" si="140">ROUND((L552/$E$1),0)</f>
        <v>5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>
        <v>22</v>
      </c>
      <c r="H553" s="42">
        <v>18</v>
      </c>
      <c r="I553" s="42">
        <v>20</v>
      </c>
      <c r="J553" s="42">
        <v>19</v>
      </c>
      <c r="K553" s="42"/>
      <c r="L553" s="35">
        <f t="shared" ref="L553:L560" si="141">SUM(G553:K553)</f>
        <v>79</v>
      </c>
      <c r="M553" s="35">
        <f t="shared" si="140"/>
        <v>20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>
        <v>19</v>
      </c>
      <c r="H554" s="42">
        <v>36</v>
      </c>
      <c r="I554" s="42">
        <v>38</v>
      </c>
      <c r="J554" s="42">
        <v>35</v>
      </c>
      <c r="K554" s="42"/>
      <c r="L554" s="35">
        <f t="shared" si="141"/>
        <v>128</v>
      </c>
      <c r="M554" s="35">
        <f t="shared" si="140"/>
        <v>32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>
        <v>67</v>
      </c>
      <c r="H555" s="43">
        <v>68</v>
      </c>
      <c r="I555" s="43">
        <v>55</v>
      </c>
      <c r="J555" s="43">
        <v>68</v>
      </c>
      <c r="K555" s="43"/>
      <c r="L555" s="31">
        <f t="shared" si="141"/>
        <v>258</v>
      </c>
      <c r="M555" s="31">
        <f t="shared" si="140"/>
        <v>65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>
        <v>1</v>
      </c>
      <c r="J556" s="42"/>
      <c r="K556" s="42"/>
      <c r="L556" s="35">
        <f t="shared" si="141"/>
        <v>1</v>
      </c>
      <c r="M556" s="35">
        <f t="shared" si="140"/>
        <v>0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>
        <v>4</v>
      </c>
      <c r="H558" s="42"/>
      <c r="I558" s="42">
        <v>3</v>
      </c>
      <c r="J558" s="42">
        <v>4</v>
      </c>
      <c r="K558" s="42"/>
      <c r="L558" s="35">
        <f t="shared" si="141"/>
        <v>11</v>
      </c>
      <c r="M558" s="35">
        <f t="shared" si="140"/>
        <v>3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 t="str">
        <f>+$G$3</f>
        <v>Year</v>
      </c>
      <c r="H563" s="10" t="str">
        <f>+G563</f>
        <v>Year</v>
      </c>
      <c r="I563" s="10" t="str">
        <f t="shared" ref="I563:M564" si="142">+H563</f>
        <v>Year</v>
      </c>
      <c r="J563" s="10" t="str">
        <f t="shared" si="142"/>
        <v>Year</v>
      </c>
      <c r="K563" s="10" t="str">
        <f t="shared" si="142"/>
        <v>Year</v>
      </c>
      <c r="L563" s="10" t="str">
        <f t="shared" si="142"/>
        <v>Year</v>
      </c>
      <c r="M563" s="10" t="str">
        <f t="shared" si="142"/>
        <v>Year</v>
      </c>
      <c r="N563" s="11"/>
      <c r="P563" s="44"/>
      <c r="S563" s="12" t="str">
        <f>+C563</f>
        <v>Njakeni</v>
      </c>
      <c r="T563" s="13">
        <f>+L567</f>
        <v>270</v>
      </c>
      <c r="U563" s="13">
        <f>+L568+L569</f>
        <v>69</v>
      </c>
      <c r="V563" s="13">
        <f>+L570+L571</f>
        <v>201</v>
      </c>
      <c r="W563" s="13">
        <f>+L574</f>
        <v>10</v>
      </c>
      <c r="X563" s="13">
        <f>+L572</f>
        <v>0</v>
      </c>
    </row>
    <row r="564" spans="1:24" x14ac:dyDescent="0.25">
      <c r="A564" s="14"/>
      <c r="B564" s="15"/>
      <c r="C564" s="41" t="str">
        <f>+$C548</f>
        <v>January 2025</v>
      </c>
      <c r="D564" s="18"/>
      <c r="E564" s="18"/>
      <c r="F564" s="18"/>
      <c r="G564" s="20" t="str">
        <f>+$G$4</f>
        <v>Mnt</v>
      </c>
      <c r="H564" s="20" t="str">
        <f>+G564</f>
        <v>Mnt</v>
      </c>
      <c r="I564" s="20" t="str">
        <f t="shared" si="142"/>
        <v>Mnt</v>
      </c>
      <c r="J564" s="20" t="str">
        <f t="shared" si="142"/>
        <v>Mnt</v>
      </c>
      <c r="K564" s="20" t="str">
        <f t="shared" si="142"/>
        <v>Mnt</v>
      </c>
      <c r="L564" s="20" t="str">
        <f t="shared" si="142"/>
        <v>Mnt</v>
      </c>
      <c r="M564" s="20" t="str">
        <f t="shared" si="142"/>
        <v>Mnt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5</v>
      </c>
      <c r="H565" s="25">
        <f>+$H$5</f>
        <v>12</v>
      </c>
      <c r="I565" s="25">
        <f>+$I$5</f>
        <v>19</v>
      </c>
      <c r="J565" s="25">
        <f>+$J$5</f>
        <v>26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78</v>
      </c>
      <c r="H567" s="31">
        <f t="shared" ref="H567:L567" si="143">SUM(H568:H571)</f>
        <v>63</v>
      </c>
      <c r="I567" s="31">
        <f t="shared" si="143"/>
        <v>69</v>
      </c>
      <c r="J567" s="31">
        <f t="shared" si="143"/>
        <v>60</v>
      </c>
      <c r="K567" s="31">
        <f t="shared" si="143"/>
        <v>0</v>
      </c>
      <c r="L567" s="31">
        <f t="shared" si="143"/>
        <v>270</v>
      </c>
      <c r="M567" s="31">
        <f>ROUND((L567/$E$1),0)</f>
        <v>68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4</v>
      </c>
      <c r="H568" s="42">
        <v>2</v>
      </c>
      <c r="I568" s="42">
        <v>3</v>
      </c>
      <c r="J568" s="42">
        <v>1</v>
      </c>
      <c r="K568" s="42"/>
      <c r="L568" s="35">
        <f>SUM(G568:K568)</f>
        <v>10</v>
      </c>
      <c r="M568" s="35">
        <f t="shared" ref="M568:M576" si="144">ROUND((L568/$E$1),0)</f>
        <v>3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20</v>
      </c>
      <c r="H569" s="42">
        <v>12</v>
      </c>
      <c r="I569" s="42">
        <v>18</v>
      </c>
      <c r="J569" s="42">
        <v>9</v>
      </c>
      <c r="K569" s="42"/>
      <c r="L569" s="35">
        <f t="shared" ref="L569:L576" si="145">SUM(G569:K569)</f>
        <v>59</v>
      </c>
      <c r="M569" s="35">
        <f t="shared" si="144"/>
        <v>15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20</v>
      </c>
      <c r="H570" s="42">
        <v>18</v>
      </c>
      <c r="I570" s="42">
        <v>13</v>
      </c>
      <c r="J570" s="42">
        <v>15</v>
      </c>
      <c r="K570" s="42"/>
      <c r="L570" s="35">
        <f t="shared" si="145"/>
        <v>66</v>
      </c>
      <c r="M570" s="35">
        <f t="shared" si="144"/>
        <v>17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34</v>
      </c>
      <c r="H571" s="43">
        <v>31</v>
      </c>
      <c r="I571" s="43">
        <v>35</v>
      </c>
      <c r="J571" s="43">
        <v>35</v>
      </c>
      <c r="K571" s="43"/>
      <c r="L571" s="31">
        <f t="shared" si="145"/>
        <v>135</v>
      </c>
      <c r="M571" s="31">
        <f t="shared" si="144"/>
        <v>34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/>
      <c r="J572" s="42"/>
      <c r="K572" s="42"/>
      <c r="L572" s="35">
        <f t="shared" si="145"/>
        <v>0</v>
      </c>
      <c r="M572" s="35">
        <f t="shared" si="144"/>
        <v>0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2</v>
      </c>
      <c r="H574" s="42">
        <v>2</v>
      </c>
      <c r="I574" s="42">
        <v>4</v>
      </c>
      <c r="J574" s="42">
        <v>2</v>
      </c>
      <c r="K574" s="42"/>
      <c r="L574" s="35">
        <f t="shared" si="145"/>
        <v>10</v>
      </c>
      <c r="M574" s="35">
        <f t="shared" si="144"/>
        <v>3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>
        <v>32</v>
      </c>
      <c r="H575" s="42">
        <v>160</v>
      </c>
      <c r="I575" s="42">
        <v>175</v>
      </c>
      <c r="J575" s="42">
        <v>35</v>
      </c>
      <c r="K575" s="42"/>
      <c r="L575" s="35">
        <f t="shared" si="145"/>
        <v>402</v>
      </c>
      <c r="M575" s="35">
        <f t="shared" si="144"/>
        <v>101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 t="str">
        <f>+$G$3</f>
        <v>Year</v>
      </c>
      <c r="H579" s="10" t="str">
        <f>+G579</f>
        <v>Year</v>
      </c>
      <c r="I579" s="10" t="str">
        <f t="shared" ref="I579:M580" si="146">+H579</f>
        <v>Year</v>
      </c>
      <c r="J579" s="10" t="str">
        <f t="shared" si="146"/>
        <v>Year</v>
      </c>
      <c r="K579" s="10" t="str">
        <f t="shared" si="146"/>
        <v>Year</v>
      </c>
      <c r="L579" s="10" t="str">
        <f t="shared" si="146"/>
        <v>Year</v>
      </c>
      <c r="M579" s="10" t="str">
        <f t="shared" si="146"/>
        <v>Year</v>
      </c>
      <c r="N579" s="11"/>
      <c r="P579" s="44"/>
      <c r="S579" s="12" t="str">
        <f>+C579</f>
        <v>Mantabeni</v>
      </c>
      <c r="T579" s="13">
        <f>+L583</f>
        <v>264</v>
      </c>
      <c r="U579" s="13">
        <f>+L584+L585</f>
        <v>66</v>
      </c>
      <c r="V579" s="13">
        <f>+L586+L587</f>
        <v>198</v>
      </c>
      <c r="W579" s="13">
        <f>+L590</f>
        <v>11</v>
      </c>
      <c r="X579" s="13">
        <f>+L588</f>
        <v>0</v>
      </c>
    </row>
    <row r="580" spans="1:24" x14ac:dyDescent="0.25">
      <c r="A580" s="14"/>
      <c r="B580" s="15"/>
      <c r="C580" s="41" t="str">
        <f>+$C564</f>
        <v>January 2025</v>
      </c>
      <c r="D580" s="18"/>
      <c r="E580" s="18"/>
      <c r="F580" s="18"/>
      <c r="G580" s="20" t="str">
        <f>+$G$4</f>
        <v>Mnt</v>
      </c>
      <c r="H580" s="20" t="str">
        <f>+G580</f>
        <v>Mnt</v>
      </c>
      <c r="I580" s="20" t="str">
        <f t="shared" si="146"/>
        <v>Mnt</v>
      </c>
      <c r="J580" s="20" t="str">
        <f t="shared" si="146"/>
        <v>Mnt</v>
      </c>
      <c r="K580" s="20" t="str">
        <f t="shared" si="146"/>
        <v>Mnt</v>
      </c>
      <c r="L580" s="20" t="str">
        <f t="shared" si="146"/>
        <v>Mnt</v>
      </c>
      <c r="M580" s="20" t="str">
        <f t="shared" si="146"/>
        <v>Mnt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5</v>
      </c>
      <c r="H581" s="25">
        <f>+$H$5</f>
        <v>12</v>
      </c>
      <c r="I581" s="25">
        <f>+$I$5</f>
        <v>19</v>
      </c>
      <c r="J581" s="25">
        <f>+$J$5</f>
        <v>26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48</v>
      </c>
      <c r="H583" s="31">
        <f t="shared" ref="H583:L583" si="147">SUM(H584:H587)</f>
        <v>46</v>
      </c>
      <c r="I583" s="31">
        <f t="shared" si="147"/>
        <v>46</v>
      </c>
      <c r="J583" s="31">
        <f t="shared" si="147"/>
        <v>124</v>
      </c>
      <c r="K583" s="31">
        <f t="shared" si="147"/>
        <v>0</v>
      </c>
      <c r="L583" s="31">
        <f t="shared" si="147"/>
        <v>264</v>
      </c>
      <c r="M583" s="31">
        <f>ROUND((L583/$E$1),0)</f>
        <v>66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3</v>
      </c>
      <c r="H584" s="42">
        <v>3</v>
      </c>
      <c r="I584" s="42">
        <v>2</v>
      </c>
      <c r="J584" s="42">
        <v>13</v>
      </c>
      <c r="K584" s="42"/>
      <c r="L584" s="35">
        <f>SUM(G584:K584)</f>
        <v>21</v>
      </c>
      <c r="M584" s="35">
        <f t="shared" ref="M584:M592" si="148">ROUND((L584/$E$1),0)</f>
        <v>5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7</v>
      </c>
      <c r="H585" s="42">
        <v>8</v>
      </c>
      <c r="I585" s="42">
        <v>5</v>
      </c>
      <c r="J585" s="42">
        <v>25</v>
      </c>
      <c r="K585" s="42"/>
      <c r="L585" s="35">
        <f t="shared" ref="L585:L592" si="149">SUM(G585:K585)</f>
        <v>45</v>
      </c>
      <c r="M585" s="35">
        <f t="shared" si="148"/>
        <v>11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8</v>
      </c>
      <c r="H586" s="42">
        <v>3</v>
      </c>
      <c r="I586" s="42">
        <v>6</v>
      </c>
      <c r="J586" s="42">
        <v>30</v>
      </c>
      <c r="K586" s="42"/>
      <c r="L586" s="35">
        <f t="shared" si="149"/>
        <v>47</v>
      </c>
      <c r="M586" s="35">
        <f t="shared" si="148"/>
        <v>12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30</v>
      </c>
      <c r="H587" s="43">
        <v>32</v>
      </c>
      <c r="I587" s="43">
        <v>33</v>
      </c>
      <c r="J587" s="43">
        <v>56</v>
      </c>
      <c r="K587" s="43"/>
      <c r="L587" s="31">
        <f t="shared" si="149"/>
        <v>151</v>
      </c>
      <c r="M587" s="31">
        <f t="shared" si="148"/>
        <v>38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3</v>
      </c>
      <c r="H590" s="42">
        <v>2</v>
      </c>
      <c r="I590" s="42">
        <v>2</v>
      </c>
      <c r="J590" s="42">
        <v>4</v>
      </c>
      <c r="K590" s="42"/>
      <c r="L590" s="35">
        <f t="shared" si="149"/>
        <v>11</v>
      </c>
      <c r="M590" s="35">
        <f t="shared" si="148"/>
        <v>3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>
        <v>128</v>
      </c>
      <c r="H591" s="42">
        <v>128</v>
      </c>
      <c r="I591" s="42">
        <v>64</v>
      </c>
      <c r="J591" s="42">
        <v>160</v>
      </c>
      <c r="K591" s="42"/>
      <c r="L591" s="35">
        <f t="shared" si="149"/>
        <v>480</v>
      </c>
      <c r="M591" s="35">
        <f t="shared" si="148"/>
        <v>120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 t="str">
        <f>+$G$3</f>
        <v>Year</v>
      </c>
      <c r="H595" s="10" t="str">
        <f>+G595</f>
        <v>Year</v>
      </c>
      <c r="I595" s="10" t="str">
        <f t="shared" ref="I595:M596" si="150">+H595</f>
        <v>Year</v>
      </c>
      <c r="J595" s="10" t="str">
        <f t="shared" si="150"/>
        <v>Year</v>
      </c>
      <c r="K595" s="10" t="str">
        <f t="shared" si="150"/>
        <v>Year</v>
      </c>
      <c r="L595" s="10" t="str">
        <f t="shared" si="150"/>
        <v>Year</v>
      </c>
      <c r="M595" s="10" t="str">
        <f t="shared" si="150"/>
        <v>Year</v>
      </c>
      <c r="N595" s="11"/>
      <c r="S595" s="12" t="str">
        <f>+C595</f>
        <v>Makhungutja</v>
      </c>
      <c r="T595" s="13">
        <f>+L599</f>
        <v>369</v>
      </c>
      <c r="U595" s="13">
        <f>+L600+L601</f>
        <v>89</v>
      </c>
      <c r="V595" s="13">
        <f>+L602+L603</f>
        <v>280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January 2025</v>
      </c>
      <c r="D596" s="18"/>
      <c r="E596" s="18"/>
      <c r="F596" s="18"/>
      <c r="G596" s="20" t="str">
        <f>+$G$4</f>
        <v>Mnt</v>
      </c>
      <c r="H596" s="20" t="str">
        <f>+G596</f>
        <v>Mnt</v>
      </c>
      <c r="I596" s="20" t="str">
        <f t="shared" si="150"/>
        <v>Mnt</v>
      </c>
      <c r="J596" s="20" t="str">
        <f t="shared" si="150"/>
        <v>Mnt</v>
      </c>
      <c r="K596" s="20" t="str">
        <f t="shared" si="150"/>
        <v>Mnt</v>
      </c>
      <c r="L596" s="20" t="str">
        <f t="shared" si="150"/>
        <v>Mnt</v>
      </c>
      <c r="M596" s="20" t="str">
        <f t="shared" si="150"/>
        <v>Mnt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5</v>
      </c>
      <c r="H597" s="25">
        <f>+$H$5</f>
        <v>12</v>
      </c>
      <c r="I597" s="25">
        <f>+$I$5</f>
        <v>19</v>
      </c>
      <c r="J597" s="25">
        <f>+$J$5</f>
        <v>26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80</v>
      </c>
      <c r="H599" s="31">
        <f t="shared" ref="H599:L599" si="151">SUM(H600:H603)</f>
        <v>82</v>
      </c>
      <c r="I599" s="31">
        <f t="shared" si="151"/>
        <v>103</v>
      </c>
      <c r="J599" s="31">
        <f t="shared" si="151"/>
        <v>104</v>
      </c>
      <c r="K599" s="31">
        <f t="shared" si="151"/>
        <v>0</v>
      </c>
      <c r="L599" s="31">
        <f t="shared" si="151"/>
        <v>369</v>
      </c>
      <c r="M599" s="31">
        <f>ROUND((L599/$E$1),0)</f>
        <v>92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>
        <v>5</v>
      </c>
      <c r="H600" s="42">
        <v>10</v>
      </c>
      <c r="I600" s="42">
        <v>12</v>
      </c>
      <c r="J600" s="42">
        <v>8</v>
      </c>
      <c r="K600" s="42"/>
      <c r="L600" s="35">
        <f>SUM(G600:K600)</f>
        <v>35</v>
      </c>
      <c r="M600" s="35">
        <f t="shared" ref="M600:M608" si="152">ROUND((L600/$E$1),0)</f>
        <v>9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>
        <v>10</v>
      </c>
      <c r="H601" s="42">
        <v>12</v>
      </c>
      <c r="I601" s="42">
        <v>16</v>
      </c>
      <c r="J601" s="42">
        <v>16</v>
      </c>
      <c r="K601" s="42"/>
      <c r="L601" s="35">
        <f t="shared" ref="L601:L608" si="153">SUM(G601:K601)</f>
        <v>54</v>
      </c>
      <c r="M601" s="35">
        <f t="shared" si="152"/>
        <v>14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>
        <v>7</v>
      </c>
      <c r="H602" s="42">
        <v>23</v>
      </c>
      <c r="I602" s="42">
        <v>18</v>
      </c>
      <c r="J602" s="42">
        <v>23</v>
      </c>
      <c r="K602" s="42"/>
      <c r="L602" s="35">
        <f t="shared" si="153"/>
        <v>71</v>
      </c>
      <c r="M602" s="35">
        <f t="shared" si="152"/>
        <v>18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>
        <v>58</v>
      </c>
      <c r="H603" s="43">
        <v>37</v>
      </c>
      <c r="I603" s="43">
        <v>57</v>
      </c>
      <c r="J603" s="43">
        <v>57</v>
      </c>
      <c r="K603" s="43"/>
      <c r="L603" s="31">
        <f t="shared" si="153"/>
        <v>209</v>
      </c>
      <c r="M603" s="31">
        <f t="shared" si="152"/>
        <v>52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 t="str">
        <f>+$G$3</f>
        <v>Year</v>
      </c>
      <c r="H611" s="10" t="str">
        <f>+G611</f>
        <v>Year</v>
      </c>
      <c r="I611" s="10" t="str">
        <f t="shared" ref="I611:M612" si="154">+H611</f>
        <v>Year</v>
      </c>
      <c r="J611" s="10" t="str">
        <f t="shared" si="154"/>
        <v>Year</v>
      </c>
      <c r="K611" s="10" t="str">
        <f t="shared" si="154"/>
        <v>Year</v>
      </c>
      <c r="L611" s="10" t="str">
        <f t="shared" si="154"/>
        <v>Year</v>
      </c>
      <c r="M611" s="10" t="str">
        <f t="shared" si="154"/>
        <v>Year</v>
      </c>
      <c r="N611" s="11"/>
      <c r="S611" s="12" t="str">
        <f>+C611</f>
        <v>Moneni</v>
      </c>
      <c r="T611" s="13">
        <f>+L615</f>
        <v>490</v>
      </c>
      <c r="U611" s="13">
        <f>+L616+L617</f>
        <v>90</v>
      </c>
      <c r="V611" s="13">
        <f>+L618+L619</f>
        <v>400</v>
      </c>
      <c r="W611" s="13">
        <f>+L622</f>
        <v>9</v>
      </c>
      <c r="X611" s="13">
        <f>+L620</f>
        <v>3</v>
      </c>
    </row>
    <row r="612" spans="1:24" x14ac:dyDescent="0.25">
      <c r="A612" s="14"/>
      <c r="B612" s="15"/>
      <c r="C612" s="41" t="str">
        <f>+$C596</f>
        <v>January 2025</v>
      </c>
      <c r="D612" s="18"/>
      <c r="E612" s="18"/>
      <c r="F612" s="18"/>
      <c r="G612" s="20" t="str">
        <f>+$G$4</f>
        <v>Mnt</v>
      </c>
      <c r="H612" s="20" t="str">
        <f>+G612</f>
        <v>Mnt</v>
      </c>
      <c r="I612" s="20" t="str">
        <f t="shared" si="154"/>
        <v>Mnt</v>
      </c>
      <c r="J612" s="20" t="str">
        <f t="shared" si="154"/>
        <v>Mnt</v>
      </c>
      <c r="K612" s="20" t="str">
        <f t="shared" si="154"/>
        <v>Mnt</v>
      </c>
      <c r="L612" s="20" t="str">
        <f t="shared" si="154"/>
        <v>Mnt</v>
      </c>
      <c r="M612" s="20" t="str">
        <f t="shared" si="154"/>
        <v>Mnt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5</v>
      </c>
      <c r="H613" s="25">
        <f>+$H$5</f>
        <v>12</v>
      </c>
      <c r="I613" s="25">
        <f>+$I$5</f>
        <v>19</v>
      </c>
      <c r="J613" s="25">
        <f>+$J$5</f>
        <v>26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117</v>
      </c>
      <c r="H615" s="31">
        <f t="shared" ref="H615:L615" si="155">SUM(H616:H619)</f>
        <v>123</v>
      </c>
      <c r="I615" s="31">
        <f t="shared" si="155"/>
        <v>126</v>
      </c>
      <c r="J615" s="31">
        <f t="shared" si="155"/>
        <v>124</v>
      </c>
      <c r="K615" s="31">
        <f t="shared" si="155"/>
        <v>0</v>
      </c>
      <c r="L615" s="31">
        <f t="shared" si="155"/>
        <v>490</v>
      </c>
      <c r="M615" s="31">
        <f>ROUND((L615/$E$1),0)</f>
        <v>123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5</v>
      </c>
      <c r="H616" s="42">
        <v>6</v>
      </c>
      <c r="I616" s="42">
        <v>7</v>
      </c>
      <c r="J616" s="42">
        <v>9</v>
      </c>
      <c r="K616" s="42"/>
      <c r="L616" s="35">
        <f>SUM(G616:K616)</f>
        <v>27</v>
      </c>
      <c r="M616" s="35">
        <f t="shared" ref="M616:M624" si="156">ROUND((L616/$E$1),0)</f>
        <v>7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13</v>
      </c>
      <c r="H617" s="42">
        <v>16</v>
      </c>
      <c r="I617" s="42">
        <v>21</v>
      </c>
      <c r="J617" s="42">
        <v>13</v>
      </c>
      <c r="K617" s="42"/>
      <c r="L617" s="35">
        <f t="shared" ref="L617:L624" si="157">SUM(G617:K617)</f>
        <v>63</v>
      </c>
      <c r="M617" s="35">
        <f t="shared" si="156"/>
        <v>16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39</v>
      </c>
      <c r="H618" s="42">
        <v>46</v>
      </c>
      <c r="I618" s="42">
        <v>36</v>
      </c>
      <c r="J618" s="42">
        <v>42</v>
      </c>
      <c r="K618" s="42"/>
      <c r="L618" s="35">
        <f t="shared" si="157"/>
        <v>163</v>
      </c>
      <c r="M618" s="35">
        <f t="shared" si="156"/>
        <v>41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60</v>
      </c>
      <c r="H619" s="43">
        <v>55</v>
      </c>
      <c r="I619" s="43">
        <v>62</v>
      </c>
      <c r="J619" s="43">
        <v>60</v>
      </c>
      <c r="K619" s="43"/>
      <c r="L619" s="31">
        <f t="shared" si="157"/>
        <v>237</v>
      </c>
      <c r="M619" s="31">
        <f t="shared" si="156"/>
        <v>59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>
        <v>1</v>
      </c>
      <c r="J620" s="42">
        <v>2</v>
      </c>
      <c r="K620" s="42"/>
      <c r="L620" s="35">
        <f t="shared" si="157"/>
        <v>3</v>
      </c>
      <c r="M620" s="35">
        <f t="shared" si="156"/>
        <v>1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2</v>
      </c>
      <c r="H622" s="42">
        <v>3</v>
      </c>
      <c r="I622" s="42">
        <v>4</v>
      </c>
      <c r="J622" s="42"/>
      <c r="K622" s="42"/>
      <c r="L622" s="35">
        <f t="shared" si="157"/>
        <v>9</v>
      </c>
      <c r="M622" s="35">
        <f t="shared" si="156"/>
        <v>2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>
        <f t="shared" si="156"/>
        <v>0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 t="str">
        <f>+$G$3</f>
        <v>Year</v>
      </c>
      <c r="H627" s="10" t="str">
        <f>+G627</f>
        <v>Year</v>
      </c>
      <c r="I627" s="10" t="str">
        <f t="shared" ref="I627:M628" si="158">+H627</f>
        <v>Year</v>
      </c>
      <c r="J627" s="10" t="str">
        <f t="shared" si="158"/>
        <v>Year</v>
      </c>
      <c r="K627" s="10" t="str">
        <f t="shared" si="158"/>
        <v>Year</v>
      </c>
      <c r="L627" s="10" t="str">
        <f t="shared" si="158"/>
        <v>Year</v>
      </c>
      <c r="M627" s="10" t="str">
        <f t="shared" si="158"/>
        <v>Year</v>
      </c>
      <c r="N627" s="11"/>
      <c r="S627" s="12" t="str">
        <f>+C627</f>
        <v>Mabhukwini</v>
      </c>
      <c r="T627" s="13">
        <f>+L631</f>
        <v>144</v>
      </c>
      <c r="U627" s="13">
        <f>+L632+L633</f>
        <v>50</v>
      </c>
      <c r="V627" s="13">
        <f>+L634+L635</f>
        <v>94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January 2025</v>
      </c>
      <c r="D628" s="18"/>
      <c r="E628" s="18"/>
      <c r="F628" s="18"/>
      <c r="G628" s="20" t="str">
        <f>+$G$4</f>
        <v>Mnt</v>
      </c>
      <c r="H628" s="20" t="str">
        <f>+G628</f>
        <v>Mnt</v>
      </c>
      <c r="I628" s="20" t="str">
        <f t="shared" si="158"/>
        <v>Mnt</v>
      </c>
      <c r="J628" s="20" t="str">
        <f t="shared" si="158"/>
        <v>Mnt</v>
      </c>
      <c r="K628" s="20" t="str">
        <f t="shared" si="158"/>
        <v>Mnt</v>
      </c>
      <c r="L628" s="20" t="str">
        <f t="shared" si="158"/>
        <v>Mnt</v>
      </c>
      <c r="M628" s="20" t="str">
        <f t="shared" si="158"/>
        <v>Mnt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5</v>
      </c>
      <c r="H629" s="25">
        <f>+$H$5</f>
        <v>12</v>
      </c>
      <c r="I629" s="25">
        <f>+$I$5</f>
        <v>19</v>
      </c>
      <c r="J629" s="25">
        <f>+$J$5</f>
        <v>26</v>
      </c>
      <c r="K629" s="25">
        <f>+$K$5</f>
        <v>0</v>
      </c>
      <c r="L629" s="25" t="s">
        <v>6</v>
      </c>
      <c r="M629" s="25" t="s">
        <v>7</v>
      </c>
      <c r="N629" s="26"/>
      <c r="O629" s="1" t="s">
        <v>100</v>
      </c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14</v>
      </c>
      <c r="H631" s="31">
        <f t="shared" ref="H631:L631" si="159">SUM(H632:H635)</f>
        <v>38</v>
      </c>
      <c r="I631" s="31">
        <f t="shared" si="159"/>
        <v>46</v>
      </c>
      <c r="J631" s="31">
        <f t="shared" si="159"/>
        <v>46</v>
      </c>
      <c r="K631" s="31">
        <f t="shared" si="159"/>
        <v>0</v>
      </c>
      <c r="L631" s="31">
        <f t="shared" si="159"/>
        <v>144</v>
      </c>
      <c r="M631" s="31">
        <f>ROUND((L631/$E$1),0)</f>
        <v>36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1</v>
      </c>
      <c r="H632" s="42">
        <v>2</v>
      </c>
      <c r="I632" s="42">
        <v>3</v>
      </c>
      <c r="J632" s="42">
        <v>3</v>
      </c>
      <c r="K632" s="42"/>
      <c r="L632" s="35">
        <f>SUM(G632:K632)</f>
        <v>9</v>
      </c>
      <c r="M632" s="35">
        <f t="shared" ref="M632:M640" si="160">ROUND((L632/$E$1),0)</f>
        <v>2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4</v>
      </c>
      <c r="H633" s="42">
        <v>11</v>
      </c>
      <c r="I633" s="42">
        <v>13</v>
      </c>
      <c r="J633" s="42">
        <v>13</v>
      </c>
      <c r="K633" s="42"/>
      <c r="L633" s="35">
        <f t="shared" ref="L633:L640" si="161">SUM(G633:K633)</f>
        <v>41</v>
      </c>
      <c r="M633" s="35">
        <f t="shared" si="160"/>
        <v>10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4</v>
      </c>
      <c r="H634" s="42">
        <v>7</v>
      </c>
      <c r="I634" s="42">
        <v>7</v>
      </c>
      <c r="J634" s="42">
        <v>7</v>
      </c>
      <c r="K634" s="42"/>
      <c r="L634" s="35">
        <f t="shared" si="161"/>
        <v>25</v>
      </c>
      <c r="M634" s="35">
        <f t="shared" si="160"/>
        <v>6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5</v>
      </c>
      <c r="H635" s="43">
        <v>18</v>
      </c>
      <c r="I635" s="43">
        <v>23</v>
      </c>
      <c r="J635" s="43">
        <v>23</v>
      </c>
      <c r="K635" s="43"/>
      <c r="L635" s="31">
        <f t="shared" si="161"/>
        <v>69</v>
      </c>
      <c r="M635" s="31">
        <f t="shared" si="160"/>
        <v>17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98</v>
      </c>
      <c r="D643" s="7"/>
      <c r="E643" s="8"/>
      <c r="F643" s="8"/>
      <c r="G643" s="10" t="str">
        <f>+$G$3</f>
        <v>Year</v>
      </c>
      <c r="H643" s="10" t="str">
        <f>+G643</f>
        <v>Year</v>
      </c>
      <c r="I643" s="10" t="str">
        <f t="shared" ref="I643:M644" si="162">+H643</f>
        <v>Year</v>
      </c>
      <c r="J643" s="10" t="str">
        <f t="shared" si="162"/>
        <v>Year</v>
      </c>
      <c r="K643" s="10" t="str">
        <f t="shared" si="162"/>
        <v>Year</v>
      </c>
      <c r="L643" s="10" t="str">
        <f t="shared" si="162"/>
        <v>Year</v>
      </c>
      <c r="M643" s="10" t="str">
        <f t="shared" si="162"/>
        <v>Year</v>
      </c>
      <c r="N643" s="11"/>
      <c r="S643" s="12" t="str">
        <f>+C643</f>
        <v>Phuzweni</v>
      </c>
      <c r="T643" s="13">
        <f>+L647</f>
        <v>174</v>
      </c>
      <c r="U643" s="13">
        <f>+L648+L649</f>
        <v>46</v>
      </c>
      <c r="V643" s="13">
        <f>+L650+L651</f>
        <v>128</v>
      </c>
      <c r="W643" s="13">
        <f>+L654</f>
        <v>0</v>
      </c>
      <c r="X643" s="13">
        <f>+L652</f>
        <v>8</v>
      </c>
    </row>
    <row r="644" spans="1:24" x14ac:dyDescent="0.25">
      <c r="A644" s="14"/>
      <c r="B644" s="15"/>
      <c r="C644" s="41" t="str">
        <f>+$C628</f>
        <v>January 2025</v>
      </c>
      <c r="D644" s="18"/>
      <c r="E644" s="18"/>
      <c r="F644" s="18"/>
      <c r="G644" s="20" t="str">
        <f>+$G$4</f>
        <v>Mnt</v>
      </c>
      <c r="H644" s="20" t="str">
        <f>+G644</f>
        <v>Mnt</v>
      </c>
      <c r="I644" s="20" t="str">
        <f t="shared" si="162"/>
        <v>Mnt</v>
      </c>
      <c r="J644" s="20" t="str">
        <f t="shared" si="162"/>
        <v>Mnt</v>
      </c>
      <c r="K644" s="20" t="str">
        <f t="shared" si="162"/>
        <v>Mnt</v>
      </c>
      <c r="L644" s="20" t="str">
        <f t="shared" si="162"/>
        <v>Mnt</v>
      </c>
      <c r="M644" s="20" t="str">
        <f t="shared" si="162"/>
        <v>Mnt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5</v>
      </c>
      <c r="H645" s="25">
        <f>+$H$5</f>
        <v>12</v>
      </c>
      <c r="I645" s="25">
        <f>+$I$5</f>
        <v>19</v>
      </c>
      <c r="J645" s="25">
        <f>+$J$5</f>
        <v>26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23</v>
      </c>
      <c r="H647" s="31">
        <f t="shared" ref="H647:L647" si="163">SUM(H648:H651)</f>
        <v>30</v>
      </c>
      <c r="I647" s="31">
        <f t="shared" si="163"/>
        <v>64</v>
      </c>
      <c r="J647" s="31">
        <f t="shared" si="163"/>
        <v>57</v>
      </c>
      <c r="K647" s="31">
        <f t="shared" si="163"/>
        <v>0</v>
      </c>
      <c r="L647" s="31">
        <f t="shared" si="163"/>
        <v>174</v>
      </c>
      <c r="M647" s="31">
        <f>ROUND((L647/$E$1),0)</f>
        <v>44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>
        <v>3</v>
      </c>
      <c r="H648" s="42">
        <v>4</v>
      </c>
      <c r="I648" s="42">
        <v>4</v>
      </c>
      <c r="J648" s="42">
        <v>4</v>
      </c>
      <c r="K648" s="42"/>
      <c r="L648" s="35">
        <f>SUM(G648:K648)</f>
        <v>15</v>
      </c>
      <c r="M648" s="35">
        <f t="shared" ref="M648:M656" si="164">ROUND((L648/$E$1),0)</f>
        <v>4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>
        <v>1</v>
      </c>
      <c r="H649" s="42">
        <v>7</v>
      </c>
      <c r="I649" s="42">
        <v>15</v>
      </c>
      <c r="J649" s="42">
        <v>8</v>
      </c>
      <c r="K649" s="42"/>
      <c r="L649" s="35">
        <f t="shared" ref="L649:L656" si="165">SUM(G649:K649)</f>
        <v>31</v>
      </c>
      <c r="M649" s="35">
        <f t="shared" si="164"/>
        <v>8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>
        <v>6</v>
      </c>
      <c r="H650" s="42">
        <v>2</v>
      </c>
      <c r="I650" s="42">
        <v>12</v>
      </c>
      <c r="J650" s="42">
        <v>7</v>
      </c>
      <c r="K650" s="42"/>
      <c r="L650" s="35">
        <f t="shared" si="165"/>
        <v>27</v>
      </c>
      <c r="M650" s="35">
        <f t="shared" si="164"/>
        <v>7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>
        <v>13</v>
      </c>
      <c r="H651" s="43">
        <v>17</v>
      </c>
      <c r="I651" s="43">
        <v>33</v>
      </c>
      <c r="J651" s="43">
        <v>38</v>
      </c>
      <c r="K651" s="43"/>
      <c r="L651" s="31">
        <f t="shared" si="165"/>
        <v>101</v>
      </c>
      <c r="M651" s="31">
        <f t="shared" si="164"/>
        <v>25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>
        <v>8</v>
      </c>
      <c r="K652" s="42"/>
      <c r="L652" s="35">
        <f t="shared" si="165"/>
        <v>8</v>
      </c>
      <c r="M652" s="35">
        <f t="shared" si="164"/>
        <v>2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>
        <f t="shared" si="164"/>
        <v>0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>
        <v>85</v>
      </c>
      <c r="J655" s="42">
        <v>12</v>
      </c>
      <c r="K655" s="42"/>
      <c r="L655" s="35">
        <f t="shared" si="165"/>
        <v>97</v>
      </c>
      <c r="M655" s="35">
        <f t="shared" si="164"/>
        <v>24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 t="str">
        <f>+$G$3</f>
        <v>Year</v>
      </c>
      <c r="H659" s="10" t="str">
        <f>+G659</f>
        <v>Year</v>
      </c>
      <c r="I659" s="10" t="str">
        <f t="shared" ref="I659:M660" si="166">+H659</f>
        <v>Year</v>
      </c>
      <c r="J659" s="10" t="str">
        <f t="shared" si="166"/>
        <v>Year</v>
      </c>
      <c r="K659" s="10" t="str">
        <f t="shared" si="166"/>
        <v>Year</v>
      </c>
      <c r="L659" s="10" t="str">
        <f t="shared" si="166"/>
        <v>Year</v>
      </c>
      <c r="M659" s="10" t="str">
        <f t="shared" si="166"/>
        <v>Year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January 2025</v>
      </c>
      <c r="D660" s="18"/>
      <c r="E660" s="18"/>
      <c r="F660" s="18"/>
      <c r="G660" s="20" t="str">
        <f>+$G$4</f>
        <v>Mnt</v>
      </c>
      <c r="H660" s="20" t="str">
        <f>+G660</f>
        <v>Mnt</v>
      </c>
      <c r="I660" s="20" t="str">
        <f t="shared" si="166"/>
        <v>Mnt</v>
      </c>
      <c r="J660" s="20" t="str">
        <f t="shared" si="166"/>
        <v>Mnt</v>
      </c>
      <c r="K660" s="20" t="str">
        <f t="shared" si="166"/>
        <v>Mnt</v>
      </c>
      <c r="L660" s="20" t="str">
        <f t="shared" si="166"/>
        <v>Mnt</v>
      </c>
      <c r="M660" s="20" t="str">
        <f t="shared" si="166"/>
        <v>Mnt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5</v>
      </c>
      <c r="H661" s="25">
        <f>+$H$5</f>
        <v>12</v>
      </c>
      <c r="I661" s="25">
        <f>+$I$5</f>
        <v>19</v>
      </c>
      <c r="J661" s="25">
        <f>+$J$5</f>
        <v>26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>
        <f>ROUND((L663/$E$1),0)</f>
        <v>0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>
        <f t="shared" si="168"/>
        <v>0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>
        <f t="shared" si="168"/>
        <v>0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>
        <f t="shared" si="168"/>
        <v>0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>
        <f t="shared" si="168"/>
        <v>0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 t="str">
        <f>+$G$3</f>
        <v>Year</v>
      </c>
      <c r="H675" s="10" t="str">
        <f>+G675</f>
        <v>Year</v>
      </c>
      <c r="I675" s="10" t="str">
        <f t="shared" ref="I675:M676" si="170">+H675</f>
        <v>Year</v>
      </c>
      <c r="J675" s="10" t="str">
        <f t="shared" si="170"/>
        <v>Year</v>
      </c>
      <c r="K675" s="10" t="str">
        <f t="shared" si="170"/>
        <v>Year</v>
      </c>
      <c r="L675" s="10" t="str">
        <f t="shared" si="170"/>
        <v>Year</v>
      </c>
      <c r="M675" s="10" t="str">
        <f t="shared" si="170"/>
        <v>Year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January 2025</v>
      </c>
      <c r="D676" s="18"/>
      <c r="E676" s="18"/>
      <c r="F676" s="18"/>
      <c r="G676" s="20" t="str">
        <f>+$G$4</f>
        <v>Mnt</v>
      </c>
      <c r="H676" s="20" t="str">
        <f>+G676</f>
        <v>Mnt</v>
      </c>
      <c r="I676" s="20" t="str">
        <f t="shared" si="170"/>
        <v>Mnt</v>
      </c>
      <c r="J676" s="20" t="str">
        <f t="shared" si="170"/>
        <v>Mnt</v>
      </c>
      <c r="K676" s="20" t="str">
        <f t="shared" si="170"/>
        <v>Mnt</v>
      </c>
      <c r="L676" s="20" t="str">
        <f t="shared" si="170"/>
        <v>Mnt</v>
      </c>
      <c r="M676" s="20" t="str">
        <f t="shared" si="170"/>
        <v>Mnt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5</v>
      </c>
      <c r="H677" s="25">
        <f>+$H$5</f>
        <v>12</v>
      </c>
      <c r="I677" s="25">
        <f>+$I$5</f>
        <v>19</v>
      </c>
      <c r="J677" s="25">
        <f>+$J$5</f>
        <v>26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>
        <f>ROUND((L679/$E$1),0)</f>
        <v>0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>
        <f t="shared" ref="M680:M688" si="172">ROUND((L680/$E$1),0)</f>
        <v>0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>
        <f t="shared" si="172"/>
        <v>0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>
        <f t="shared" si="172"/>
        <v>0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>
        <f t="shared" si="172"/>
        <v>0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 t="str">
        <f>+$G$3</f>
        <v>Year</v>
      </c>
      <c r="H691" s="10" t="str">
        <f>+G691</f>
        <v>Year</v>
      </c>
      <c r="I691" s="10" t="str">
        <f t="shared" ref="I691:M692" si="174">+H691</f>
        <v>Year</v>
      </c>
      <c r="J691" s="10" t="str">
        <f t="shared" si="174"/>
        <v>Year</v>
      </c>
      <c r="K691" s="10" t="str">
        <f t="shared" si="174"/>
        <v>Year</v>
      </c>
      <c r="L691" s="10" t="str">
        <f t="shared" si="174"/>
        <v>Year</v>
      </c>
      <c r="M691" s="10" t="str">
        <f t="shared" si="174"/>
        <v>Year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January 2025</v>
      </c>
      <c r="D692" s="18"/>
      <c r="E692" s="18"/>
      <c r="F692" s="18"/>
      <c r="G692" s="20" t="str">
        <f>+$G$4</f>
        <v>Mnt</v>
      </c>
      <c r="H692" s="20" t="str">
        <f>+G692</f>
        <v>Mnt</v>
      </c>
      <c r="I692" s="20" t="str">
        <f t="shared" si="174"/>
        <v>Mnt</v>
      </c>
      <c r="J692" s="20" t="str">
        <f t="shared" si="174"/>
        <v>Mnt</v>
      </c>
      <c r="K692" s="20" t="str">
        <f t="shared" si="174"/>
        <v>Mnt</v>
      </c>
      <c r="L692" s="20" t="str">
        <f t="shared" si="174"/>
        <v>Mnt</v>
      </c>
      <c r="M692" s="20" t="str">
        <f t="shared" si="174"/>
        <v>Mnt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5</v>
      </c>
      <c r="H693" s="25">
        <f>+$H$5</f>
        <v>12</v>
      </c>
      <c r="I693" s="25">
        <f>+$I$5</f>
        <v>19</v>
      </c>
      <c r="J693" s="25">
        <f>+$J$5</f>
        <v>26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>
        <f>ROUND((L695/$E$1),0)</f>
        <v>0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>
        <f t="shared" ref="M696:M704" si="176">ROUND((L696/$E$1),0)</f>
        <v>0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>
        <f t="shared" si="176"/>
        <v>0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>
        <f t="shared" si="176"/>
        <v>0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>
        <f t="shared" si="176"/>
        <v>0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>
        <f t="shared" si="176"/>
        <v>0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 t="str">
        <f>+$G$3</f>
        <v>Year</v>
      </c>
      <c r="H707" s="10" t="str">
        <f>+G707</f>
        <v>Year</v>
      </c>
      <c r="I707" s="10" t="str">
        <f t="shared" ref="I707:M708" si="178">+H707</f>
        <v>Year</v>
      </c>
      <c r="J707" s="10" t="str">
        <f t="shared" si="178"/>
        <v>Year</v>
      </c>
      <c r="K707" s="10" t="str">
        <f t="shared" si="178"/>
        <v>Year</v>
      </c>
      <c r="L707" s="10" t="str">
        <f t="shared" si="178"/>
        <v>Year</v>
      </c>
      <c r="M707" s="10" t="str">
        <f t="shared" si="178"/>
        <v>Year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January 2025</v>
      </c>
      <c r="D708" s="18"/>
      <c r="E708" s="18"/>
      <c r="F708" s="18"/>
      <c r="G708" s="20" t="str">
        <f>+$G$4</f>
        <v>Mnt</v>
      </c>
      <c r="H708" s="20" t="str">
        <f>+G708</f>
        <v>Mnt</v>
      </c>
      <c r="I708" s="20" t="str">
        <f t="shared" si="178"/>
        <v>Mnt</v>
      </c>
      <c r="J708" s="20" t="str">
        <f t="shared" si="178"/>
        <v>Mnt</v>
      </c>
      <c r="K708" s="20" t="str">
        <f t="shared" si="178"/>
        <v>Mnt</v>
      </c>
      <c r="L708" s="20" t="str">
        <f t="shared" si="178"/>
        <v>Mnt</v>
      </c>
      <c r="M708" s="20" t="str">
        <f t="shared" si="178"/>
        <v>Mnt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5</v>
      </c>
      <c r="H709" s="25">
        <f>+$H$5</f>
        <v>12</v>
      </c>
      <c r="I709" s="25">
        <f>+$I$5</f>
        <v>19</v>
      </c>
      <c r="J709" s="25">
        <f>+$J$5</f>
        <v>26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>
        <f>ROUND((L711/$E$1),0)</f>
        <v>0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>
        <f t="shared" ref="M712:M720" si="180">ROUND((L712/$E$1),0)</f>
        <v>0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>
        <f t="shared" si="180"/>
        <v>0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>
        <f t="shared" si="180"/>
        <v>0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>
        <f t="shared" si="180"/>
        <v>0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>
        <f t="shared" si="180"/>
        <v>0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>
        <f t="shared" si="180"/>
        <v>0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 t="str">
        <f>+$G$3</f>
        <v>Year</v>
      </c>
      <c r="H723" s="10" t="str">
        <f>+G723</f>
        <v>Year</v>
      </c>
      <c r="I723" s="10" t="str">
        <f t="shared" ref="I723:M724" si="182">+H723</f>
        <v>Year</v>
      </c>
      <c r="J723" s="10" t="str">
        <f t="shared" si="182"/>
        <v>Year</v>
      </c>
      <c r="K723" s="10" t="str">
        <f t="shared" si="182"/>
        <v>Year</v>
      </c>
      <c r="L723" s="10" t="str">
        <f t="shared" si="182"/>
        <v>Year</v>
      </c>
      <c r="M723" s="10" t="str">
        <f t="shared" si="182"/>
        <v>Year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January 2025</v>
      </c>
      <c r="D724" s="18"/>
      <c r="E724" s="18"/>
      <c r="F724" s="18"/>
      <c r="G724" s="20" t="str">
        <f>+$G$4</f>
        <v>Mnt</v>
      </c>
      <c r="H724" s="20" t="str">
        <f>+G724</f>
        <v>Mnt</v>
      </c>
      <c r="I724" s="20" t="str">
        <f t="shared" si="182"/>
        <v>Mnt</v>
      </c>
      <c r="J724" s="20" t="str">
        <f t="shared" si="182"/>
        <v>Mnt</v>
      </c>
      <c r="K724" s="20" t="str">
        <f t="shared" si="182"/>
        <v>Mnt</v>
      </c>
      <c r="L724" s="20" t="str">
        <f t="shared" si="182"/>
        <v>Mnt</v>
      </c>
      <c r="M724" s="20" t="str">
        <f t="shared" si="182"/>
        <v>Mnt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5</v>
      </c>
      <c r="H725" s="25">
        <f>+$H$5</f>
        <v>12</v>
      </c>
      <c r="I725" s="25">
        <f>+$I$5</f>
        <v>19</v>
      </c>
      <c r="J725" s="25">
        <f>+$J$5</f>
        <v>26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 t="str">
        <f>+$G$3</f>
        <v>Year</v>
      </c>
      <c r="H739" s="10" t="str">
        <f>+G739</f>
        <v>Year</v>
      </c>
      <c r="I739" s="10" t="str">
        <f t="shared" ref="I739:M740" si="186">+H739</f>
        <v>Year</v>
      </c>
      <c r="J739" s="10" t="str">
        <f t="shared" si="186"/>
        <v>Year</v>
      </c>
      <c r="K739" s="10" t="str">
        <f t="shared" si="186"/>
        <v>Year</v>
      </c>
      <c r="L739" s="10" t="str">
        <f t="shared" si="186"/>
        <v>Year</v>
      </c>
      <c r="M739" s="10" t="str">
        <f t="shared" si="186"/>
        <v>Year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January 2025</v>
      </c>
      <c r="D740" s="18"/>
      <c r="E740" s="18"/>
      <c r="F740" s="18"/>
      <c r="G740" s="20" t="str">
        <f>+$G$4</f>
        <v>Mnt</v>
      </c>
      <c r="H740" s="20" t="str">
        <f>+G740</f>
        <v>Mnt</v>
      </c>
      <c r="I740" s="20" t="str">
        <f t="shared" si="186"/>
        <v>Mnt</v>
      </c>
      <c r="J740" s="20" t="str">
        <f t="shared" si="186"/>
        <v>Mnt</v>
      </c>
      <c r="K740" s="20" t="str">
        <f t="shared" si="186"/>
        <v>Mnt</v>
      </c>
      <c r="L740" s="20" t="str">
        <f t="shared" si="186"/>
        <v>Mnt</v>
      </c>
      <c r="M740" s="20" t="str">
        <f t="shared" si="186"/>
        <v>Mnt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5</v>
      </c>
      <c r="H741" s="25">
        <f>+$H$5</f>
        <v>12</v>
      </c>
      <c r="I741" s="25">
        <f>+$I$5</f>
        <v>19</v>
      </c>
      <c r="J741" s="25">
        <f>+$J$5</f>
        <v>26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 t="str">
        <f>+$G$3</f>
        <v>Year</v>
      </c>
      <c r="H755" s="10" t="str">
        <f>+G755</f>
        <v>Year</v>
      </c>
      <c r="I755" s="10" t="str">
        <f t="shared" ref="I755:M756" si="190">+H755</f>
        <v>Year</v>
      </c>
      <c r="J755" s="10" t="str">
        <f t="shared" si="190"/>
        <v>Year</v>
      </c>
      <c r="K755" s="10" t="str">
        <f t="shared" si="190"/>
        <v>Year</v>
      </c>
      <c r="L755" s="10" t="str">
        <f t="shared" si="190"/>
        <v>Year</v>
      </c>
      <c r="M755" s="10" t="str">
        <f t="shared" si="190"/>
        <v>Year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January 2025</v>
      </c>
      <c r="D756" s="18"/>
      <c r="E756" s="18"/>
      <c r="F756" s="18"/>
      <c r="G756" s="20" t="str">
        <f>+$G$4</f>
        <v>Mnt</v>
      </c>
      <c r="H756" s="20" t="str">
        <f>+G756</f>
        <v>Mnt</v>
      </c>
      <c r="I756" s="20" t="str">
        <f t="shared" si="190"/>
        <v>Mnt</v>
      </c>
      <c r="J756" s="20" t="str">
        <f t="shared" si="190"/>
        <v>Mnt</v>
      </c>
      <c r="K756" s="20" t="str">
        <f t="shared" si="190"/>
        <v>Mnt</v>
      </c>
      <c r="L756" s="20" t="str">
        <f t="shared" si="190"/>
        <v>Mnt</v>
      </c>
      <c r="M756" s="20" t="str">
        <f t="shared" si="190"/>
        <v>Mnt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5</v>
      </c>
      <c r="H757" s="25">
        <f>+$H$5</f>
        <v>12</v>
      </c>
      <c r="I757" s="25">
        <f>+$I$5</f>
        <v>19</v>
      </c>
      <c r="J757" s="25">
        <f>+$J$5</f>
        <v>26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 t="str">
        <f>+$G$3</f>
        <v>Year</v>
      </c>
      <c r="H771" s="10" t="str">
        <f>+G771</f>
        <v>Year</v>
      </c>
      <c r="I771" s="10" t="str">
        <f t="shared" ref="I771:M772" si="194">+H771</f>
        <v>Year</v>
      </c>
      <c r="J771" s="10" t="str">
        <f t="shared" si="194"/>
        <v>Year</v>
      </c>
      <c r="K771" s="10" t="str">
        <f t="shared" si="194"/>
        <v>Year</v>
      </c>
      <c r="L771" s="10" t="str">
        <f t="shared" si="194"/>
        <v>Year</v>
      </c>
      <c r="M771" s="10" t="str">
        <f t="shared" si="194"/>
        <v>Year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January 2025</v>
      </c>
      <c r="D772" s="18"/>
      <c r="E772" s="18"/>
      <c r="F772" s="18"/>
      <c r="G772" s="20" t="str">
        <f>+$G$4</f>
        <v>Mnt</v>
      </c>
      <c r="H772" s="20" t="str">
        <f>+G772</f>
        <v>Mnt</v>
      </c>
      <c r="I772" s="20" t="str">
        <f t="shared" si="194"/>
        <v>Mnt</v>
      </c>
      <c r="J772" s="20" t="str">
        <f t="shared" si="194"/>
        <v>Mnt</v>
      </c>
      <c r="K772" s="20" t="str">
        <f t="shared" si="194"/>
        <v>Mnt</v>
      </c>
      <c r="L772" s="20" t="str">
        <f t="shared" si="194"/>
        <v>Mnt</v>
      </c>
      <c r="M772" s="20" t="str">
        <f t="shared" si="194"/>
        <v>Mnt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5</v>
      </c>
      <c r="H773" s="25">
        <f>+$H$5</f>
        <v>12</v>
      </c>
      <c r="I773" s="25">
        <f>+$I$5</f>
        <v>19</v>
      </c>
      <c r="J773" s="25">
        <f>+$J$5</f>
        <v>26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 t="str">
        <f>+$G$3</f>
        <v>Year</v>
      </c>
      <c r="H787" s="10" t="str">
        <f>+G787</f>
        <v>Year</v>
      </c>
      <c r="I787" s="10" t="str">
        <f t="shared" ref="I787:M788" si="198">+H787</f>
        <v>Year</v>
      </c>
      <c r="J787" s="10" t="str">
        <f t="shared" si="198"/>
        <v>Year</v>
      </c>
      <c r="K787" s="10" t="str">
        <f t="shared" si="198"/>
        <v>Year</v>
      </c>
      <c r="L787" s="10" t="str">
        <f t="shared" si="198"/>
        <v>Year</v>
      </c>
      <c r="M787" s="10" t="str">
        <f t="shared" si="198"/>
        <v>Year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January 2025</v>
      </c>
      <c r="D788" s="18"/>
      <c r="E788" s="18"/>
      <c r="F788" s="18"/>
      <c r="G788" s="20" t="str">
        <f>+$G$4</f>
        <v>Mnt</v>
      </c>
      <c r="H788" s="20" t="str">
        <f>+G788</f>
        <v>Mnt</v>
      </c>
      <c r="I788" s="20" t="str">
        <f t="shared" si="198"/>
        <v>Mnt</v>
      </c>
      <c r="J788" s="20" t="str">
        <f t="shared" si="198"/>
        <v>Mnt</v>
      </c>
      <c r="K788" s="20" t="str">
        <f t="shared" si="198"/>
        <v>Mnt</v>
      </c>
      <c r="L788" s="20" t="str">
        <f t="shared" si="198"/>
        <v>Mnt</v>
      </c>
      <c r="M788" s="20" t="str">
        <f t="shared" si="198"/>
        <v>Mnt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5</v>
      </c>
      <c r="H789" s="25">
        <f>+$H$5</f>
        <v>12</v>
      </c>
      <c r="I789" s="25">
        <f>+$I$5</f>
        <v>19</v>
      </c>
      <c r="J789" s="25">
        <f>+$J$5</f>
        <v>26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 t="str">
        <f>+$G$3</f>
        <v>Year</v>
      </c>
      <c r="H803" s="10" t="str">
        <f>+G803</f>
        <v>Year</v>
      </c>
      <c r="I803" s="10" t="str">
        <f t="shared" ref="I803:M804" si="202">+H803</f>
        <v>Year</v>
      </c>
      <c r="J803" s="10" t="str">
        <f t="shared" si="202"/>
        <v>Year</v>
      </c>
      <c r="K803" s="10" t="str">
        <f t="shared" si="202"/>
        <v>Year</v>
      </c>
      <c r="L803" s="10" t="str">
        <f t="shared" si="202"/>
        <v>Year</v>
      </c>
      <c r="M803" s="10" t="str">
        <f t="shared" si="202"/>
        <v>Year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January 2025</v>
      </c>
      <c r="D804" s="18"/>
      <c r="E804" s="18"/>
      <c r="F804" s="18"/>
      <c r="G804" s="20" t="str">
        <f>+$G$4</f>
        <v>Mnt</v>
      </c>
      <c r="H804" s="20" t="str">
        <f>+G804</f>
        <v>Mnt</v>
      </c>
      <c r="I804" s="20" t="str">
        <f t="shared" si="202"/>
        <v>Mnt</v>
      </c>
      <c r="J804" s="20" t="str">
        <f t="shared" si="202"/>
        <v>Mnt</v>
      </c>
      <c r="K804" s="20" t="str">
        <f t="shared" si="202"/>
        <v>Mnt</v>
      </c>
      <c r="L804" s="20" t="str">
        <f t="shared" si="202"/>
        <v>Mnt</v>
      </c>
      <c r="M804" s="20" t="str">
        <f t="shared" si="202"/>
        <v>Mnt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5</v>
      </c>
      <c r="H805" s="25">
        <f>+$H$5</f>
        <v>12</v>
      </c>
      <c r="I805" s="25">
        <f>+$I$5</f>
        <v>19</v>
      </c>
      <c r="J805" s="25">
        <f>+$J$5</f>
        <v>26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851"/>
  <sheetViews>
    <sheetView topLeftCell="A647" workbookViewId="0">
      <selection activeCell="C4" sqref="C4"/>
    </sheetView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0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 t="s">
        <v>57</v>
      </c>
      <c r="H3" s="10" t="str">
        <f>+G3</f>
        <v>Year</v>
      </c>
      <c r="I3" s="10" t="str">
        <f t="shared" ref="I3:M4" si="0">+H3</f>
        <v>Year</v>
      </c>
      <c r="J3" s="10" t="str">
        <f t="shared" si="0"/>
        <v>Year</v>
      </c>
      <c r="K3" s="10" t="str">
        <f t="shared" si="0"/>
        <v>Year</v>
      </c>
      <c r="L3" s="10" t="str">
        <f t="shared" si="0"/>
        <v>Year</v>
      </c>
      <c r="M3" s="10" t="str">
        <f t="shared" si="0"/>
        <v>Year</v>
      </c>
      <c r="N3" s="11"/>
      <c r="S3" s="12" t="str">
        <f>+C3</f>
        <v>Total ICBC</v>
      </c>
      <c r="T3" s="13">
        <f>+L7</f>
        <v>0</v>
      </c>
      <c r="U3" s="13">
        <f>+L8+L9</f>
        <v>0</v>
      </c>
      <c r="V3" s="13">
        <f>+L10+L11</f>
        <v>0</v>
      </c>
      <c r="W3" s="13">
        <f>+L14</f>
        <v>0</v>
      </c>
      <c r="X3" s="13">
        <f>+L12</f>
        <v>0</v>
      </c>
    </row>
    <row r="4" spans="1:41" x14ac:dyDescent="0.25">
      <c r="A4" s="14"/>
      <c r="B4" s="15"/>
      <c r="C4" s="16" t="s">
        <v>55</v>
      </c>
      <c r="D4" s="17"/>
      <c r="E4" s="18"/>
      <c r="F4" s="18"/>
      <c r="G4" s="19" t="s">
        <v>56</v>
      </c>
      <c r="H4" s="20" t="str">
        <f>+G4</f>
        <v>Mnt</v>
      </c>
      <c r="I4" s="20" t="str">
        <f t="shared" si="0"/>
        <v>Mnt</v>
      </c>
      <c r="J4" s="20" t="str">
        <f t="shared" si="0"/>
        <v>Mnt</v>
      </c>
      <c r="K4" s="20" t="str">
        <f t="shared" si="0"/>
        <v>Mnt</v>
      </c>
      <c r="L4" s="20" t="str">
        <f t="shared" si="0"/>
        <v>Mnt</v>
      </c>
      <c r="M4" s="20" t="str">
        <f t="shared" si="0"/>
        <v>Mnt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0</v>
      </c>
      <c r="H7" s="31">
        <f t="shared" ref="H7:L7" si="1">SUM(H8:H11)</f>
        <v>0</v>
      </c>
      <c r="I7" s="31">
        <f t="shared" si="1"/>
        <v>0</v>
      </c>
      <c r="J7" s="31">
        <f t="shared" si="1"/>
        <v>0</v>
      </c>
      <c r="K7" s="31">
        <f t="shared" si="1"/>
        <v>0</v>
      </c>
      <c r="L7" s="31">
        <f t="shared" si="1"/>
        <v>0</v>
      </c>
      <c r="M7" s="31" t="e">
        <f>ROUND((L7/$E$1),0)</f>
        <v>#DIV/0!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0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0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>SUM(G8:K8)</f>
        <v>0</v>
      </c>
      <c r="M8" s="35" t="e">
        <f t="shared" ref="M8:M16" si="3">ROUND((L8/$E$1),0)</f>
        <v>#DIV/0!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0</v>
      </c>
      <c r="H9" s="35">
        <f t="shared" si="4"/>
        <v>0</v>
      </c>
      <c r="I9" s="35">
        <f t="shared" si="4"/>
        <v>0</v>
      </c>
      <c r="J9" s="35">
        <f t="shared" si="4"/>
        <v>0</v>
      </c>
      <c r="K9" s="35">
        <f t="shared" si="4"/>
        <v>0</v>
      </c>
      <c r="L9" s="35">
        <f t="shared" ref="L9:L16" si="5">SUM(G9:K9)</f>
        <v>0</v>
      </c>
      <c r="M9" s="35" t="e">
        <f t="shared" si="3"/>
        <v>#DIV/0!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0</v>
      </c>
      <c r="H10" s="35">
        <f t="shared" si="4"/>
        <v>0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5"/>
        <v>0</v>
      </c>
      <c r="M10" s="35" t="e">
        <f t="shared" si="3"/>
        <v>#DIV/0!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0</v>
      </c>
      <c r="H11" s="31">
        <f t="shared" si="4"/>
        <v>0</v>
      </c>
      <c r="I11" s="31">
        <f t="shared" si="4"/>
        <v>0</v>
      </c>
      <c r="J11" s="31">
        <f t="shared" si="4"/>
        <v>0</v>
      </c>
      <c r="K11" s="31">
        <f t="shared" si="4"/>
        <v>0</v>
      </c>
      <c r="L11" s="31">
        <f t="shared" si="5"/>
        <v>0</v>
      </c>
      <c r="M11" s="31" t="e">
        <f t="shared" si="3"/>
        <v>#DIV/0!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0</v>
      </c>
      <c r="H12" s="35">
        <f t="shared" si="4"/>
        <v>0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5"/>
        <v>0</v>
      </c>
      <c r="M12" s="35" t="e">
        <f t="shared" si="3"/>
        <v>#DIV/0!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 t="e">
        <f t="shared" si="3"/>
        <v>#DIV/0!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0</v>
      </c>
      <c r="H14" s="35">
        <f t="shared" si="4"/>
        <v>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35">
        <f t="shared" si="5"/>
        <v>0</v>
      </c>
      <c r="M14" s="35" t="e">
        <f t="shared" si="3"/>
        <v>#DIV/0!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0</v>
      </c>
      <c r="H15" s="35">
        <f t="shared" si="4"/>
        <v>0</v>
      </c>
      <c r="I15" s="35">
        <f t="shared" si="4"/>
        <v>0</v>
      </c>
      <c r="J15" s="35">
        <f t="shared" si="4"/>
        <v>0</v>
      </c>
      <c r="K15" s="35">
        <f t="shared" si="4"/>
        <v>0</v>
      </c>
      <c r="L15" s="35">
        <f t="shared" si="5"/>
        <v>0</v>
      </c>
      <c r="M15" s="35" t="e">
        <f t="shared" si="3"/>
        <v>#DIV/0!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 t="e">
        <f t="shared" si="3"/>
        <v>#DIV/0!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 t="str">
        <f>+$G$3</f>
        <v>Year</v>
      </c>
      <c r="H19" s="10" t="str">
        <f>+G19</f>
        <v>Year</v>
      </c>
      <c r="I19" s="10" t="str">
        <f t="shared" ref="I19:M20" si="6">+H19</f>
        <v>Year</v>
      </c>
      <c r="J19" s="10" t="str">
        <f t="shared" si="6"/>
        <v>Year</v>
      </c>
      <c r="K19" s="10" t="str">
        <f t="shared" si="6"/>
        <v>Year</v>
      </c>
      <c r="L19" s="10" t="str">
        <f t="shared" si="6"/>
        <v>Year</v>
      </c>
      <c r="M19" s="10" t="str">
        <f t="shared" si="6"/>
        <v>Year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0</v>
      </c>
      <c r="U19" s="13">
        <f>+L24+L25</f>
        <v>0</v>
      </c>
      <c r="V19" s="13">
        <f>+L26+L27</f>
        <v>0</v>
      </c>
      <c r="W19" s="13">
        <f>+L30</f>
        <v>0</v>
      </c>
      <c r="X19" s="13">
        <f>+L28</f>
        <v>0</v>
      </c>
    </row>
    <row r="20" spans="1:24" x14ac:dyDescent="0.25">
      <c r="A20" s="14"/>
      <c r="B20" s="15"/>
      <c r="C20" s="41" t="str">
        <f>+$C4</f>
        <v>Month Year</v>
      </c>
      <c r="D20" s="18"/>
      <c r="E20" s="18"/>
      <c r="F20" s="18"/>
      <c r="G20" s="20" t="str">
        <f>+$G$4</f>
        <v>Mnt</v>
      </c>
      <c r="H20" s="20" t="str">
        <f>+G20</f>
        <v>Mnt</v>
      </c>
      <c r="I20" s="20" t="str">
        <f t="shared" si="6"/>
        <v>Mnt</v>
      </c>
      <c r="J20" s="20" t="str">
        <f t="shared" si="6"/>
        <v>Mnt</v>
      </c>
      <c r="K20" s="20" t="str">
        <f t="shared" si="6"/>
        <v>Mnt</v>
      </c>
      <c r="L20" s="20" t="str">
        <f t="shared" si="6"/>
        <v>Mnt</v>
      </c>
      <c r="M20" s="20" t="str">
        <f t="shared" si="6"/>
        <v>Mnt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0</v>
      </c>
      <c r="H21" s="25">
        <f>+$H$5</f>
        <v>0</v>
      </c>
      <c r="I21" s="25">
        <f>+$I$5</f>
        <v>0</v>
      </c>
      <c r="J21" s="25">
        <f>+$J$5</f>
        <v>0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0</v>
      </c>
      <c r="H23" s="31">
        <f t="shared" ref="H23:L23" si="7">SUM(H24:H27)</f>
        <v>0</v>
      </c>
      <c r="I23" s="31">
        <f t="shared" si="7"/>
        <v>0</v>
      </c>
      <c r="J23" s="31">
        <f t="shared" si="7"/>
        <v>0</v>
      </c>
      <c r="K23" s="31">
        <f t="shared" si="7"/>
        <v>0</v>
      </c>
      <c r="L23" s="31">
        <f t="shared" si="7"/>
        <v>0</v>
      </c>
      <c r="M23" s="31" t="e">
        <f>ROUND((L23/$E$1),0)</f>
        <v>#DIV/0!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/>
      <c r="H24" s="42"/>
      <c r="I24" s="42"/>
      <c r="J24" s="42"/>
      <c r="K24" s="42"/>
      <c r="L24" s="35">
        <f>SUM(G24:K24)</f>
        <v>0</v>
      </c>
      <c r="M24" s="35" t="e">
        <f t="shared" ref="M24:M32" si="8">ROUND((L24/$E$1),0)</f>
        <v>#DIV/0!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/>
      <c r="H25" s="42"/>
      <c r="I25" s="42"/>
      <c r="J25" s="42"/>
      <c r="K25" s="42"/>
      <c r="L25" s="35">
        <f t="shared" ref="L25:L32" si="9">SUM(G25:K25)</f>
        <v>0</v>
      </c>
      <c r="M25" s="35" t="e">
        <f t="shared" si="8"/>
        <v>#DIV/0!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/>
      <c r="H26" s="42"/>
      <c r="I26" s="42"/>
      <c r="J26" s="42"/>
      <c r="K26" s="42"/>
      <c r="L26" s="35">
        <f t="shared" si="9"/>
        <v>0</v>
      </c>
      <c r="M26" s="35" t="e">
        <f t="shared" si="8"/>
        <v>#DIV/0!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/>
      <c r="H27" s="43"/>
      <c r="I27" s="43"/>
      <c r="J27" s="43"/>
      <c r="K27" s="43"/>
      <c r="L27" s="31">
        <f t="shared" si="9"/>
        <v>0</v>
      </c>
      <c r="M27" s="31" t="e">
        <f t="shared" si="8"/>
        <v>#DIV/0!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 t="e">
        <f t="shared" si="8"/>
        <v>#DIV/0!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 t="e">
        <f t="shared" si="8"/>
        <v>#DIV/0!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/>
      <c r="H30" s="42"/>
      <c r="I30" s="42"/>
      <c r="J30" s="42"/>
      <c r="K30" s="42"/>
      <c r="L30" s="35">
        <f t="shared" si="9"/>
        <v>0</v>
      </c>
      <c r="M30" s="35" t="e">
        <f t="shared" si="8"/>
        <v>#DIV/0!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 t="e">
        <f t="shared" si="8"/>
        <v>#DIV/0!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 t="e">
        <f t="shared" si="8"/>
        <v>#DIV/0!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 t="str">
        <f>+$G$3</f>
        <v>Year</v>
      </c>
      <c r="H35" s="10" t="str">
        <f>+G35</f>
        <v>Year</v>
      </c>
      <c r="I35" s="10" t="str">
        <f t="shared" ref="I35:M36" si="10">+H35</f>
        <v>Year</v>
      </c>
      <c r="J35" s="10" t="str">
        <f t="shared" si="10"/>
        <v>Year</v>
      </c>
      <c r="K35" s="10" t="str">
        <f t="shared" si="10"/>
        <v>Year</v>
      </c>
      <c r="L35" s="10" t="str">
        <f t="shared" si="10"/>
        <v>Year</v>
      </c>
      <c r="M35" s="10" t="str">
        <f t="shared" si="10"/>
        <v>Year</v>
      </c>
      <c r="N35" s="11"/>
      <c r="O35" s="44"/>
      <c r="P35" s="44"/>
      <c r="Q35" s="44"/>
      <c r="S35" s="12" t="str">
        <f>+C35</f>
        <v>Ngwenya</v>
      </c>
      <c r="T35" s="13">
        <f>+L39</f>
        <v>0</v>
      </c>
      <c r="U35" s="13">
        <f>+L40+L41</f>
        <v>0</v>
      </c>
      <c r="V35" s="13">
        <f>+L42+L43</f>
        <v>0</v>
      </c>
      <c r="W35" s="13">
        <f>+L46</f>
        <v>0</v>
      </c>
      <c r="X35" s="13">
        <f>+L44</f>
        <v>0</v>
      </c>
    </row>
    <row r="36" spans="1:24" x14ac:dyDescent="0.25">
      <c r="A36" s="14"/>
      <c r="B36" s="15"/>
      <c r="C36" s="41" t="str">
        <f>+$C20</f>
        <v>Month Year</v>
      </c>
      <c r="D36" s="18"/>
      <c r="E36" s="18"/>
      <c r="F36" s="18"/>
      <c r="G36" s="20" t="str">
        <f>+$G$4</f>
        <v>Mnt</v>
      </c>
      <c r="H36" s="20" t="str">
        <f>+G36</f>
        <v>Mnt</v>
      </c>
      <c r="I36" s="20" t="str">
        <f t="shared" si="10"/>
        <v>Mnt</v>
      </c>
      <c r="J36" s="20" t="str">
        <f t="shared" si="10"/>
        <v>Mnt</v>
      </c>
      <c r="K36" s="20" t="str">
        <f t="shared" si="10"/>
        <v>Mnt</v>
      </c>
      <c r="L36" s="20" t="str">
        <f t="shared" si="10"/>
        <v>Mnt</v>
      </c>
      <c r="M36" s="20" t="str">
        <f t="shared" si="10"/>
        <v>Mnt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0</v>
      </c>
      <c r="H37" s="25">
        <f>+$H$5</f>
        <v>0</v>
      </c>
      <c r="I37" s="25">
        <f>+$I$5</f>
        <v>0</v>
      </c>
      <c r="J37" s="25">
        <f>+$J$5</f>
        <v>0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0</v>
      </c>
      <c r="H39" s="31">
        <f t="shared" ref="H39:L39" si="11">SUM(H40:H43)</f>
        <v>0</v>
      </c>
      <c r="I39" s="31">
        <f t="shared" si="11"/>
        <v>0</v>
      </c>
      <c r="J39" s="31">
        <f t="shared" si="11"/>
        <v>0</v>
      </c>
      <c r="K39" s="31">
        <f t="shared" si="11"/>
        <v>0</v>
      </c>
      <c r="L39" s="31">
        <f t="shared" si="11"/>
        <v>0</v>
      </c>
      <c r="M39" s="31" t="e">
        <f>ROUND((L39/$E$1),0)</f>
        <v>#DIV/0!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/>
      <c r="H40" s="42"/>
      <c r="I40" s="42"/>
      <c r="J40" s="42"/>
      <c r="K40" s="42"/>
      <c r="L40" s="35">
        <f>SUM(G40:K40)</f>
        <v>0</v>
      </c>
      <c r="M40" s="35" t="e">
        <f t="shared" ref="M40:M48" si="12">ROUND((L40/$E$1),0)</f>
        <v>#DIV/0!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/>
      <c r="H41" s="42"/>
      <c r="I41" s="42"/>
      <c r="J41" s="42"/>
      <c r="K41" s="42"/>
      <c r="L41" s="35">
        <f t="shared" ref="L41:L48" si="13">SUM(G41:K41)</f>
        <v>0</v>
      </c>
      <c r="M41" s="35" t="e">
        <f t="shared" si="12"/>
        <v>#DIV/0!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/>
      <c r="H42" s="42"/>
      <c r="I42" s="42"/>
      <c r="J42" s="42"/>
      <c r="K42" s="42"/>
      <c r="L42" s="35">
        <f t="shared" si="13"/>
        <v>0</v>
      </c>
      <c r="M42" s="35" t="e">
        <f t="shared" si="12"/>
        <v>#DIV/0!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/>
      <c r="H43" s="43"/>
      <c r="I43" s="43"/>
      <c r="J43" s="43"/>
      <c r="K43" s="43"/>
      <c r="L43" s="31">
        <f t="shared" si="13"/>
        <v>0</v>
      </c>
      <c r="M43" s="31" t="e">
        <f t="shared" si="12"/>
        <v>#DIV/0!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/>
      <c r="I44" s="42"/>
      <c r="J44" s="42"/>
      <c r="K44" s="42"/>
      <c r="L44" s="35">
        <f t="shared" si="13"/>
        <v>0</v>
      </c>
      <c r="M44" s="35" t="e">
        <f t="shared" si="12"/>
        <v>#DIV/0!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 t="e">
        <f t="shared" si="12"/>
        <v>#DIV/0!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/>
      <c r="H46" s="42"/>
      <c r="I46" s="42"/>
      <c r="J46" s="42"/>
      <c r="K46" s="42"/>
      <c r="L46" s="35">
        <f t="shared" si="13"/>
        <v>0</v>
      </c>
      <c r="M46" s="35" t="e">
        <f t="shared" si="12"/>
        <v>#DIV/0!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/>
      <c r="H47" s="42"/>
      <c r="I47" s="42"/>
      <c r="J47" s="42"/>
      <c r="K47" s="42"/>
      <c r="L47" s="35">
        <f t="shared" si="13"/>
        <v>0</v>
      </c>
      <c r="M47" s="35" t="e">
        <f t="shared" si="12"/>
        <v>#DIV/0!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 t="e">
        <f t="shared" si="12"/>
        <v>#DIV/0!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 t="str">
        <f>+$G$3</f>
        <v>Year</v>
      </c>
      <c r="H51" s="10" t="str">
        <f>+G51</f>
        <v>Year</v>
      </c>
      <c r="I51" s="10" t="str">
        <f t="shared" ref="I51:M52" si="14">+H51</f>
        <v>Year</v>
      </c>
      <c r="J51" s="10" t="str">
        <f t="shared" si="14"/>
        <v>Year</v>
      </c>
      <c r="K51" s="10" t="str">
        <f t="shared" si="14"/>
        <v>Year</v>
      </c>
      <c r="L51" s="10" t="str">
        <f t="shared" si="14"/>
        <v>Year</v>
      </c>
      <c r="M51" s="10" t="str">
        <f t="shared" si="14"/>
        <v>Year</v>
      </c>
      <c r="N51" s="11"/>
      <c r="O51" s="44"/>
      <c r="P51" s="44"/>
      <c r="Q51" s="44"/>
      <c r="S51" s="12" t="str">
        <f>+C51</f>
        <v>Lavumisa</v>
      </c>
      <c r="T51" s="13">
        <f>+L55</f>
        <v>0</v>
      </c>
      <c r="U51" s="13">
        <f>+L56+L57</f>
        <v>0</v>
      </c>
      <c r="V51" s="13">
        <f>+L58+L59</f>
        <v>0</v>
      </c>
      <c r="W51" s="13">
        <f>+L62</f>
        <v>0</v>
      </c>
      <c r="X51" s="13">
        <f>+L60</f>
        <v>0</v>
      </c>
    </row>
    <row r="52" spans="1:24" x14ac:dyDescent="0.25">
      <c r="A52" s="14"/>
      <c r="B52" s="15"/>
      <c r="C52" s="41" t="str">
        <f>+$C36</f>
        <v>Month Year</v>
      </c>
      <c r="D52" s="18"/>
      <c r="E52" s="18"/>
      <c r="F52" s="18"/>
      <c r="G52" s="20" t="str">
        <f>+$G$4</f>
        <v>Mnt</v>
      </c>
      <c r="H52" s="20" t="str">
        <f>+G52</f>
        <v>Mnt</v>
      </c>
      <c r="I52" s="20" t="str">
        <f t="shared" si="14"/>
        <v>Mnt</v>
      </c>
      <c r="J52" s="20" t="str">
        <f t="shared" si="14"/>
        <v>Mnt</v>
      </c>
      <c r="K52" s="20" t="str">
        <f t="shared" si="14"/>
        <v>Mnt</v>
      </c>
      <c r="L52" s="20" t="str">
        <f t="shared" si="14"/>
        <v>Mnt</v>
      </c>
      <c r="M52" s="20" t="str">
        <f t="shared" si="14"/>
        <v>Mnt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0</v>
      </c>
      <c r="H53" s="25">
        <f>+$H$5</f>
        <v>0</v>
      </c>
      <c r="I53" s="25">
        <f>+$I$5</f>
        <v>0</v>
      </c>
      <c r="J53" s="25">
        <f>+$J$5</f>
        <v>0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0</v>
      </c>
      <c r="H55" s="31">
        <f t="shared" ref="H55:L55" si="15">SUM(H56:H59)</f>
        <v>0</v>
      </c>
      <c r="I55" s="31">
        <f t="shared" si="15"/>
        <v>0</v>
      </c>
      <c r="J55" s="31">
        <f t="shared" si="15"/>
        <v>0</v>
      </c>
      <c r="K55" s="31">
        <f t="shared" si="15"/>
        <v>0</v>
      </c>
      <c r="L55" s="31">
        <f t="shared" si="15"/>
        <v>0</v>
      </c>
      <c r="M55" s="31" t="e">
        <f>ROUND((L55/$E$1),0)</f>
        <v>#DIV/0!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/>
      <c r="H56" s="42"/>
      <c r="I56" s="42"/>
      <c r="J56" s="42"/>
      <c r="K56" s="42"/>
      <c r="L56" s="35">
        <f>SUM(G56:K56)</f>
        <v>0</v>
      </c>
      <c r="M56" s="35" t="e">
        <f t="shared" ref="M56:M64" si="16">ROUND((L56/$E$1),0)</f>
        <v>#DIV/0!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/>
      <c r="H57" s="42"/>
      <c r="I57" s="42"/>
      <c r="J57" s="42"/>
      <c r="K57" s="42"/>
      <c r="L57" s="35">
        <f t="shared" ref="L57:L64" si="17">SUM(G57:K57)</f>
        <v>0</v>
      </c>
      <c r="M57" s="35" t="e">
        <f t="shared" si="16"/>
        <v>#DIV/0!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/>
      <c r="H58" s="42"/>
      <c r="I58" s="42"/>
      <c r="J58" s="42"/>
      <c r="K58" s="42"/>
      <c r="L58" s="35">
        <f t="shared" si="17"/>
        <v>0</v>
      </c>
      <c r="M58" s="35" t="e">
        <f t="shared" si="16"/>
        <v>#DIV/0!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/>
      <c r="H59" s="43"/>
      <c r="I59" s="43"/>
      <c r="J59" s="43"/>
      <c r="K59" s="43"/>
      <c r="L59" s="31">
        <f t="shared" si="17"/>
        <v>0</v>
      </c>
      <c r="M59" s="31" t="e">
        <f t="shared" si="16"/>
        <v>#DIV/0!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 t="e">
        <f t="shared" si="16"/>
        <v>#DIV/0!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 t="e">
        <f t="shared" si="16"/>
        <v>#DIV/0!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/>
      <c r="H62" s="42"/>
      <c r="I62" s="42"/>
      <c r="J62" s="42"/>
      <c r="K62" s="42"/>
      <c r="L62" s="35">
        <f t="shared" si="17"/>
        <v>0</v>
      </c>
      <c r="M62" s="35" t="e">
        <f t="shared" si="16"/>
        <v>#DIV/0!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 t="e">
        <f t="shared" si="16"/>
        <v>#DIV/0!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 t="e">
        <f t="shared" si="16"/>
        <v>#DIV/0!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 t="str">
        <f>+$G$3</f>
        <v>Year</v>
      </c>
      <c r="H67" s="10" t="str">
        <f>+G67</f>
        <v>Year</v>
      </c>
      <c r="I67" s="10" t="str">
        <f t="shared" ref="I67:M68" si="18">+H67</f>
        <v>Year</v>
      </c>
      <c r="J67" s="10" t="str">
        <f t="shared" si="18"/>
        <v>Year</v>
      </c>
      <c r="K67" s="10" t="str">
        <f t="shared" si="18"/>
        <v>Year</v>
      </c>
      <c r="L67" s="10" t="str">
        <f t="shared" si="18"/>
        <v>Year</v>
      </c>
      <c r="M67" s="10" t="str">
        <f t="shared" si="18"/>
        <v>Year</v>
      </c>
      <c r="N67" s="11"/>
      <c r="O67" s="44"/>
      <c r="P67" s="44"/>
      <c r="Q67" s="44"/>
      <c r="S67" s="12" t="str">
        <f>+C67</f>
        <v>Engcamini</v>
      </c>
      <c r="T67" s="13">
        <f>+L71</f>
        <v>0</v>
      </c>
      <c r="U67" s="13">
        <f>+L72+L73</f>
        <v>0</v>
      </c>
      <c r="V67" s="13">
        <f>+L74+L75</f>
        <v>0</v>
      </c>
      <c r="W67" s="13">
        <f>+L78</f>
        <v>0</v>
      </c>
      <c r="X67" s="13">
        <f>+L76</f>
        <v>0</v>
      </c>
    </row>
    <row r="68" spans="1:24" x14ac:dyDescent="0.25">
      <c r="A68" s="14"/>
      <c r="B68" s="15"/>
      <c r="C68" s="41" t="str">
        <f>+$C52</f>
        <v>Month Year</v>
      </c>
      <c r="D68" s="18"/>
      <c r="E68" s="18"/>
      <c r="F68" s="18"/>
      <c r="G68" s="20" t="str">
        <f>+$G$4</f>
        <v>Mnt</v>
      </c>
      <c r="H68" s="20" t="str">
        <f>+G68</f>
        <v>Mnt</v>
      </c>
      <c r="I68" s="20" t="str">
        <f t="shared" si="18"/>
        <v>Mnt</v>
      </c>
      <c r="J68" s="20" t="str">
        <f t="shared" si="18"/>
        <v>Mnt</v>
      </c>
      <c r="K68" s="20" t="str">
        <f t="shared" si="18"/>
        <v>Mnt</v>
      </c>
      <c r="L68" s="20" t="str">
        <f t="shared" si="18"/>
        <v>Mnt</v>
      </c>
      <c r="M68" s="20" t="str">
        <f t="shared" si="18"/>
        <v>Mnt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0</v>
      </c>
      <c r="H69" s="25">
        <f>+$H$5</f>
        <v>0</v>
      </c>
      <c r="I69" s="25">
        <f>+$I$5</f>
        <v>0</v>
      </c>
      <c r="J69" s="25">
        <f>+$J$5</f>
        <v>0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0</v>
      </c>
      <c r="H71" s="31">
        <f t="shared" ref="H71:L71" si="19">SUM(H72:H75)</f>
        <v>0</v>
      </c>
      <c r="I71" s="31">
        <f t="shared" si="19"/>
        <v>0</v>
      </c>
      <c r="J71" s="31">
        <f t="shared" si="19"/>
        <v>0</v>
      </c>
      <c r="K71" s="31">
        <f t="shared" si="19"/>
        <v>0</v>
      </c>
      <c r="L71" s="31">
        <f t="shared" si="19"/>
        <v>0</v>
      </c>
      <c r="M71" s="31" t="e">
        <f>ROUND((L71/$E$1),0)</f>
        <v>#DIV/0!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/>
      <c r="H72" s="42"/>
      <c r="I72" s="42"/>
      <c r="J72" s="42"/>
      <c r="K72" s="42"/>
      <c r="L72" s="35">
        <f>SUM(G72:K72)</f>
        <v>0</v>
      </c>
      <c r="M72" s="35" t="e">
        <f t="shared" ref="M72:M80" si="20">ROUND((L72/$E$1),0)</f>
        <v>#DIV/0!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/>
      <c r="H73" s="42"/>
      <c r="I73" s="42"/>
      <c r="J73" s="42"/>
      <c r="K73" s="42"/>
      <c r="L73" s="35">
        <f t="shared" ref="L73:L80" si="21">SUM(G73:K73)</f>
        <v>0</v>
      </c>
      <c r="M73" s="35" t="e">
        <f t="shared" si="20"/>
        <v>#DIV/0!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/>
      <c r="H74" s="42"/>
      <c r="I74" s="42"/>
      <c r="J74" s="42"/>
      <c r="K74" s="42"/>
      <c r="L74" s="35">
        <f t="shared" si="21"/>
        <v>0</v>
      </c>
      <c r="M74" s="35" t="e">
        <f t="shared" si="20"/>
        <v>#DIV/0!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/>
      <c r="H75" s="43"/>
      <c r="I75" s="43"/>
      <c r="J75" s="43"/>
      <c r="K75" s="43"/>
      <c r="L75" s="31">
        <f t="shared" si="21"/>
        <v>0</v>
      </c>
      <c r="M75" s="31" t="e">
        <f t="shared" si="20"/>
        <v>#DIV/0!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/>
      <c r="H76" s="42"/>
      <c r="I76" s="42"/>
      <c r="J76" s="42"/>
      <c r="K76" s="42"/>
      <c r="L76" s="35">
        <f t="shared" si="21"/>
        <v>0</v>
      </c>
      <c r="M76" s="35" t="e">
        <f t="shared" si="20"/>
        <v>#DIV/0!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 t="e">
        <f t="shared" si="20"/>
        <v>#DIV/0!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/>
      <c r="H78" s="42"/>
      <c r="I78" s="42"/>
      <c r="J78" s="42"/>
      <c r="K78" s="42"/>
      <c r="L78" s="35">
        <f t="shared" si="21"/>
        <v>0</v>
      </c>
      <c r="M78" s="35" t="e">
        <f t="shared" si="20"/>
        <v>#DIV/0!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/>
      <c r="H79" s="42"/>
      <c r="I79" s="42"/>
      <c r="J79" s="42"/>
      <c r="K79" s="42"/>
      <c r="L79" s="35">
        <f t="shared" si="21"/>
        <v>0</v>
      </c>
      <c r="M79" s="35" t="e">
        <f t="shared" si="20"/>
        <v>#DIV/0!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 t="e">
        <f t="shared" si="20"/>
        <v>#DIV/0!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 t="str">
        <f>+$G$3</f>
        <v>Year</v>
      </c>
      <c r="H83" s="10" t="str">
        <f>+G83</f>
        <v>Year</v>
      </c>
      <c r="I83" s="10" t="str">
        <f t="shared" ref="I83:M84" si="22">+H83</f>
        <v>Year</v>
      </c>
      <c r="J83" s="10" t="str">
        <f t="shared" si="22"/>
        <v>Year</v>
      </c>
      <c r="K83" s="10" t="str">
        <f t="shared" si="22"/>
        <v>Year</v>
      </c>
      <c r="L83" s="10" t="str">
        <f t="shared" si="22"/>
        <v>Year</v>
      </c>
      <c r="M83" s="10" t="str">
        <f t="shared" si="22"/>
        <v>Year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Month Year</v>
      </c>
      <c r="D84" s="18"/>
      <c r="E84" s="18"/>
      <c r="F84" s="18"/>
      <c r="G84" s="20" t="str">
        <f>+$G$4</f>
        <v>Mnt</v>
      </c>
      <c r="H84" s="20" t="str">
        <f>+G84</f>
        <v>Mnt</v>
      </c>
      <c r="I84" s="20" t="str">
        <f t="shared" si="22"/>
        <v>Mnt</v>
      </c>
      <c r="J84" s="20" t="str">
        <f t="shared" si="22"/>
        <v>Mnt</v>
      </c>
      <c r="K84" s="20" t="str">
        <f t="shared" si="22"/>
        <v>Mnt</v>
      </c>
      <c r="L84" s="20" t="str">
        <f t="shared" si="22"/>
        <v>Mnt</v>
      </c>
      <c r="M84" s="20" t="str">
        <f t="shared" si="22"/>
        <v>Mnt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0</v>
      </c>
      <c r="H85" s="25">
        <f>+$H$5</f>
        <v>0</v>
      </c>
      <c r="I85" s="25">
        <f>+$I$5</f>
        <v>0</v>
      </c>
      <c r="J85" s="25">
        <f>+$J$5</f>
        <v>0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 t="e">
        <f>ROUND((L87/$E$1),0)</f>
        <v>#DIV/0!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 t="e">
        <f t="shared" ref="M88:M96" si="24">ROUND((L88/$E$1),0)</f>
        <v>#DIV/0!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 t="e">
        <f t="shared" si="24"/>
        <v>#DIV/0!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 t="e">
        <f t="shared" si="24"/>
        <v>#DIV/0!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 t="e">
        <f t="shared" si="24"/>
        <v>#DIV/0!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 t="e">
        <f t="shared" si="24"/>
        <v>#DIV/0!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 t="e">
        <f t="shared" si="24"/>
        <v>#DIV/0!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 t="e">
        <f t="shared" si="24"/>
        <v>#DIV/0!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 t="e">
        <f t="shared" si="24"/>
        <v>#DIV/0!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 t="e">
        <f t="shared" si="24"/>
        <v>#DIV/0!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 t="str">
        <f>+$G$3</f>
        <v>Year</v>
      </c>
      <c r="H99" s="10" t="str">
        <f>+G99</f>
        <v>Year</v>
      </c>
      <c r="I99" s="10" t="str">
        <f t="shared" ref="I99:M100" si="26">+H99</f>
        <v>Year</v>
      </c>
      <c r="J99" s="10" t="str">
        <f t="shared" si="26"/>
        <v>Year</v>
      </c>
      <c r="K99" s="10" t="str">
        <f t="shared" si="26"/>
        <v>Year</v>
      </c>
      <c r="L99" s="10" t="str">
        <f t="shared" si="26"/>
        <v>Year</v>
      </c>
      <c r="M99" s="10" t="str">
        <f t="shared" si="26"/>
        <v>Year</v>
      </c>
      <c r="N99" s="11"/>
      <c r="O99" s="44"/>
      <c r="P99" s="44"/>
      <c r="Q99" s="44"/>
      <c r="S99" s="12" t="str">
        <f>+C99</f>
        <v>Ngwempisi</v>
      </c>
      <c r="T99" s="13">
        <f>+L103</f>
        <v>0</v>
      </c>
      <c r="U99" s="13">
        <f>+L104+L105</f>
        <v>0</v>
      </c>
      <c r="V99" s="13">
        <f>+L106+L107</f>
        <v>0</v>
      </c>
      <c r="W99" s="13">
        <f>+L110</f>
        <v>0</v>
      </c>
      <c r="X99" s="13">
        <f>+L108</f>
        <v>0</v>
      </c>
    </row>
    <row r="100" spans="1:24" x14ac:dyDescent="0.25">
      <c r="A100" s="14"/>
      <c r="B100" s="15"/>
      <c r="C100" s="41" t="str">
        <f>+$C84</f>
        <v>Month Year</v>
      </c>
      <c r="D100" s="18"/>
      <c r="E100" s="18"/>
      <c r="F100" s="18"/>
      <c r="G100" s="20" t="str">
        <f>+$G$4</f>
        <v>Mnt</v>
      </c>
      <c r="H100" s="20" t="str">
        <f>+G100</f>
        <v>Mnt</v>
      </c>
      <c r="I100" s="20" t="str">
        <f t="shared" si="26"/>
        <v>Mnt</v>
      </c>
      <c r="J100" s="20" t="str">
        <f t="shared" si="26"/>
        <v>Mnt</v>
      </c>
      <c r="K100" s="20" t="str">
        <f t="shared" si="26"/>
        <v>Mnt</v>
      </c>
      <c r="L100" s="20" t="str">
        <f t="shared" si="26"/>
        <v>Mnt</v>
      </c>
      <c r="M100" s="20" t="str">
        <f t="shared" si="26"/>
        <v>Mnt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0</v>
      </c>
      <c r="H101" s="25">
        <f>+$H$5</f>
        <v>0</v>
      </c>
      <c r="I101" s="25">
        <f>+$I$5</f>
        <v>0</v>
      </c>
      <c r="J101" s="25">
        <f>+$J$5</f>
        <v>0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0</v>
      </c>
      <c r="H103" s="31">
        <f t="shared" ref="H103:L103" si="27">SUM(H104:H107)</f>
        <v>0</v>
      </c>
      <c r="I103" s="31">
        <f t="shared" si="27"/>
        <v>0</v>
      </c>
      <c r="J103" s="31">
        <f t="shared" si="27"/>
        <v>0</v>
      </c>
      <c r="K103" s="31">
        <f t="shared" si="27"/>
        <v>0</v>
      </c>
      <c r="L103" s="31">
        <f t="shared" si="27"/>
        <v>0</v>
      </c>
      <c r="M103" s="31" t="e">
        <f>ROUND((L103/$E$1),0)</f>
        <v>#DIV/0!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/>
      <c r="H104" s="42"/>
      <c r="I104" s="42"/>
      <c r="J104" s="42"/>
      <c r="K104" s="42"/>
      <c r="L104" s="35">
        <f>SUM(G104:K104)</f>
        <v>0</v>
      </c>
      <c r="M104" s="35" t="e">
        <f t="shared" ref="M104:M112" si="28">ROUND((L104/$E$1),0)</f>
        <v>#DIV/0!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/>
      <c r="H105" s="42"/>
      <c r="I105" s="42"/>
      <c r="J105" s="42"/>
      <c r="K105" s="42"/>
      <c r="L105" s="35">
        <f t="shared" ref="L105:L112" si="29">SUM(G105:K105)</f>
        <v>0</v>
      </c>
      <c r="M105" s="35" t="e">
        <f t="shared" si="28"/>
        <v>#DIV/0!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/>
      <c r="H106" s="42"/>
      <c r="I106" s="42"/>
      <c r="J106" s="42"/>
      <c r="K106" s="42"/>
      <c r="L106" s="35">
        <f t="shared" si="29"/>
        <v>0</v>
      </c>
      <c r="M106" s="35" t="e">
        <f t="shared" si="28"/>
        <v>#DIV/0!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/>
      <c r="H107" s="43"/>
      <c r="I107" s="43"/>
      <c r="J107" s="43"/>
      <c r="K107" s="43"/>
      <c r="L107" s="31">
        <f t="shared" si="29"/>
        <v>0</v>
      </c>
      <c r="M107" s="31" t="e">
        <f t="shared" si="28"/>
        <v>#DIV/0!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 t="e">
        <f t="shared" si="28"/>
        <v>#DIV/0!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 t="e">
        <f t="shared" si="28"/>
        <v>#DIV/0!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/>
      <c r="H110" s="42"/>
      <c r="I110" s="42"/>
      <c r="J110" s="42"/>
      <c r="K110" s="42"/>
      <c r="L110" s="35">
        <f t="shared" si="29"/>
        <v>0</v>
      </c>
      <c r="M110" s="35" t="e">
        <f t="shared" si="28"/>
        <v>#DIV/0!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 t="e">
        <f t="shared" si="28"/>
        <v>#DIV/0!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 t="e">
        <f t="shared" si="28"/>
        <v>#DIV/0!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 t="str">
        <f>+$G$3</f>
        <v>Year</v>
      </c>
      <c r="H115" s="10" t="str">
        <f>+G115</f>
        <v>Year</v>
      </c>
      <c r="I115" s="10" t="str">
        <f t="shared" ref="I115:M116" si="30">+H115</f>
        <v>Year</v>
      </c>
      <c r="J115" s="10" t="str">
        <f t="shared" si="30"/>
        <v>Year</v>
      </c>
      <c r="K115" s="10" t="str">
        <f t="shared" si="30"/>
        <v>Year</v>
      </c>
      <c r="L115" s="10" t="str">
        <f t="shared" si="30"/>
        <v>Year</v>
      </c>
      <c r="M115" s="10" t="str">
        <f t="shared" si="30"/>
        <v>Year</v>
      </c>
      <c r="N115" s="11"/>
      <c r="O115" s="44"/>
      <c r="P115" s="44"/>
      <c r="Q115" s="44"/>
      <c r="S115" s="12" t="str">
        <f>+C115</f>
        <v>Gebeni</v>
      </c>
      <c r="T115" s="13">
        <f>+L119</f>
        <v>0</v>
      </c>
      <c r="U115" s="13">
        <f>+L120+L121</f>
        <v>0</v>
      </c>
      <c r="V115" s="13">
        <f>+L122+L123</f>
        <v>0</v>
      </c>
      <c r="W115" s="13">
        <f>+L126</f>
        <v>0</v>
      </c>
      <c r="X115" s="13">
        <f>+L124</f>
        <v>0</v>
      </c>
    </row>
    <row r="116" spans="1:24" x14ac:dyDescent="0.25">
      <c r="A116" s="14"/>
      <c r="B116" s="15"/>
      <c r="C116" s="41" t="str">
        <f>+$C100</f>
        <v>Month Year</v>
      </c>
      <c r="D116" s="18"/>
      <c r="E116" s="18"/>
      <c r="F116" s="18"/>
      <c r="G116" s="20" t="str">
        <f>+$G$4</f>
        <v>Mnt</v>
      </c>
      <c r="H116" s="20" t="str">
        <f>+G116</f>
        <v>Mnt</v>
      </c>
      <c r="I116" s="20" t="str">
        <f t="shared" si="30"/>
        <v>Mnt</v>
      </c>
      <c r="J116" s="20" t="str">
        <f t="shared" si="30"/>
        <v>Mnt</v>
      </c>
      <c r="K116" s="20" t="str">
        <f t="shared" si="30"/>
        <v>Mnt</v>
      </c>
      <c r="L116" s="20" t="str">
        <f t="shared" si="30"/>
        <v>Mnt</v>
      </c>
      <c r="M116" s="20" t="str">
        <f t="shared" si="30"/>
        <v>Mnt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0</v>
      </c>
      <c r="H117" s="25">
        <f>+$H$5</f>
        <v>0</v>
      </c>
      <c r="I117" s="25">
        <f>+$I$5</f>
        <v>0</v>
      </c>
      <c r="J117" s="25">
        <f>+$J$5</f>
        <v>0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0</v>
      </c>
      <c r="H119" s="31">
        <f t="shared" ref="H119:L119" si="31">SUM(H120:H123)</f>
        <v>0</v>
      </c>
      <c r="I119" s="31">
        <f t="shared" si="31"/>
        <v>0</v>
      </c>
      <c r="J119" s="31">
        <f t="shared" si="31"/>
        <v>0</v>
      </c>
      <c r="K119" s="31">
        <f t="shared" si="31"/>
        <v>0</v>
      </c>
      <c r="L119" s="31">
        <f t="shared" si="31"/>
        <v>0</v>
      </c>
      <c r="M119" s="31" t="e">
        <f>ROUND((L119/$E$1),0)</f>
        <v>#DIV/0!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/>
      <c r="H120" s="42"/>
      <c r="I120" s="42"/>
      <c r="J120" s="42"/>
      <c r="K120" s="42"/>
      <c r="L120" s="35">
        <f>SUM(G120:K120)</f>
        <v>0</v>
      </c>
      <c r="M120" s="35" t="e">
        <f t="shared" ref="M120:M128" si="32">ROUND((L120/$E$1),0)</f>
        <v>#DIV/0!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/>
      <c r="H121" s="42"/>
      <c r="I121" s="42"/>
      <c r="J121" s="42"/>
      <c r="K121" s="42"/>
      <c r="L121" s="35">
        <f t="shared" ref="L121:L128" si="33">SUM(G121:K121)</f>
        <v>0</v>
      </c>
      <c r="M121" s="35" t="e">
        <f t="shared" si="32"/>
        <v>#DIV/0!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/>
      <c r="H122" s="42"/>
      <c r="I122" s="42"/>
      <c r="J122" s="42"/>
      <c r="K122" s="42"/>
      <c r="L122" s="35">
        <f t="shared" si="33"/>
        <v>0</v>
      </c>
      <c r="M122" s="35" t="e">
        <f t="shared" si="32"/>
        <v>#DIV/0!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/>
      <c r="H123" s="43"/>
      <c r="I123" s="43"/>
      <c r="J123" s="43"/>
      <c r="K123" s="43"/>
      <c r="L123" s="31">
        <f t="shared" si="33"/>
        <v>0</v>
      </c>
      <c r="M123" s="31" t="e">
        <f t="shared" si="32"/>
        <v>#DIV/0!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/>
      <c r="H124" s="42"/>
      <c r="I124" s="42"/>
      <c r="J124" s="42"/>
      <c r="K124" s="42"/>
      <c r="L124" s="35">
        <f t="shared" si="33"/>
        <v>0</v>
      </c>
      <c r="M124" s="35" t="e">
        <f t="shared" si="32"/>
        <v>#DIV/0!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 t="e">
        <f t="shared" si="32"/>
        <v>#DIV/0!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/>
      <c r="H126" s="42"/>
      <c r="I126" s="42"/>
      <c r="J126" s="42"/>
      <c r="K126" s="42"/>
      <c r="L126" s="35">
        <f t="shared" si="33"/>
        <v>0</v>
      </c>
      <c r="M126" s="35" t="e">
        <f t="shared" si="32"/>
        <v>#DIV/0!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/>
      <c r="H127" s="42"/>
      <c r="I127" s="42"/>
      <c r="J127" s="42"/>
      <c r="K127" s="42"/>
      <c r="L127" s="35">
        <f t="shared" si="33"/>
        <v>0</v>
      </c>
      <c r="M127" s="35" t="e">
        <f t="shared" si="32"/>
        <v>#DIV/0!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 t="e">
        <f t="shared" si="32"/>
        <v>#DIV/0!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 t="str">
        <f>+$G$3</f>
        <v>Year</v>
      </c>
      <c r="H131" s="10" t="str">
        <f>+G131</f>
        <v>Year</v>
      </c>
      <c r="I131" s="10" t="str">
        <f t="shared" ref="I131:M132" si="34">+H131</f>
        <v>Year</v>
      </c>
      <c r="J131" s="10" t="str">
        <f t="shared" si="34"/>
        <v>Year</v>
      </c>
      <c r="K131" s="10" t="str">
        <f t="shared" si="34"/>
        <v>Year</v>
      </c>
      <c r="L131" s="10" t="str">
        <f t="shared" si="34"/>
        <v>Year</v>
      </c>
      <c r="M131" s="10" t="str">
        <f t="shared" si="34"/>
        <v>Year</v>
      </c>
      <c r="N131" s="11"/>
      <c r="O131" s="44"/>
      <c r="P131" s="44"/>
      <c r="Q131" s="44"/>
      <c r="S131" s="12" t="str">
        <f>+C131</f>
        <v>Mpolonjeni CLC</v>
      </c>
      <c r="T131" s="13">
        <f>+L135</f>
        <v>0</v>
      </c>
      <c r="U131" s="13">
        <f>+L136+L137</f>
        <v>0</v>
      </c>
      <c r="V131" s="13">
        <f>+L138+L139</f>
        <v>0</v>
      </c>
      <c r="W131" s="13">
        <f>+L142</f>
        <v>0</v>
      </c>
      <c r="X131" s="13">
        <f>+L140</f>
        <v>0</v>
      </c>
    </row>
    <row r="132" spans="1:24" x14ac:dyDescent="0.25">
      <c r="A132" s="14"/>
      <c r="B132" s="15"/>
      <c r="C132" s="41" t="str">
        <f>+$C116</f>
        <v>Month Year</v>
      </c>
      <c r="D132" s="18"/>
      <c r="E132" s="18"/>
      <c r="F132" s="18"/>
      <c r="G132" s="20" t="str">
        <f>+$G$4</f>
        <v>Mnt</v>
      </c>
      <c r="H132" s="20" t="str">
        <f>+G132</f>
        <v>Mnt</v>
      </c>
      <c r="I132" s="20" t="str">
        <f t="shared" si="34"/>
        <v>Mnt</v>
      </c>
      <c r="J132" s="20" t="str">
        <f t="shared" si="34"/>
        <v>Mnt</v>
      </c>
      <c r="K132" s="20" t="str">
        <f t="shared" si="34"/>
        <v>Mnt</v>
      </c>
      <c r="L132" s="20" t="str">
        <f t="shared" si="34"/>
        <v>Mnt</v>
      </c>
      <c r="M132" s="20" t="str">
        <f t="shared" si="34"/>
        <v>Mnt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0</v>
      </c>
      <c r="H133" s="25">
        <f>+$H$5</f>
        <v>0</v>
      </c>
      <c r="I133" s="25">
        <f>+$I$5</f>
        <v>0</v>
      </c>
      <c r="J133" s="25">
        <f>+$J$5</f>
        <v>0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0</v>
      </c>
      <c r="H135" s="31">
        <f t="shared" ref="H135:L135" si="35">SUM(H136:H139)</f>
        <v>0</v>
      </c>
      <c r="I135" s="31">
        <f t="shared" si="35"/>
        <v>0</v>
      </c>
      <c r="J135" s="31">
        <f t="shared" si="35"/>
        <v>0</v>
      </c>
      <c r="K135" s="31">
        <f t="shared" si="35"/>
        <v>0</v>
      </c>
      <c r="L135" s="31">
        <f t="shared" si="35"/>
        <v>0</v>
      </c>
      <c r="M135" s="31" t="e">
        <f>ROUND((L135/$E$1),0)</f>
        <v>#DIV/0!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/>
      <c r="H136" s="42"/>
      <c r="I136" s="42"/>
      <c r="J136" s="42"/>
      <c r="K136" s="42"/>
      <c r="L136" s="35">
        <f>SUM(G136:K136)</f>
        <v>0</v>
      </c>
      <c r="M136" s="35" t="e">
        <f t="shared" ref="M136:M144" si="36">ROUND((L136/$E$1),0)</f>
        <v>#DIV/0!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/>
      <c r="H137" s="42"/>
      <c r="I137" s="42"/>
      <c r="J137" s="42"/>
      <c r="K137" s="42"/>
      <c r="L137" s="35">
        <f t="shared" ref="L137:L144" si="37">SUM(G137:K137)</f>
        <v>0</v>
      </c>
      <c r="M137" s="35" t="e">
        <f t="shared" si="36"/>
        <v>#DIV/0!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/>
      <c r="H138" s="42"/>
      <c r="I138" s="42"/>
      <c r="J138" s="42"/>
      <c r="K138" s="42"/>
      <c r="L138" s="35">
        <f t="shared" si="37"/>
        <v>0</v>
      </c>
      <c r="M138" s="35" t="e">
        <f t="shared" si="36"/>
        <v>#DIV/0!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/>
      <c r="H139" s="43"/>
      <c r="I139" s="43"/>
      <c r="J139" s="43"/>
      <c r="K139" s="43"/>
      <c r="L139" s="31">
        <f t="shared" si="37"/>
        <v>0</v>
      </c>
      <c r="M139" s="31" t="e">
        <f t="shared" si="36"/>
        <v>#DIV/0!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 t="e">
        <f t="shared" si="36"/>
        <v>#DIV/0!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 t="e">
        <f t="shared" si="36"/>
        <v>#DIV/0!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/>
      <c r="I142" s="42"/>
      <c r="J142" s="42"/>
      <c r="K142" s="42"/>
      <c r="L142" s="35">
        <f t="shared" si="37"/>
        <v>0</v>
      </c>
      <c r="M142" s="35" t="e">
        <f t="shared" si="36"/>
        <v>#DIV/0!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/>
      <c r="H143" s="42"/>
      <c r="I143" s="42"/>
      <c r="J143" s="42"/>
      <c r="K143" s="42"/>
      <c r="L143" s="35">
        <f t="shared" si="37"/>
        <v>0</v>
      </c>
      <c r="M143" s="35" t="e">
        <f t="shared" si="36"/>
        <v>#DIV/0!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 t="e">
        <f t="shared" si="36"/>
        <v>#DIV/0!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 t="str">
        <f>+$G$3</f>
        <v>Year</v>
      </c>
      <c r="H147" s="10" t="str">
        <f>+G147</f>
        <v>Year</v>
      </c>
      <c r="I147" s="10" t="str">
        <f t="shared" ref="I147:M148" si="38">+H147</f>
        <v>Year</v>
      </c>
      <c r="J147" s="10" t="str">
        <f t="shared" si="38"/>
        <v>Year</v>
      </c>
      <c r="K147" s="10" t="str">
        <f t="shared" si="38"/>
        <v>Year</v>
      </c>
      <c r="L147" s="10" t="str">
        <f t="shared" si="38"/>
        <v>Year</v>
      </c>
      <c r="M147" s="10" t="str">
        <f t="shared" si="38"/>
        <v>Year</v>
      </c>
      <c r="N147" s="11"/>
      <c r="O147" s="44"/>
      <c r="P147" s="44"/>
      <c r="Q147" s="44"/>
      <c r="S147" s="12" t="str">
        <f>+C147</f>
        <v>Msahweni CLC</v>
      </c>
      <c r="T147" s="13">
        <f>+L151</f>
        <v>0</v>
      </c>
      <c r="U147" s="13">
        <f>+L152+L153</f>
        <v>0</v>
      </c>
      <c r="V147" s="13">
        <f>+L154+L155</f>
        <v>0</v>
      </c>
      <c r="W147" s="13">
        <f>+L158</f>
        <v>0</v>
      </c>
      <c r="X147" s="13">
        <f>+L156</f>
        <v>0</v>
      </c>
    </row>
    <row r="148" spans="1:24" x14ac:dyDescent="0.25">
      <c r="A148" s="14"/>
      <c r="B148" s="15"/>
      <c r="C148" s="41" t="str">
        <f>+$C132</f>
        <v>Month Year</v>
      </c>
      <c r="D148" s="18"/>
      <c r="E148" s="18"/>
      <c r="F148" s="18"/>
      <c r="G148" s="20" t="str">
        <f>+$G$4</f>
        <v>Mnt</v>
      </c>
      <c r="H148" s="20" t="str">
        <f>+G148</f>
        <v>Mnt</v>
      </c>
      <c r="I148" s="20" t="str">
        <f t="shared" si="38"/>
        <v>Mnt</v>
      </c>
      <c r="J148" s="20" t="str">
        <f t="shared" si="38"/>
        <v>Mnt</v>
      </c>
      <c r="K148" s="20" t="str">
        <f t="shared" si="38"/>
        <v>Mnt</v>
      </c>
      <c r="L148" s="20" t="str">
        <f t="shared" si="38"/>
        <v>Mnt</v>
      </c>
      <c r="M148" s="20" t="str">
        <f t="shared" si="38"/>
        <v>Mnt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0</v>
      </c>
      <c r="H149" s="25">
        <f>+$H$5</f>
        <v>0</v>
      </c>
      <c r="I149" s="25">
        <f>+$I$5</f>
        <v>0</v>
      </c>
      <c r="J149" s="25">
        <f>+$J$5</f>
        <v>0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0</v>
      </c>
      <c r="H151" s="31">
        <f t="shared" ref="H151:L151" si="39">SUM(H152:H155)</f>
        <v>0</v>
      </c>
      <c r="I151" s="31">
        <f t="shared" si="39"/>
        <v>0</v>
      </c>
      <c r="J151" s="31">
        <f t="shared" si="39"/>
        <v>0</v>
      </c>
      <c r="K151" s="31">
        <f t="shared" si="39"/>
        <v>0</v>
      </c>
      <c r="L151" s="31">
        <f t="shared" si="39"/>
        <v>0</v>
      </c>
      <c r="M151" s="31" t="e">
        <f>ROUND((L151/$E$1),0)</f>
        <v>#DIV/0!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/>
      <c r="H152" s="42"/>
      <c r="I152" s="42"/>
      <c r="J152" s="42"/>
      <c r="K152" s="42"/>
      <c r="L152" s="35">
        <f>SUM(G152:K152)</f>
        <v>0</v>
      </c>
      <c r="M152" s="35" t="e">
        <f t="shared" ref="M152:M160" si="40">ROUND((L152/$E$1),0)</f>
        <v>#DIV/0!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/>
      <c r="H153" s="42"/>
      <c r="I153" s="42"/>
      <c r="J153" s="42"/>
      <c r="K153" s="42"/>
      <c r="L153" s="35">
        <f t="shared" ref="L153:L160" si="41">SUM(G153:K153)</f>
        <v>0</v>
      </c>
      <c r="M153" s="35" t="e">
        <f t="shared" si="40"/>
        <v>#DIV/0!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/>
      <c r="H154" s="42"/>
      <c r="I154" s="42"/>
      <c r="J154" s="42"/>
      <c r="K154" s="42"/>
      <c r="L154" s="35">
        <f t="shared" si="41"/>
        <v>0</v>
      </c>
      <c r="M154" s="35" t="e">
        <f t="shared" si="40"/>
        <v>#DIV/0!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/>
      <c r="H155" s="43"/>
      <c r="I155" s="43"/>
      <c r="J155" s="43"/>
      <c r="K155" s="43"/>
      <c r="L155" s="31">
        <f t="shared" si="41"/>
        <v>0</v>
      </c>
      <c r="M155" s="31" t="e">
        <f t="shared" si="40"/>
        <v>#DIV/0!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/>
      <c r="K156" s="42"/>
      <c r="L156" s="35">
        <f t="shared" si="41"/>
        <v>0</v>
      </c>
      <c r="M156" s="35" t="e">
        <f t="shared" si="40"/>
        <v>#DIV/0!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 t="e">
        <f t="shared" si="40"/>
        <v>#DIV/0!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/>
      <c r="H158" s="42"/>
      <c r="I158" s="42"/>
      <c r="J158" s="42"/>
      <c r="K158" s="42"/>
      <c r="L158" s="35">
        <f t="shared" si="41"/>
        <v>0</v>
      </c>
      <c r="M158" s="35" t="e">
        <f t="shared" si="40"/>
        <v>#DIV/0!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/>
      <c r="H159" s="42"/>
      <c r="I159" s="42"/>
      <c r="J159" s="42"/>
      <c r="K159" s="42"/>
      <c r="L159" s="35">
        <f t="shared" si="41"/>
        <v>0</v>
      </c>
      <c r="M159" s="35" t="e">
        <f t="shared" si="40"/>
        <v>#DIV/0!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 t="e">
        <f t="shared" si="40"/>
        <v>#DIV/0!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 t="str">
        <f>+$G$3</f>
        <v>Year</v>
      </c>
      <c r="H163" s="10" t="str">
        <f>+G163</f>
        <v>Year</v>
      </c>
      <c r="I163" s="10" t="str">
        <f t="shared" ref="I163:M164" si="42">+H163</f>
        <v>Year</v>
      </c>
      <c r="J163" s="10" t="str">
        <f t="shared" si="42"/>
        <v>Year</v>
      </c>
      <c r="K163" s="10" t="str">
        <f t="shared" si="42"/>
        <v>Year</v>
      </c>
      <c r="L163" s="10" t="str">
        <f t="shared" si="42"/>
        <v>Year</v>
      </c>
      <c r="M163" s="10" t="str">
        <f t="shared" si="42"/>
        <v>Year</v>
      </c>
      <c r="N163" s="11"/>
      <c r="O163" s="44"/>
      <c r="P163" s="44"/>
      <c r="Q163" s="44"/>
      <c r="S163" s="12" t="str">
        <f>+C163</f>
        <v>Mhlangatane</v>
      </c>
      <c r="T163" s="13">
        <f>+L167</f>
        <v>0</v>
      </c>
      <c r="U163" s="13">
        <f>+L168+L169</f>
        <v>0</v>
      </c>
      <c r="V163" s="13">
        <f>+L170+L171</f>
        <v>0</v>
      </c>
      <c r="W163" s="13">
        <f>+L174</f>
        <v>0</v>
      </c>
      <c r="X163" s="13">
        <f>+L172</f>
        <v>0</v>
      </c>
    </row>
    <row r="164" spans="1:24" x14ac:dyDescent="0.25">
      <c r="A164" s="14"/>
      <c r="B164" s="15"/>
      <c r="C164" s="41" t="str">
        <f>+$C148</f>
        <v>Month Year</v>
      </c>
      <c r="D164" s="18"/>
      <c r="E164" s="18"/>
      <c r="F164" s="18"/>
      <c r="G164" s="20" t="str">
        <f>+$G$4</f>
        <v>Mnt</v>
      </c>
      <c r="H164" s="20" t="str">
        <f>+G164</f>
        <v>Mnt</v>
      </c>
      <c r="I164" s="20" t="str">
        <f t="shared" si="42"/>
        <v>Mnt</v>
      </c>
      <c r="J164" s="20" t="str">
        <f t="shared" si="42"/>
        <v>Mnt</v>
      </c>
      <c r="K164" s="20" t="str">
        <f t="shared" si="42"/>
        <v>Mnt</v>
      </c>
      <c r="L164" s="20" t="str">
        <f t="shared" si="42"/>
        <v>Mnt</v>
      </c>
      <c r="M164" s="20" t="str">
        <f t="shared" si="42"/>
        <v>Mnt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0</v>
      </c>
      <c r="H165" s="25">
        <f>+$H$5</f>
        <v>0</v>
      </c>
      <c r="I165" s="25">
        <f>+$I$5</f>
        <v>0</v>
      </c>
      <c r="J165" s="25">
        <f>+$J$5</f>
        <v>0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0</v>
      </c>
      <c r="H167" s="31">
        <f t="shared" ref="H167:L167" si="43">SUM(H168:H171)</f>
        <v>0</v>
      </c>
      <c r="I167" s="31">
        <f t="shared" si="43"/>
        <v>0</v>
      </c>
      <c r="J167" s="31">
        <f t="shared" si="43"/>
        <v>0</v>
      </c>
      <c r="K167" s="31">
        <f t="shared" si="43"/>
        <v>0</v>
      </c>
      <c r="L167" s="31">
        <f t="shared" si="43"/>
        <v>0</v>
      </c>
      <c r="M167" s="31" t="e">
        <f>ROUND((L167/$E$1),0)</f>
        <v>#DIV/0!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/>
      <c r="H168" s="42"/>
      <c r="I168" s="42"/>
      <c r="J168" s="42"/>
      <c r="K168" s="42"/>
      <c r="L168" s="35">
        <f>SUM(G168:K168)</f>
        <v>0</v>
      </c>
      <c r="M168" s="35" t="e">
        <f t="shared" ref="M168:M176" si="44">ROUND((L168/$E$1),0)</f>
        <v>#DIV/0!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/>
      <c r="H169" s="42"/>
      <c r="I169" s="42"/>
      <c r="J169" s="42"/>
      <c r="K169" s="42"/>
      <c r="L169" s="35">
        <f t="shared" ref="L169:L176" si="45">SUM(G169:K169)</f>
        <v>0</v>
      </c>
      <c r="M169" s="35" t="e">
        <f t="shared" si="44"/>
        <v>#DIV/0!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/>
      <c r="H170" s="42"/>
      <c r="I170" s="42"/>
      <c r="J170" s="42"/>
      <c r="K170" s="42"/>
      <c r="L170" s="35">
        <f t="shared" si="45"/>
        <v>0</v>
      </c>
      <c r="M170" s="35" t="e">
        <f t="shared" si="44"/>
        <v>#DIV/0!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/>
      <c r="H171" s="43"/>
      <c r="I171" s="43"/>
      <c r="J171" s="43"/>
      <c r="K171" s="43"/>
      <c r="L171" s="31">
        <f t="shared" si="45"/>
        <v>0</v>
      </c>
      <c r="M171" s="31" t="e">
        <f t="shared" si="44"/>
        <v>#DIV/0!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 t="e">
        <f t="shared" si="44"/>
        <v>#DIV/0!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 t="e">
        <f t="shared" si="44"/>
        <v>#DIV/0!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/>
      <c r="H174" s="42"/>
      <c r="I174" s="42"/>
      <c r="J174" s="42"/>
      <c r="K174" s="42"/>
      <c r="L174" s="35">
        <f t="shared" si="45"/>
        <v>0</v>
      </c>
      <c r="M174" s="35" t="e">
        <f t="shared" si="44"/>
        <v>#DIV/0!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/>
      <c r="H175" s="42"/>
      <c r="I175" s="42"/>
      <c r="J175" s="42"/>
      <c r="K175" s="42"/>
      <c r="L175" s="35">
        <f t="shared" si="45"/>
        <v>0</v>
      </c>
      <c r="M175" s="35" t="e">
        <f t="shared" si="44"/>
        <v>#DIV/0!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 t="e">
        <f t="shared" si="44"/>
        <v>#DIV/0!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 t="str">
        <f>+$G$3</f>
        <v>Year</v>
      </c>
      <c r="H179" s="10" t="str">
        <f>+G179</f>
        <v>Year</v>
      </c>
      <c r="I179" s="10" t="str">
        <f t="shared" ref="I179:M180" si="46">+H179</f>
        <v>Year</v>
      </c>
      <c r="J179" s="10" t="str">
        <f t="shared" si="46"/>
        <v>Year</v>
      </c>
      <c r="K179" s="10" t="str">
        <f t="shared" si="46"/>
        <v>Year</v>
      </c>
      <c r="L179" s="10" t="str">
        <f t="shared" si="46"/>
        <v>Year</v>
      </c>
      <c r="M179" s="10" t="str">
        <f t="shared" si="46"/>
        <v>Year</v>
      </c>
      <c r="N179" s="11"/>
      <c r="O179" s="44"/>
      <c r="P179" s="44"/>
      <c r="Q179" s="44"/>
      <c r="S179" s="12" t="str">
        <f>+C179</f>
        <v>Tibane</v>
      </c>
      <c r="T179" s="13">
        <f>+L183</f>
        <v>0</v>
      </c>
      <c r="U179" s="13">
        <f>+L184+L185</f>
        <v>0</v>
      </c>
      <c r="V179" s="13">
        <f>+L186+L187</f>
        <v>0</v>
      </c>
      <c r="W179" s="13">
        <f>+L190</f>
        <v>0</v>
      </c>
      <c r="X179" s="13">
        <f>+L188</f>
        <v>0</v>
      </c>
    </row>
    <row r="180" spans="1:24" x14ac:dyDescent="0.25">
      <c r="A180" s="14"/>
      <c r="B180" s="15"/>
      <c r="C180" s="41" t="str">
        <f>+$C164</f>
        <v>Month Year</v>
      </c>
      <c r="D180" s="18"/>
      <c r="E180" s="18"/>
      <c r="F180" s="18"/>
      <c r="G180" s="20" t="str">
        <f>+$G$4</f>
        <v>Mnt</v>
      </c>
      <c r="H180" s="20" t="str">
        <f>+G180</f>
        <v>Mnt</v>
      </c>
      <c r="I180" s="20" t="str">
        <f t="shared" si="46"/>
        <v>Mnt</v>
      </c>
      <c r="J180" s="20" t="str">
        <f t="shared" si="46"/>
        <v>Mnt</v>
      </c>
      <c r="K180" s="20" t="str">
        <f t="shared" si="46"/>
        <v>Mnt</v>
      </c>
      <c r="L180" s="20" t="str">
        <f t="shared" si="46"/>
        <v>Mnt</v>
      </c>
      <c r="M180" s="20" t="str">
        <f t="shared" si="46"/>
        <v>Mnt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0</v>
      </c>
      <c r="H181" s="25">
        <f>+$H$5</f>
        <v>0</v>
      </c>
      <c r="I181" s="25">
        <f>+$I$5</f>
        <v>0</v>
      </c>
      <c r="J181" s="25">
        <f>+$J$5</f>
        <v>0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0</v>
      </c>
      <c r="H183" s="31">
        <f t="shared" ref="H183:L183" si="47">SUM(H184:H187)</f>
        <v>0</v>
      </c>
      <c r="I183" s="31">
        <f t="shared" si="47"/>
        <v>0</v>
      </c>
      <c r="J183" s="31">
        <f t="shared" si="47"/>
        <v>0</v>
      </c>
      <c r="K183" s="31">
        <f t="shared" si="47"/>
        <v>0</v>
      </c>
      <c r="L183" s="31">
        <f t="shared" si="47"/>
        <v>0</v>
      </c>
      <c r="M183" s="31" t="e">
        <f>ROUND((L183/$E$1),0)</f>
        <v>#DIV/0!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/>
      <c r="H184" s="42"/>
      <c r="I184" s="42"/>
      <c r="J184" s="42"/>
      <c r="K184" s="42"/>
      <c r="L184" s="35">
        <f>SUM(G184:K184)</f>
        <v>0</v>
      </c>
      <c r="M184" s="35" t="e">
        <f t="shared" ref="M184:M192" si="48">ROUND((L184/$E$1),0)</f>
        <v>#DIV/0!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/>
      <c r="H185" s="42"/>
      <c r="I185" s="42"/>
      <c r="J185" s="42"/>
      <c r="K185" s="42"/>
      <c r="L185" s="35">
        <f t="shared" ref="L185:L192" si="49">SUM(G185:K185)</f>
        <v>0</v>
      </c>
      <c r="M185" s="35" t="e">
        <f t="shared" si="48"/>
        <v>#DIV/0!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/>
      <c r="H186" s="42"/>
      <c r="I186" s="42"/>
      <c r="J186" s="42"/>
      <c r="K186" s="42"/>
      <c r="L186" s="35">
        <f t="shared" si="49"/>
        <v>0</v>
      </c>
      <c r="M186" s="35" t="e">
        <f t="shared" si="48"/>
        <v>#DIV/0!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/>
      <c r="H187" s="43"/>
      <c r="I187" s="43"/>
      <c r="J187" s="43"/>
      <c r="K187" s="43"/>
      <c r="L187" s="31">
        <f t="shared" si="49"/>
        <v>0</v>
      </c>
      <c r="M187" s="31" t="e">
        <f t="shared" si="48"/>
        <v>#DIV/0!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/>
      <c r="H188" s="42"/>
      <c r="I188" s="42"/>
      <c r="J188" s="42"/>
      <c r="K188" s="42"/>
      <c r="L188" s="35">
        <f t="shared" si="49"/>
        <v>0</v>
      </c>
      <c r="M188" s="35" t="e">
        <f t="shared" si="48"/>
        <v>#DIV/0!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 t="e">
        <f t="shared" si="48"/>
        <v>#DIV/0!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/>
      <c r="H190" s="42"/>
      <c r="I190" s="42"/>
      <c r="J190" s="42"/>
      <c r="K190" s="42"/>
      <c r="L190" s="35">
        <f t="shared" si="49"/>
        <v>0</v>
      </c>
      <c r="M190" s="35" t="e">
        <f t="shared" si="48"/>
        <v>#DIV/0!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/>
      <c r="H191" s="42"/>
      <c r="I191" s="42"/>
      <c r="J191" s="42"/>
      <c r="K191" s="42"/>
      <c r="L191" s="35">
        <f t="shared" si="49"/>
        <v>0</v>
      </c>
      <c r="M191" s="35" t="e">
        <f t="shared" si="48"/>
        <v>#DIV/0!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 t="e">
        <f t="shared" si="48"/>
        <v>#DIV/0!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 t="str">
        <f>+$G$3</f>
        <v>Year</v>
      </c>
      <c r="H195" s="10" t="str">
        <f>+G195</f>
        <v>Year</v>
      </c>
      <c r="I195" s="10" t="str">
        <f t="shared" ref="I195:M196" si="50">+H195</f>
        <v>Year</v>
      </c>
      <c r="J195" s="10" t="str">
        <f t="shared" si="50"/>
        <v>Year</v>
      </c>
      <c r="K195" s="10" t="str">
        <f t="shared" si="50"/>
        <v>Year</v>
      </c>
      <c r="L195" s="10" t="str">
        <f t="shared" si="50"/>
        <v>Year</v>
      </c>
      <c r="M195" s="10" t="str">
        <f t="shared" si="50"/>
        <v>Year</v>
      </c>
      <c r="N195" s="11"/>
      <c r="O195" s="44"/>
      <c r="P195" s="44"/>
      <c r="Q195" s="44"/>
      <c r="S195" s="12" t="str">
        <f>+C195</f>
        <v>Nyathela</v>
      </c>
      <c r="T195" s="13">
        <f>+L199</f>
        <v>0</v>
      </c>
      <c r="U195" s="13">
        <f>+L200+L201</f>
        <v>0</v>
      </c>
      <c r="V195" s="13">
        <f>+L202+L203</f>
        <v>0</v>
      </c>
      <c r="W195" s="13">
        <f>+L206</f>
        <v>0</v>
      </c>
      <c r="X195" s="13">
        <f>+L204</f>
        <v>0</v>
      </c>
    </row>
    <row r="196" spans="1:24" x14ac:dyDescent="0.25">
      <c r="A196" s="14"/>
      <c r="B196" s="15"/>
      <c r="C196" s="41" t="str">
        <f>+$C180</f>
        <v>Month Year</v>
      </c>
      <c r="D196" s="18"/>
      <c r="E196" s="18"/>
      <c r="F196" s="18"/>
      <c r="G196" s="20" t="str">
        <f>+$G$4</f>
        <v>Mnt</v>
      </c>
      <c r="H196" s="20" t="str">
        <f>+G196</f>
        <v>Mnt</v>
      </c>
      <c r="I196" s="20" t="str">
        <f t="shared" si="50"/>
        <v>Mnt</v>
      </c>
      <c r="J196" s="20" t="str">
        <f t="shared" si="50"/>
        <v>Mnt</v>
      </c>
      <c r="K196" s="20" t="str">
        <f t="shared" si="50"/>
        <v>Mnt</v>
      </c>
      <c r="L196" s="20" t="str">
        <f t="shared" si="50"/>
        <v>Mnt</v>
      </c>
      <c r="M196" s="20" t="str">
        <f t="shared" si="50"/>
        <v>Mnt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0</v>
      </c>
      <c r="H197" s="25">
        <f>+$H$5</f>
        <v>0</v>
      </c>
      <c r="I197" s="25">
        <f>+$I$5</f>
        <v>0</v>
      </c>
      <c r="J197" s="25">
        <f>+$J$5</f>
        <v>0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0</v>
      </c>
      <c r="H199" s="31">
        <f t="shared" ref="H199:L199" si="51">SUM(H200:H203)</f>
        <v>0</v>
      </c>
      <c r="I199" s="31">
        <f t="shared" si="51"/>
        <v>0</v>
      </c>
      <c r="J199" s="31">
        <f t="shared" si="51"/>
        <v>0</v>
      </c>
      <c r="K199" s="31">
        <f t="shared" si="51"/>
        <v>0</v>
      </c>
      <c r="L199" s="31">
        <f t="shared" si="51"/>
        <v>0</v>
      </c>
      <c r="M199" s="31" t="e">
        <f>ROUND((L199/$E$1),0)</f>
        <v>#DIV/0!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/>
      <c r="H200" s="42"/>
      <c r="I200" s="42"/>
      <c r="J200" s="42"/>
      <c r="K200" s="42"/>
      <c r="L200" s="35">
        <f>SUM(G200:K200)</f>
        <v>0</v>
      </c>
      <c r="M200" s="35" t="e">
        <f t="shared" ref="M200:M208" si="52">ROUND((L200/$E$1),0)</f>
        <v>#DIV/0!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/>
      <c r="H201" s="42"/>
      <c r="I201" s="42"/>
      <c r="J201" s="42"/>
      <c r="K201" s="42"/>
      <c r="L201" s="35">
        <f t="shared" ref="L201:L208" si="53">SUM(G201:K201)</f>
        <v>0</v>
      </c>
      <c r="M201" s="35" t="e">
        <f t="shared" si="52"/>
        <v>#DIV/0!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/>
      <c r="H202" s="42"/>
      <c r="I202" s="42"/>
      <c r="J202" s="42"/>
      <c r="K202" s="42"/>
      <c r="L202" s="35">
        <f t="shared" si="53"/>
        <v>0</v>
      </c>
      <c r="M202" s="35" t="e">
        <f t="shared" si="52"/>
        <v>#DIV/0!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/>
      <c r="H203" s="43"/>
      <c r="I203" s="43"/>
      <c r="J203" s="43"/>
      <c r="K203" s="43"/>
      <c r="L203" s="31">
        <f t="shared" si="53"/>
        <v>0</v>
      </c>
      <c r="M203" s="31" t="e">
        <f t="shared" si="52"/>
        <v>#DIV/0!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53"/>
        <v>0</v>
      </c>
      <c r="M204" s="35" t="e">
        <f t="shared" si="52"/>
        <v>#DIV/0!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 t="e">
        <f t="shared" si="52"/>
        <v>#DIV/0!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/>
      <c r="H206" s="42"/>
      <c r="I206" s="42"/>
      <c r="J206" s="42"/>
      <c r="K206" s="42"/>
      <c r="L206" s="35">
        <f t="shared" si="53"/>
        <v>0</v>
      </c>
      <c r="M206" s="35" t="e">
        <f t="shared" si="52"/>
        <v>#DIV/0!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/>
      <c r="H207" s="42"/>
      <c r="I207" s="42"/>
      <c r="J207" s="42"/>
      <c r="K207" s="42"/>
      <c r="L207" s="35">
        <f t="shared" si="53"/>
        <v>0</v>
      </c>
      <c r="M207" s="35" t="e">
        <f t="shared" si="52"/>
        <v>#DIV/0!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 t="e">
        <f t="shared" si="52"/>
        <v>#DIV/0!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 t="str">
        <f>+$G$3</f>
        <v>Year</v>
      </c>
      <c r="H211" s="10" t="str">
        <f>+G211</f>
        <v>Year</v>
      </c>
      <c r="I211" s="10" t="str">
        <f t="shared" ref="I211:M212" si="54">+H211</f>
        <v>Year</v>
      </c>
      <c r="J211" s="10" t="str">
        <f t="shared" si="54"/>
        <v>Year</v>
      </c>
      <c r="K211" s="10" t="str">
        <f t="shared" si="54"/>
        <v>Year</v>
      </c>
      <c r="L211" s="10" t="str">
        <f t="shared" si="54"/>
        <v>Year</v>
      </c>
      <c r="M211" s="10" t="str">
        <f t="shared" si="54"/>
        <v>Year</v>
      </c>
      <c r="N211" s="11"/>
      <c r="O211" s="44"/>
      <c r="P211" s="44"/>
      <c r="Q211" s="44"/>
      <c r="S211" s="12" t="str">
        <f>+C211</f>
        <v>Mlindazwe</v>
      </c>
      <c r="T211" s="13">
        <f>+L215</f>
        <v>0</v>
      </c>
      <c r="U211" s="13">
        <f>+L216+L217</f>
        <v>0</v>
      </c>
      <c r="V211" s="13">
        <f>+L218+L219</f>
        <v>0</v>
      </c>
      <c r="W211" s="13">
        <f>+L222</f>
        <v>0</v>
      </c>
      <c r="X211" s="13">
        <f>+L220</f>
        <v>0</v>
      </c>
    </row>
    <row r="212" spans="1:24" x14ac:dyDescent="0.25">
      <c r="A212" s="14"/>
      <c r="B212" s="15"/>
      <c r="C212" s="41" t="str">
        <f>+$C196</f>
        <v>Month Year</v>
      </c>
      <c r="D212" s="18"/>
      <c r="E212" s="18"/>
      <c r="F212" s="18"/>
      <c r="G212" s="20" t="str">
        <f>+$G$4</f>
        <v>Mnt</v>
      </c>
      <c r="H212" s="20" t="str">
        <f>+G212</f>
        <v>Mnt</v>
      </c>
      <c r="I212" s="20" t="str">
        <f t="shared" si="54"/>
        <v>Mnt</v>
      </c>
      <c r="J212" s="20" t="str">
        <f t="shared" si="54"/>
        <v>Mnt</v>
      </c>
      <c r="K212" s="20" t="str">
        <f t="shared" si="54"/>
        <v>Mnt</v>
      </c>
      <c r="L212" s="20" t="str">
        <f t="shared" si="54"/>
        <v>Mnt</v>
      </c>
      <c r="M212" s="20" t="str">
        <f t="shared" si="54"/>
        <v>Mnt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0</v>
      </c>
      <c r="H213" s="25">
        <f>+$H$5</f>
        <v>0</v>
      </c>
      <c r="I213" s="25">
        <f>+$I$5</f>
        <v>0</v>
      </c>
      <c r="J213" s="25">
        <f>+$J$5</f>
        <v>0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0</v>
      </c>
      <c r="H215" s="31">
        <f t="shared" ref="H215:L215" si="55">SUM(H216:H219)</f>
        <v>0</v>
      </c>
      <c r="I215" s="31">
        <f t="shared" si="55"/>
        <v>0</v>
      </c>
      <c r="J215" s="31">
        <f t="shared" si="55"/>
        <v>0</v>
      </c>
      <c r="K215" s="31">
        <f t="shared" si="55"/>
        <v>0</v>
      </c>
      <c r="L215" s="31">
        <f t="shared" si="55"/>
        <v>0</v>
      </c>
      <c r="M215" s="31" t="e">
        <f>ROUND((L215/$E$1),0)</f>
        <v>#DIV/0!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/>
      <c r="H216" s="42"/>
      <c r="I216" s="42"/>
      <c r="J216" s="42"/>
      <c r="K216" s="42"/>
      <c r="L216" s="35">
        <f>SUM(G216:K216)</f>
        <v>0</v>
      </c>
      <c r="M216" s="35" t="e">
        <f t="shared" ref="M216:M224" si="56">ROUND((L216/$E$1),0)</f>
        <v>#DIV/0!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/>
      <c r="H217" s="42"/>
      <c r="I217" s="42"/>
      <c r="J217" s="42"/>
      <c r="K217" s="42"/>
      <c r="L217" s="35">
        <f t="shared" ref="L217:L224" si="57">SUM(G217:K217)</f>
        <v>0</v>
      </c>
      <c r="M217" s="35" t="e">
        <f t="shared" si="56"/>
        <v>#DIV/0!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/>
      <c r="H218" s="42"/>
      <c r="I218" s="42"/>
      <c r="J218" s="42"/>
      <c r="K218" s="42"/>
      <c r="L218" s="35">
        <f t="shared" si="57"/>
        <v>0</v>
      </c>
      <c r="M218" s="35" t="e">
        <f t="shared" si="56"/>
        <v>#DIV/0!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/>
      <c r="H219" s="43"/>
      <c r="I219" s="43"/>
      <c r="J219" s="43"/>
      <c r="K219" s="43"/>
      <c r="L219" s="31">
        <f t="shared" si="57"/>
        <v>0</v>
      </c>
      <c r="M219" s="31" t="e">
        <f t="shared" si="56"/>
        <v>#DIV/0!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 t="e">
        <f t="shared" si="56"/>
        <v>#DIV/0!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 t="e">
        <f t="shared" si="56"/>
        <v>#DIV/0!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/>
      <c r="H222" s="42"/>
      <c r="I222" s="42"/>
      <c r="J222" s="42"/>
      <c r="K222" s="42"/>
      <c r="L222" s="35">
        <f t="shared" si="57"/>
        <v>0</v>
      </c>
      <c r="M222" s="35" t="e">
        <f t="shared" si="56"/>
        <v>#DIV/0!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/>
      <c r="H223" s="42"/>
      <c r="I223" s="42"/>
      <c r="J223" s="42"/>
      <c r="K223" s="42"/>
      <c r="L223" s="35">
        <f t="shared" si="57"/>
        <v>0</v>
      </c>
      <c r="M223" s="35" t="e">
        <f t="shared" si="56"/>
        <v>#DIV/0!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 t="e">
        <f t="shared" si="56"/>
        <v>#DIV/0!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 t="str">
        <f>+$G$3</f>
        <v>Year</v>
      </c>
      <c r="H227" s="10" t="str">
        <f>+G227</f>
        <v>Year</v>
      </c>
      <c r="I227" s="10" t="str">
        <f t="shared" ref="I227:M228" si="58">+H227</f>
        <v>Year</v>
      </c>
      <c r="J227" s="10" t="str">
        <f t="shared" si="58"/>
        <v>Year</v>
      </c>
      <c r="K227" s="10" t="str">
        <f t="shared" si="58"/>
        <v>Year</v>
      </c>
      <c r="L227" s="10" t="str">
        <f t="shared" si="58"/>
        <v>Year</v>
      </c>
      <c r="M227" s="10" t="str">
        <f t="shared" si="58"/>
        <v>Year</v>
      </c>
      <c r="N227" s="11"/>
      <c r="O227" s="44"/>
      <c r="P227" s="44"/>
      <c r="Q227" s="44"/>
      <c r="S227" s="12" t="str">
        <f>+C227</f>
        <v>Lundzi</v>
      </c>
      <c r="T227" s="13">
        <f>+L231</f>
        <v>0</v>
      </c>
      <c r="U227" s="13">
        <f>+L232+L233</f>
        <v>0</v>
      </c>
      <c r="V227" s="13">
        <f>+L234+L235</f>
        <v>0</v>
      </c>
      <c r="W227" s="13">
        <f>+L238</f>
        <v>0</v>
      </c>
      <c r="X227" s="13">
        <f>+L236</f>
        <v>0</v>
      </c>
    </row>
    <row r="228" spans="1:24" x14ac:dyDescent="0.25">
      <c r="A228" s="14"/>
      <c r="B228" s="15"/>
      <c r="C228" s="41" t="str">
        <f>+$C212</f>
        <v>Month Year</v>
      </c>
      <c r="D228" s="18"/>
      <c r="E228" s="18"/>
      <c r="F228" s="18"/>
      <c r="G228" s="20" t="str">
        <f>+$G$4</f>
        <v>Mnt</v>
      </c>
      <c r="H228" s="20" t="str">
        <f>+G228</f>
        <v>Mnt</v>
      </c>
      <c r="I228" s="20" t="str">
        <f t="shared" si="58"/>
        <v>Mnt</v>
      </c>
      <c r="J228" s="20" t="str">
        <f t="shared" si="58"/>
        <v>Mnt</v>
      </c>
      <c r="K228" s="20" t="str">
        <f t="shared" si="58"/>
        <v>Mnt</v>
      </c>
      <c r="L228" s="20" t="str">
        <f t="shared" si="58"/>
        <v>Mnt</v>
      </c>
      <c r="M228" s="20" t="str">
        <f t="shared" si="58"/>
        <v>Mnt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0</v>
      </c>
      <c r="H229" s="25">
        <f>+$H$5</f>
        <v>0</v>
      </c>
      <c r="I229" s="25">
        <f>+$I$5</f>
        <v>0</v>
      </c>
      <c r="J229" s="25">
        <f>+$J$5</f>
        <v>0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0</v>
      </c>
      <c r="H231" s="31">
        <f t="shared" ref="H231:L231" si="59">SUM(H232:H235)</f>
        <v>0</v>
      </c>
      <c r="I231" s="31">
        <f t="shared" si="59"/>
        <v>0</v>
      </c>
      <c r="J231" s="31">
        <f t="shared" si="59"/>
        <v>0</v>
      </c>
      <c r="K231" s="31">
        <f t="shared" si="59"/>
        <v>0</v>
      </c>
      <c r="L231" s="31">
        <f t="shared" si="59"/>
        <v>0</v>
      </c>
      <c r="M231" s="31" t="e">
        <f>ROUND((L231/$E$1),0)</f>
        <v>#DIV/0!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/>
      <c r="H232" s="42"/>
      <c r="I232" s="42"/>
      <c r="J232" s="42"/>
      <c r="K232" s="42"/>
      <c r="L232" s="35">
        <f>SUM(G232:K232)</f>
        <v>0</v>
      </c>
      <c r="M232" s="35" t="e">
        <f t="shared" ref="M232:M240" si="60">ROUND((L232/$E$1),0)</f>
        <v>#DIV/0!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/>
      <c r="H233" s="42"/>
      <c r="I233" s="42"/>
      <c r="J233" s="42"/>
      <c r="K233" s="42"/>
      <c r="L233" s="35">
        <f t="shared" ref="L233:L240" si="61">SUM(G233:K233)</f>
        <v>0</v>
      </c>
      <c r="M233" s="35" t="e">
        <f t="shared" si="60"/>
        <v>#DIV/0!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/>
      <c r="H234" s="42"/>
      <c r="I234" s="42"/>
      <c r="J234" s="42"/>
      <c r="K234" s="42"/>
      <c r="L234" s="35">
        <f t="shared" si="61"/>
        <v>0</v>
      </c>
      <c r="M234" s="35" t="e">
        <f t="shared" si="60"/>
        <v>#DIV/0!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/>
      <c r="H235" s="43"/>
      <c r="I235" s="43"/>
      <c r="J235" s="43"/>
      <c r="K235" s="43"/>
      <c r="L235" s="31">
        <f t="shared" si="61"/>
        <v>0</v>
      </c>
      <c r="M235" s="31" t="e">
        <f t="shared" si="60"/>
        <v>#DIV/0!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/>
      <c r="I236" s="42"/>
      <c r="J236" s="42"/>
      <c r="K236" s="42"/>
      <c r="L236" s="35">
        <f t="shared" si="61"/>
        <v>0</v>
      </c>
      <c r="M236" s="35" t="e">
        <f t="shared" si="60"/>
        <v>#DIV/0!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 t="e">
        <f t="shared" si="60"/>
        <v>#DIV/0!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/>
      <c r="H238" s="42"/>
      <c r="I238" s="42"/>
      <c r="J238" s="42"/>
      <c r="K238" s="42"/>
      <c r="L238" s="35">
        <f t="shared" si="61"/>
        <v>0</v>
      </c>
      <c r="M238" s="35" t="e">
        <f t="shared" si="60"/>
        <v>#DIV/0!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 t="e">
        <f t="shared" si="60"/>
        <v>#DIV/0!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 t="e">
        <f t="shared" si="60"/>
        <v>#DIV/0!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 t="str">
        <f>+$G$3</f>
        <v>Year</v>
      </c>
      <c r="H243" s="10" t="str">
        <f>+G243</f>
        <v>Year</v>
      </c>
      <c r="I243" s="10" t="str">
        <f t="shared" ref="I243:M244" si="62">+H243</f>
        <v>Year</v>
      </c>
      <c r="J243" s="10" t="str">
        <f t="shared" si="62"/>
        <v>Year</v>
      </c>
      <c r="K243" s="10" t="str">
        <f t="shared" si="62"/>
        <v>Year</v>
      </c>
      <c r="L243" s="10" t="str">
        <f t="shared" si="62"/>
        <v>Year</v>
      </c>
      <c r="M243" s="10" t="str">
        <f t="shared" si="62"/>
        <v>Year</v>
      </c>
      <c r="N243" s="11"/>
      <c r="O243" s="44"/>
      <c r="P243" s="44"/>
      <c r="Q243" s="44"/>
      <c r="S243" s="12" t="str">
        <f>+C243</f>
        <v>Esigcaweni</v>
      </c>
      <c r="T243" s="13">
        <f>+L247</f>
        <v>0</v>
      </c>
      <c r="U243" s="13">
        <f>+L248+L249</f>
        <v>0</v>
      </c>
      <c r="V243" s="13">
        <f>+L250+L251</f>
        <v>0</v>
      </c>
      <c r="W243" s="13">
        <f>+L254</f>
        <v>0</v>
      </c>
      <c r="X243" s="13">
        <f>+L252</f>
        <v>0</v>
      </c>
    </row>
    <row r="244" spans="1:24" x14ac:dyDescent="0.25">
      <c r="A244" s="14"/>
      <c r="B244" s="15"/>
      <c r="C244" s="41" t="str">
        <f>+$C228</f>
        <v>Month Year</v>
      </c>
      <c r="D244" s="18"/>
      <c r="E244" s="18"/>
      <c r="F244" s="18"/>
      <c r="G244" s="20" t="str">
        <f>+$G$4</f>
        <v>Mnt</v>
      </c>
      <c r="H244" s="20" t="str">
        <f>+G244</f>
        <v>Mnt</v>
      </c>
      <c r="I244" s="20" t="str">
        <f t="shared" si="62"/>
        <v>Mnt</v>
      </c>
      <c r="J244" s="20" t="str">
        <f t="shared" si="62"/>
        <v>Mnt</v>
      </c>
      <c r="K244" s="20" t="str">
        <f t="shared" si="62"/>
        <v>Mnt</v>
      </c>
      <c r="L244" s="20" t="str">
        <f t="shared" si="62"/>
        <v>Mnt</v>
      </c>
      <c r="M244" s="20" t="str">
        <f t="shared" si="62"/>
        <v>Mnt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0</v>
      </c>
      <c r="H245" s="25">
        <f>+$H$5</f>
        <v>0</v>
      </c>
      <c r="I245" s="25">
        <f>+$I$5</f>
        <v>0</v>
      </c>
      <c r="J245" s="25">
        <f>+$J$5</f>
        <v>0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0</v>
      </c>
      <c r="H247" s="31">
        <f t="shared" ref="H247:L247" si="63">SUM(H248:H251)</f>
        <v>0</v>
      </c>
      <c r="I247" s="31">
        <f t="shared" si="63"/>
        <v>0</v>
      </c>
      <c r="J247" s="31">
        <f t="shared" si="63"/>
        <v>0</v>
      </c>
      <c r="K247" s="31">
        <f t="shared" si="63"/>
        <v>0</v>
      </c>
      <c r="L247" s="31">
        <f t="shared" si="63"/>
        <v>0</v>
      </c>
      <c r="M247" s="31" t="e">
        <f>ROUND((L247/$E$1),0)</f>
        <v>#DIV/0!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/>
      <c r="H248" s="42"/>
      <c r="I248" s="42"/>
      <c r="J248" s="42"/>
      <c r="K248" s="42"/>
      <c r="L248" s="35">
        <f>SUM(G248:K248)</f>
        <v>0</v>
      </c>
      <c r="M248" s="35" t="e">
        <f t="shared" ref="M248:M256" si="64">ROUND((L248/$E$1),0)</f>
        <v>#DIV/0!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/>
      <c r="H249" s="42"/>
      <c r="I249" s="42"/>
      <c r="J249" s="42"/>
      <c r="K249" s="42"/>
      <c r="L249" s="35">
        <f t="shared" ref="L249:L256" si="65">SUM(G249:K249)</f>
        <v>0</v>
      </c>
      <c r="M249" s="35" t="e">
        <f t="shared" si="64"/>
        <v>#DIV/0!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/>
      <c r="H250" s="42"/>
      <c r="I250" s="42"/>
      <c r="J250" s="42"/>
      <c r="K250" s="42"/>
      <c r="L250" s="35">
        <f t="shared" si="65"/>
        <v>0</v>
      </c>
      <c r="M250" s="35" t="e">
        <f t="shared" si="64"/>
        <v>#DIV/0!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/>
      <c r="H251" s="43"/>
      <c r="I251" s="43"/>
      <c r="J251" s="43"/>
      <c r="K251" s="43"/>
      <c r="L251" s="31">
        <f t="shared" si="65"/>
        <v>0</v>
      </c>
      <c r="M251" s="31" t="e">
        <f t="shared" si="64"/>
        <v>#DIV/0!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 t="e">
        <f t="shared" si="64"/>
        <v>#DIV/0!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 t="e">
        <f t="shared" si="64"/>
        <v>#DIV/0!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/>
      <c r="H254" s="42"/>
      <c r="I254" s="42"/>
      <c r="J254" s="42"/>
      <c r="K254" s="42"/>
      <c r="L254" s="35">
        <f t="shared" si="65"/>
        <v>0</v>
      </c>
      <c r="M254" s="35" t="e">
        <f t="shared" si="64"/>
        <v>#DIV/0!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 t="e">
        <f t="shared" si="64"/>
        <v>#DIV/0!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 t="e">
        <f t="shared" si="64"/>
        <v>#DIV/0!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 t="str">
        <f>+$G$3</f>
        <v>Year</v>
      </c>
      <c r="H259" s="10" t="str">
        <f>+G259</f>
        <v>Year</v>
      </c>
      <c r="I259" s="10" t="str">
        <f t="shared" ref="I259:M260" si="66">+H259</f>
        <v>Year</v>
      </c>
      <c r="J259" s="10" t="str">
        <f t="shared" si="66"/>
        <v>Year</v>
      </c>
      <c r="K259" s="10" t="str">
        <f t="shared" si="66"/>
        <v>Year</v>
      </c>
      <c r="L259" s="10" t="str">
        <f t="shared" si="66"/>
        <v>Year</v>
      </c>
      <c r="M259" s="10" t="str">
        <f t="shared" si="66"/>
        <v>Year</v>
      </c>
      <c r="N259" s="11"/>
      <c r="S259" s="12" t="str">
        <f>+C259</f>
        <v>Lonhlalane</v>
      </c>
      <c r="T259" s="13">
        <f>+L263</f>
        <v>0</v>
      </c>
      <c r="U259" s="13">
        <f>+L264+L265</f>
        <v>0</v>
      </c>
      <c r="V259" s="13">
        <f>+L266+L267</f>
        <v>0</v>
      </c>
      <c r="W259" s="13">
        <f>+L270</f>
        <v>0</v>
      </c>
      <c r="X259" s="13">
        <f>+L268</f>
        <v>0</v>
      </c>
    </row>
    <row r="260" spans="1:24" x14ac:dyDescent="0.25">
      <c r="A260" s="14"/>
      <c r="B260" s="15"/>
      <c r="C260" s="41" t="str">
        <f>+$C244</f>
        <v>Month Year</v>
      </c>
      <c r="D260" s="18"/>
      <c r="E260" s="18"/>
      <c r="F260" s="18"/>
      <c r="G260" s="20" t="str">
        <f>+$G$4</f>
        <v>Mnt</v>
      </c>
      <c r="H260" s="20" t="str">
        <f>+G260</f>
        <v>Mnt</v>
      </c>
      <c r="I260" s="20" t="str">
        <f t="shared" si="66"/>
        <v>Mnt</v>
      </c>
      <c r="J260" s="20" t="str">
        <f t="shared" si="66"/>
        <v>Mnt</v>
      </c>
      <c r="K260" s="20" t="str">
        <f t="shared" si="66"/>
        <v>Mnt</v>
      </c>
      <c r="L260" s="20" t="str">
        <f t="shared" si="66"/>
        <v>Mnt</v>
      </c>
      <c r="M260" s="20" t="str">
        <f t="shared" si="66"/>
        <v>Mnt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0</v>
      </c>
      <c r="H261" s="25">
        <f>+$H$5</f>
        <v>0</v>
      </c>
      <c r="I261" s="25">
        <f>+$I$5</f>
        <v>0</v>
      </c>
      <c r="J261" s="25">
        <f>+$J$5</f>
        <v>0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0</v>
      </c>
      <c r="H263" s="31">
        <f t="shared" ref="H263:L263" si="67">SUM(H264:H267)</f>
        <v>0</v>
      </c>
      <c r="I263" s="31">
        <f t="shared" si="67"/>
        <v>0</v>
      </c>
      <c r="J263" s="31">
        <f t="shared" si="67"/>
        <v>0</v>
      </c>
      <c r="K263" s="31">
        <f t="shared" si="67"/>
        <v>0</v>
      </c>
      <c r="L263" s="31">
        <f t="shared" si="67"/>
        <v>0</v>
      </c>
      <c r="M263" s="31" t="e">
        <f>ROUND((L263/$E$1),0)</f>
        <v>#DIV/0!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/>
      <c r="H264" s="42"/>
      <c r="I264" s="42"/>
      <c r="J264" s="42"/>
      <c r="K264" s="42"/>
      <c r="L264" s="35">
        <f>SUM(G264:K264)</f>
        <v>0</v>
      </c>
      <c r="M264" s="35" t="e">
        <f t="shared" ref="M264:M272" si="68">ROUND((L264/$E$1),0)</f>
        <v>#DIV/0!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/>
      <c r="H265" s="42"/>
      <c r="I265" s="42"/>
      <c r="J265" s="42"/>
      <c r="K265" s="42"/>
      <c r="L265" s="35">
        <f t="shared" ref="L265:L272" si="69">SUM(G265:K265)</f>
        <v>0</v>
      </c>
      <c r="M265" s="35" t="e">
        <f t="shared" si="68"/>
        <v>#DIV/0!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/>
      <c r="H266" s="42"/>
      <c r="I266" s="42"/>
      <c r="J266" s="42"/>
      <c r="K266" s="42"/>
      <c r="L266" s="35">
        <f t="shared" si="69"/>
        <v>0</v>
      </c>
      <c r="M266" s="35" t="e">
        <f t="shared" si="68"/>
        <v>#DIV/0!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/>
      <c r="H267" s="43"/>
      <c r="I267" s="43"/>
      <c r="J267" s="43"/>
      <c r="K267" s="43"/>
      <c r="L267" s="31">
        <f t="shared" si="69"/>
        <v>0</v>
      </c>
      <c r="M267" s="31" t="e">
        <f t="shared" si="68"/>
        <v>#DIV/0!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 t="e">
        <f t="shared" si="68"/>
        <v>#DIV/0!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 t="e">
        <f t="shared" si="68"/>
        <v>#DIV/0!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/>
      <c r="J270" s="42"/>
      <c r="K270" s="42"/>
      <c r="L270" s="35">
        <f t="shared" si="69"/>
        <v>0</v>
      </c>
      <c r="M270" s="35" t="e">
        <f t="shared" si="68"/>
        <v>#DIV/0!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/>
      <c r="H271" s="42"/>
      <c r="I271" s="42"/>
      <c r="J271" s="42"/>
      <c r="K271" s="42"/>
      <c r="L271" s="35">
        <f t="shared" si="69"/>
        <v>0</v>
      </c>
      <c r="M271" s="35" t="e">
        <f t="shared" si="68"/>
        <v>#DIV/0!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 t="e">
        <f t="shared" si="68"/>
        <v>#DIV/0!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 t="str">
        <f>+$G$3</f>
        <v>Year</v>
      </c>
      <c r="H275" s="10" t="str">
        <f>+G275</f>
        <v>Year</v>
      </c>
      <c r="I275" s="10" t="str">
        <f t="shared" ref="I275:M276" si="70">+H275</f>
        <v>Year</v>
      </c>
      <c r="J275" s="10" t="str">
        <f t="shared" si="70"/>
        <v>Year</v>
      </c>
      <c r="K275" s="10" t="str">
        <f t="shared" si="70"/>
        <v>Year</v>
      </c>
      <c r="L275" s="10" t="str">
        <f t="shared" si="70"/>
        <v>Year</v>
      </c>
      <c r="M275" s="10" t="str">
        <f t="shared" si="70"/>
        <v>Year</v>
      </c>
      <c r="N275" s="11"/>
      <c r="S275" s="12" t="str">
        <f>+C275</f>
        <v>Zondwako</v>
      </c>
      <c r="T275" s="13">
        <f>+L279</f>
        <v>0</v>
      </c>
      <c r="U275" s="13">
        <f>+L280+L281</f>
        <v>0</v>
      </c>
      <c r="V275" s="13">
        <f>+L282+L283</f>
        <v>0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Month Year</v>
      </c>
      <c r="D276" s="18"/>
      <c r="E276" s="18"/>
      <c r="F276" s="18"/>
      <c r="G276" s="20" t="str">
        <f>+$G$4</f>
        <v>Mnt</v>
      </c>
      <c r="H276" s="20" t="str">
        <f>+G276</f>
        <v>Mnt</v>
      </c>
      <c r="I276" s="20" t="str">
        <f t="shared" si="70"/>
        <v>Mnt</v>
      </c>
      <c r="J276" s="20" t="str">
        <f t="shared" si="70"/>
        <v>Mnt</v>
      </c>
      <c r="K276" s="20" t="str">
        <f t="shared" si="70"/>
        <v>Mnt</v>
      </c>
      <c r="L276" s="20" t="str">
        <f t="shared" si="70"/>
        <v>Mnt</v>
      </c>
      <c r="M276" s="20" t="str">
        <f t="shared" si="70"/>
        <v>Mnt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0</v>
      </c>
      <c r="H277" s="25">
        <f>+$H$5</f>
        <v>0</v>
      </c>
      <c r="I277" s="25">
        <f>+$I$5</f>
        <v>0</v>
      </c>
      <c r="J277" s="25">
        <f>+$J$5</f>
        <v>0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0</v>
      </c>
      <c r="H279" s="31">
        <f t="shared" ref="H279:L279" si="71">SUM(H280:H283)</f>
        <v>0</v>
      </c>
      <c r="I279" s="31">
        <f t="shared" si="71"/>
        <v>0</v>
      </c>
      <c r="J279" s="31">
        <f t="shared" si="71"/>
        <v>0</v>
      </c>
      <c r="K279" s="31">
        <f t="shared" si="71"/>
        <v>0</v>
      </c>
      <c r="L279" s="31">
        <f t="shared" si="71"/>
        <v>0</v>
      </c>
      <c r="M279" s="31" t="e">
        <f>ROUND((L279/$E$1),0)</f>
        <v>#DIV/0!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/>
      <c r="H280" s="42"/>
      <c r="I280" s="42"/>
      <c r="J280" s="42"/>
      <c r="K280" s="42"/>
      <c r="L280" s="35">
        <f>SUM(G280:K280)</f>
        <v>0</v>
      </c>
      <c r="M280" s="35" t="e">
        <f t="shared" ref="M280:M288" si="72">ROUND((L280/$E$1),0)</f>
        <v>#DIV/0!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/>
      <c r="H281" s="42"/>
      <c r="I281" s="42"/>
      <c r="J281" s="42"/>
      <c r="K281" s="42"/>
      <c r="L281" s="35">
        <f t="shared" ref="L281:L288" si="73">SUM(G281:K281)</f>
        <v>0</v>
      </c>
      <c r="M281" s="35" t="e">
        <f t="shared" si="72"/>
        <v>#DIV/0!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/>
      <c r="H282" s="42"/>
      <c r="I282" s="42"/>
      <c r="J282" s="42"/>
      <c r="K282" s="42"/>
      <c r="L282" s="35">
        <f t="shared" si="73"/>
        <v>0</v>
      </c>
      <c r="M282" s="35" t="e">
        <f t="shared" si="72"/>
        <v>#DIV/0!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/>
      <c r="H283" s="43"/>
      <c r="I283" s="43"/>
      <c r="J283" s="43"/>
      <c r="K283" s="43"/>
      <c r="L283" s="31">
        <f t="shared" si="73"/>
        <v>0</v>
      </c>
      <c r="M283" s="31" t="e">
        <f t="shared" si="72"/>
        <v>#DIV/0!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 t="e">
        <f t="shared" si="72"/>
        <v>#DIV/0!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 t="e">
        <f t="shared" si="72"/>
        <v>#DIV/0!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 t="e">
        <f t="shared" si="72"/>
        <v>#DIV/0!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 t="e">
        <f t="shared" si="72"/>
        <v>#DIV/0!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 t="e">
        <f t="shared" si="72"/>
        <v>#DIV/0!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 t="str">
        <f>+$G$3</f>
        <v>Year</v>
      </c>
      <c r="H291" s="10" t="str">
        <f>+G291</f>
        <v>Year</v>
      </c>
      <c r="I291" s="10" t="str">
        <f t="shared" ref="I291:M292" si="74">+H291</f>
        <v>Year</v>
      </c>
      <c r="J291" s="10" t="str">
        <f t="shared" si="74"/>
        <v>Year</v>
      </c>
      <c r="K291" s="10" t="str">
        <f t="shared" si="74"/>
        <v>Year</v>
      </c>
      <c r="L291" s="10" t="str">
        <f t="shared" si="74"/>
        <v>Year</v>
      </c>
      <c r="M291" s="10" t="str">
        <f t="shared" si="74"/>
        <v>Year</v>
      </c>
      <c r="N291" s="11"/>
      <c r="S291" s="12" t="str">
        <f>+C291</f>
        <v>Mangcongco</v>
      </c>
      <c r="T291" s="13">
        <f>+L295</f>
        <v>0</v>
      </c>
      <c r="U291" s="13">
        <f>+L296+L297</f>
        <v>0</v>
      </c>
      <c r="V291" s="13">
        <f>+L298+L299</f>
        <v>0</v>
      </c>
      <c r="W291" s="13">
        <f>+L302</f>
        <v>0</v>
      </c>
      <c r="X291" s="13">
        <f>+L300</f>
        <v>0</v>
      </c>
    </row>
    <row r="292" spans="1:24" x14ac:dyDescent="0.25">
      <c r="A292" s="14"/>
      <c r="B292" s="15"/>
      <c r="C292" s="41" t="str">
        <f>+$C276</f>
        <v>Month Year</v>
      </c>
      <c r="D292" s="18"/>
      <c r="E292" s="18"/>
      <c r="F292" s="18"/>
      <c r="G292" s="20" t="str">
        <f>+$G$4</f>
        <v>Mnt</v>
      </c>
      <c r="H292" s="20" t="str">
        <f>+G292</f>
        <v>Mnt</v>
      </c>
      <c r="I292" s="20" t="str">
        <f t="shared" si="74"/>
        <v>Mnt</v>
      </c>
      <c r="J292" s="20" t="str">
        <f t="shared" si="74"/>
        <v>Mnt</v>
      </c>
      <c r="K292" s="20" t="str">
        <f t="shared" si="74"/>
        <v>Mnt</v>
      </c>
      <c r="L292" s="20" t="str">
        <f t="shared" si="74"/>
        <v>Mnt</v>
      </c>
      <c r="M292" s="20" t="str">
        <f t="shared" si="74"/>
        <v>Mnt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0</v>
      </c>
      <c r="H293" s="25">
        <f>+$H$5</f>
        <v>0</v>
      </c>
      <c r="I293" s="25">
        <f>+$I$5</f>
        <v>0</v>
      </c>
      <c r="J293" s="25">
        <f>+$J$5</f>
        <v>0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0</v>
      </c>
      <c r="H295" s="31">
        <f t="shared" ref="H295:L295" si="75">SUM(H296:H299)</f>
        <v>0</v>
      </c>
      <c r="I295" s="31">
        <f t="shared" si="75"/>
        <v>0</v>
      </c>
      <c r="J295" s="31">
        <f t="shared" si="75"/>
        <v>0</v>
      </c>
      <c r="K295" s="31">
        <f t="shared" si="75"/>
        <v>0</v>
      </c>
      <c r="L295" s="31">
        <f t="shared" si="75"/>
        <v>0</v>
      </c>
      <c r="M295" s="31" t="e">
        <f>ROUND((L295/$E$1),0)</f>
        <v>#DIV/0!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/>
      <c r="H296" s="42"/>
      <c r="I296" s="42"/>
      <c r="J296" s="42"/>
      <c r="K296" s="42"/>
      <c r="L296" s="35">
        <f>SUM(G296:K296)</f>
        <v>0</v>
      </c>
      <c r="M296" s="35" t="e">
        <f t="shared" ref="M296:M304" si="76">ROUND((L296/$E$1),0)</f>
        <v>#DIV/0!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/>
      <c r="H297" s="42"/>
      <c r="I297" s="42"/>
      <c r="J297" s="42"/>
      <c r="K297" s="42"/>
      <c r="L297" s="35">
        <f t="shared" ref="L297:L304" si="77">SUM(G297:K297)</f>
        <v>0</v>
      </c>
      <c r="M297" s="35" t="e">
        <f t="shared" si="76"/>
        <v>#DIV/0!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/>
      <c r="H298" s="42"/>
      <c r="I298" s="42"/>
      <c r="J298" s="42"/>
      <c r="K298" s="42"/>
      <c r="L298" s="35">
        <f t="shared" si="77"/>
        <v>0</v>
      </c>
      <c r="M298" s="35" t="e">
        <f t="shared" si="76"/>
        <v>#DIV/0!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/>
      <c r="H299" s="43"/>
      <c r="I299" s="43"/>
      <c r="J299" s="43"/>
      <c r="K299" s="43"/>
      <c r="L299" s="31">
        <f t="shared" si="77"/>
        <v>0</v>
      </c>
      <c r="M299" s="31" t="e">
        <f t="shared" si="76"/>
        <v>#DIV/0!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 t="e">
        <f t="shared" si="76"/>
        <v>#DIV/0!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 t="e">
        <f t="shared" si="76"/>
        <v>#DIV/0!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/>
      <c r="H302" s="42"/>
      <c r="I302" s="42"/>
      <c r="J302" s="42"/>
      <c r="K302" s="42"/>
      <c r="L302" s="35">
        <f t="shared" si="77"/>
        <v>0</v>
      </c>
      <c r="M302" s="35" t="e">
        <f t="shared" si="76"/>
        <v>#DIV/0!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 t="e">
        <f t="shared" si="76"/>
        <v>#DIV/0!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 t="e">
        <f t="shared" si="76"/>
        <v>#DIV/0!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 t="str">
        <f>+$G$3</f>
        <v>Year</v>
      </c>
      <c r="H307" s="10" t="str">
        <f>+G307</f>
        <v>Year</v>
      </c>
      <c r="I307" s="10" t="str">
        <f t="shared" ref="I307:M308" si="78">+H307</f>
        <v>Year</v>
      </c>
      <c r="J307" s="10" t="str">
        <f t="shared" si="78"/>
        <v>Year</v>
      </c>
      <c r="K307" s="10" t="str">
        <f t="shared" si="78"/>
        <v>Year</v>
      </c>
      <c r="L307" s="10" t="str">
        <f t="shared" si="78"/>
        <v>Year</v>
      </c>
      <c r="M307" s="10" t="str">
        <f t="shared" si="78"/>
        <v>Year</v>
      </c>
      <c r="N307" s="11"/>
      <c r="S307" s="12" t="str">
        <f>+C307</f>
        <v>Kaliba</v>
      </c>
      <c r="T307" s="13">
        <f>+L311</f>
        <v>0</v>
      </c>
      <c r="U307" s="13">
        <f>+L312+L313</f>
        <v>0</v>
      </c>
      <c r="V307" s="13">
        <f>+L314+L315</f>
        <v>0</v>
      </c>
      <c r="W307" s="13">
        <f>+L318</f>
        <v>0</v>
      </c>
      <c r="X307" s="13">
        <f>+L316</f>
        <v>0</v>
      </c>
    </row>
    <row r="308" spans="1:24" x14ac:dyDescent="0.25">
      <c r="A308" s="14"/>
      <c r="B308" s="15"/>
      <c r="C308" s="41" t="str">
        <f>+$C292</f>
        <v>Month Year</v>
      </c>
      <c r="D308" s="18"/>
      <c r="E308" s="18"/>
      <c r="F308" s="18"/>
      <c r="G308" s="20" t="str">
        <f>+$G$4</f>
        <v>Mnt</v>
      </c>
      <c r="H308" s="20" t="str">
        <f>+G308</f>
        <v>Mnt</v>
      </c>
      <c r="I308" s="20" t="str">
        <f t="shared" si="78"/>
        <v>Mnt</v>
      </c>
      <c r="J308" s="20" t="str">
        <f t="shared" si="78"/>
        <v>Mnt</v>
      </c>
      <c r="K308" s="20" t="str">
        <f t="shared" si="78"/>
        <v>Mnt</v>
      </c>
      <c r="L308" s="20" t="str">
        <f t="shared" si="78"/>
        <v>Mnt</v>
      </c>
      <c r="M308" s="20" t="str">
        <f t="shared" si="78"/>
        <v>Mnt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0</v>
      </c>
      <c r="H309" s="25">
        <f>+$H$5</f>
        <v>0</v>
      </c>
      <c r="I309" s="25">
        <f>+$I$5</f>
        <v>0</v>
      </c>
      <c r="J309" s="25">
        <f>+$J$5</f>
        <v>0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0</v>
      </c>
      <c r="H311" s="31">
        <f t="shared" ref="H311:L311" si="79">SUM(H312:H315)</f>
        <v>0</v>
      </c>
      <c r="I311" s="31">
        <f t="shared" si="79"/>
        <v>0</v>
      </c>
      <c r="J311" s="31">
        <f t="shared" si="79"/>
        <v>0</v>
      </c>
      <c r="K311" s="31">
        <f t="shared" si="79"/>
        <v>0</v>
      </c>
      <c r="L311" s="31">
        <f t="shared" si="79"/>
        <v>0</v>
      </c>
      <c r="M311" s="31" t="e">
        <f>ROUND((L311/$E$1),0)</f>
        <v>#DIV/0!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/>
      <c r="H312" s="42"/>
      <c r="I312" s="42"/>
      <c r="J312" s="42"/>
      <c r="K312" s="42"/>
      <c r="L312" s="35">
        <f>SUM(G312:K312)</f>
        <v>0</v>
      </c>
      <c r="M312" s="35" t="e">
        <f t="shared" ref="M312:M320" si="80">ROUND((L312/$E$1),0)</f>
        <v>#DIV/0!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/>
      <c r="H313" s="42"/>
      <c r="I313" s="42"/>
      <c r="J313" s="42"/>
      <c r="K313" s="42"/>
      <c r="L313" s="35">
        <f t="shared" ref="L313:L320" si="81">SUM(G313:K313)</f>
        <v>0</v>
      </c>
      <c r="M313" s="35" t="e">
        <f t="shared" si="80"/>
        <v>#DIV/0!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/>
      <c r="H314" s="42"/>
      <c r="I314" s="42"/>
      <c r="J314" s="42"/>
      <c r="K314" s="42"/>
      <c r="L314" s="35">
        <f t="shared" si="81"/>
        <v>0</v>
      </c>
      <c r="M314" s="35" t="e">
        <f t="shared" si="80"/>
        <v>#DIV/0!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/>
      <c r="H315" s="43"/>
      <c r="I315" s="43"/>
      <c r="J315" s="43"/>
      <c r="K315" s="43"/>
      <c r="L315" s="31">
        <f t="shared" si="81"/>
        <v>0</v>
      </c>
      <c r="M315" s="31" t="e">
        <f t="shared" si="80"/>
        <v>#DIV/0!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/>
      <c r="I316" s="42"/>
      <c r="J316" s="42"/>
      <c r="K316" s="42"/>
      <c r="L316" s="35">
        <f t="shared" si="81"/>
        <v>0</v>
      </c>
      <c r="M316" s="35" t="e">
        <f t="shared" si="80"/>
        <v>#DIV/0!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 t="e">
        <f t="shared" si="80"/>
        <v>#DIV/0!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/>
      <c r="H318" s="42"/>
      <c r="I318" s="42"/>
      <c r="J318" s="42"/>
      <c r="K318" s="42"/>
      <c r="L318" s="35">
        <f t="shared" si="81"/>
        <v>0</v>
      </c>
      <c r="M318" s="35" t="e">
        <f t="shared" si="80"/>
        <v>#DIV/0!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/>
      <c r="H319" s="42"/>
      <c r="I319" s="42"/>
      <c r="J319" s="42"/>
      <c r="K319" s="42"/>
      <c r="L319" s="35">
        <f t="shared" si="81"/>
        <v>0</v>
      </c>
      <c r="M319" s="35" t="e">
        <f t="shared" si="80"/>
        <v>#DIV/0!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 t="e">
        <f t="shared" si="80"/>
        <v>#DIV/0!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 t="str">
        <f>+$G$3</f>
        <v>Year</v>
      </c>
      <c r="H323" s="10" t="str">
        <f>+G323</f>
        <v>Year</v>
      </c>
      <c r="I323" s="10" t="str">
        <f t="shared" ref="I323:M324" si="82">+H323</f>
        <v>Year</v>
      </c>
      <c r="J323" s="10" t="str">
        <f t="shared" si="82"/>
        <v>Year</v>
      </c>
      <c r="K323" s="10" t="str">
        <f t="shared" si="82"/>
        <v>Year</v>
      </c>
      <c r="L323" s="10" t="str">
        <f t="shared" si="82"/>
        <v>Year</v>
      </c>
      <c r="M323" s="10" t="str">
        <f t="shared" si="82"/>
        <v>Year</v>
      </c>
      <c r="N323" s="11"/>
      <c r="S323" s="12" t="str">
        <f>+C323</f>
        <v>Kancesi</v>
      </c>
      <c r="T323" s="13">
        <f>+L327</f>
        <v>0</v>
      </c>
      <c r="U323" s="13">
        <f>+L328+L329</f>
        <v>0</v>
      </c>
      <c r="V323" s="13">
        <f>+L330+L331</f>
        <v>0</v>
      </c>
      <c r="W323" s="13">
        <f>+L334</f>
        <v>0</v>
      </c>
      <c r="X323" s="13">
        <f>+L332</f>
        <v>0</v>
      </c>
    </row>
    <row r="324" spans="1:24" x14ac:dyDescent="0.25">
      <c r="A324" s="14"/>
      <c r="B324" s="15"/>
      <c r="C324" s="41" t="str">
        <f>+$C308</f>
        <v>Month Year</v>
      </c>
      <c r="D324" s="18"/>
      <c r="E324" s="18"/>
      <c r="F324" s="18"/>
      <c r="G324" s="20" t="str">
        <f>+$G$4</f>
        <v>Mnt</v>
      </c>
      <c r="H324" s="20" t="str">
        <f>+G324</f>
        <v>Mnt</v>
      </c>
      <c r="I324" s="20" t="str">
        <f t="shared" si="82"/>
        <v>Mnt</v>
      </c>
      <c r="J324" s="20" t="str">
        <f t="shared" si="82"/>
        <v>Mnt</v>
      </c>
      <c r="K324" s="20" t="str">
        <f t="shared" si="82"/>
        <v>Mnt</v>
      </c>
      <c r="L324" s="20" t="str">
        <f t="shared" si="82"/>
        <v>Mnt</v>
      </c>
      <c r="M324" s="20" t="str">
        <f t="shared" si="82"/>
        <v>Mnt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0</v>
      </c>
      <c r="H325" s="25">
        <f>+$H$5</f>
        <v>0</v>
      </c>
      <c r="I325" s="25">
        <f>+$I$5</f>
        <v>0</v>
      </c>
      <c r="J325" s="25">
        <f>+$J$5</f>
        <v>0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0</v>
      </c>
      <c r="H327" s="31">
        <f t="shared" ref="H327:L327" si="83">SUM(H328:H331)</f>
        <v>0</v>
      </c>
      <c r="I327" s="31">
        <f t="shared" si="83"/>
        <v>0</v>
      </c>
      <c r="J327" s="31">
        <f t="shared" si="83"/>
        <v>0</v>
      </c>
      <c r="K327" s="31">
        <f t="shared" si="83"/>
        <v>0</v>
      </c>
      <c r="L327" s="31">
        <f t="shared" si="83"/>
        <v>0</v>
      </c>
      <c r="M327" s="31" t="e">
        <f>ROUND((L327/$E$1),0)</f>
        <v>#DIV/0!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/>
      <c r="H328" s="42"/>
      <c r="I328" s="42"/>
      <c r="J328" s="42"/>
      <c r="K328" s="42"/>
      <c r="L328" s="35">
        <f>SUM(G328:K328)</f>
        <v>0</v>
      </c>
      <c r="M328" s="35" t="e">
        <f t="shared" ref="M328:M336" si="84">ROUND((L328/$E$1),0)</f>
        <v>#DIV/0!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/>
      <c r="H329" s="42"/>
      <c r="I329" s="42"/>
      <c r="J329" s="42"/>
      <c r="K329" s="42"/>
      <c r="L329" s="35">
        <f t="shared" ref="L329:L336" si="85">SUM(G329:K329)</f>
        <v>0</v>
      </c>
      <c r="M329" s="35" t="e">
        <f t="shared" si="84"/>
        <v>#DIV/0!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/>
      <c r="H330" s="42"/>
      <c r="I330" s="42"/>
      <c r="J330" s="42"/>
      <c r="K330" s="42"/>
      <c r="L330" s="35">
        <f t="shared" si="85"/>
        <v>0</v>
      </c>
      <c r="M330" s="35" t="e">
        <f t="shared" si="84"/>
        <v>#DIV/0!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/>
      <c r="H331" s="43"/>
      <c r="I331" s="43"/>
      <c r="J331" s="43"/>
      <c r="K331" s="43"/>
      <c r="L331" s="31">
        <f t="shared" si="85"/>
        <v>0</v>
      </c>
      <c r="M331" s="31" t="e">
        <f t="shared" si="84"/>
        <v>#DIV/0!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/>
      <c r="H332" s="42"/>
      <c r="I332" s="42"/>
      <c r="J332" s="42"/>
      <c r="K332" s="42"/>
      <c r="L332" s="35">
        <f t="shared" si="85"/>
        <v>0</v>
      </c>
      <c r="M332" s="35" t="e">
        <f t="shared" si="84"/>
        <v>#DIV/0!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 t="e">
        <f t="shared" si="84"/>
        <v>#DIV/0!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/>
      <c r="H334" s="42"/>
      <c r="I334" s="42"/>
      <c r="J334" s="42"/>
      <c r="K334" s="42"/>
      <c r="L334" s="35">
        <f t="shared" si="85"/>
        <v>0</v>
      </c>
      <c r="M334" s="35" t="e">
        <f t="shared" si="84"/>
        <v>#DIV/0!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/>
      <c r="H335" s="42"/>
      <c r="I335" s="42"/>
      <c r="J335" s="42"/>
      <c r="K335" s="42"/>
      <c r="L335" s="35">
        <f t="shared" si="85"/>
        <v>0</v>
      </c>
      <c r="M335" s="35" t="e">
        <f t="shared" si="84"/>
        <v>#DIV/0!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 t="e">
        <f t="shared" si="84"/>
        <v>#DIV/0!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 t="str">
        <f>+$G$3</f>
        <v>Year</v>
      </c>
      <c r="H339" s="10" t="str">
        <f>+G339</f>
        <v>Year</v>
      </c>
      <c r="I339" s="10" t="str">
        <f t="shared" ref="I339:M340" si="86">+H339</f>
        <v>Year</v>
      </c>
      <c r="J339" s="10" t="str">
        <f t="shared" si="86"/>
        <v>Year</v>
      </c>
      <c r="K339" s="10" t="str">
        <f t="shared" si="86"/>
        <v>Year</v>
      </c>
      <c r="L339" s="10" t="str">
        <f t="shared" si="86"/>
        <v>Year</v>
      </c>
      <c r="M339" s="10" t="str">
        <f t="shared" si="86"/>
        <v>Year</v>
      </c>
      <c r="N339" s="11"/>
      <c r="S339" s="12" t="str">
        <f>+C339</f>
        <v>Mpuluzi</v>
      </c>
      <c r="T339" s="13">
        <f>+L343</f>
        <v>0</v>
      </c>
      <c r="U339" s="13">
        <f>+L344+L345</f>
        <v>0</v>
      </c>
      <c r="V339" s="13">
        <f>+L346+L347</f>
        <v>0</v>
      </c>
      <c r="W339" s="13">
        <f>+L350</f>
        <v>0</v>
      </c>
      <c r="X339" s="13">
        <f>+L348</f>
        <v>0</v>
      </c>
    </row>
    <row r="340" spans="1:24" x14ac:dyDescent="0.25">
      <c r="A340" s="14"/>
      <c r="B340" s="15"/>
      <c r="C340" s="41" t="str">
        <f>+$C324</f>
        <v>Month Year</v>
      </c>
      <c r="D340" s="18"/>
      <c r="E340" s="18"/>
      <c r="F340" s="18"/>
      <c r="G340" s="20" t="str">
        <f>+$G$4</f>
        <v>Mnt</v>
      </c>
      <c r="H340" s="20" t="str">
        <f>+G340</f>
        <v>Mnt</v>
      </c>
      <c r="I340" s="20" t="str">
        <f t="shared" si="86"/>
        <v>Mnt</v>
      </c>
      <c r="J340" s="20" t="str">
        <f t="shared" si="86"/>
        <v>Mnt</v>
      </c>
      <c r="K340" s="20" t="str">
        <f t="shared" si="86"/>
        <v>Mnt</v>
      </c>
      <c r="L340" s="20" t="str">
        <f t="shared" si="86"/>
        <v>Mnt</v>
      </c>
      <c r="M340" s="20" t="str">
        <f t="shared" si="86"/>
        <v>Mnt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0</v>
      </c>
      <c r="H341" s="25">
        <f>+$H$5</f>
        <v>0</v>
      </c>
      <c r="I341" s="25">
        <f>+$I$5</f>
        <v>0</v>
      </c>
      <c r="J341" s="25">
        <f>+$J$5</f>
        <v>0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0</v>
      </c>
      <c r="H343" s="31">
        <f t="shared" ref="H343:L343" si="87">SUM(H344:H347)</f>
        <v>0</v>
      </c>
      <c r="I343" s="31">
        <f t="shared" si="87"/>
        <v>0</v>
      </c>
      <c r="J343" s="31">
        <f t="shared" si="87"/>
        <v>0</v>
      </c>
      <c r="K343" s="31">
        <f t="shared" si="87"/>
        <v>0</v>
      </c>
      <c r="L343" s="31">
        <f t="shared" si="87"/>
        <v>0</v>
      </c>
      <c r="M343" s="31" t="e">
        <f>ROUND((L343/$E$1),0)</f>
        <v>#DIV/0!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/>
      <c r="H344" s="42"/>
      <c r="I344" s="42"/>
      <c r="J344" s="42"/>
      <c r="K344" s="42"/>
      <c r="L344" s="35">
        <f>SUM(G344:K344)</f>
        <v>0</v>
      </c>
      <c r="M344" s="35" t="e">
        <f t="shared" ref="M344:M352" si="88">ROUND((L344/$E$1),0)</f>
        <v>#DIV/0!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/>
      <c r="H345" s="42"/>
      <c r="I345" s="42"/>
      <c r="J345" s="42"/>
      <c r="K345" s="42"/>
      <c r="L345" s="35">
        <f t="shared" ref="L345:L352" si="89">SUM(G345:K345)</f>
        <v>0</v>
      </c>
      <c r="M345" s="35" t="e">
        <f t="shared" si="88"/>
        <v>#DIV/0!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/>
      <c r="H346" s="42"/>
      <c r="I346" s="42"/>
      <c r="J346" s="42"/>
      <c r="K346" s="42"/>
      <c r="L346" s="35">
        <f t="shared" si="89"/>
        <v>0</v>
      </c>
      <c r="M346" s="35" t="e">
        <f t="shared" si="88"/>
        <v>#DIV/0!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/>
      <c r="H347" s="43"/>
      <c r="I347" s="43"/>
      <c r="J347" s="43"/>
      <c r="K347" s="43"/>
      <c r="L347" s="31">
        <f t="shared" si="89"/>
        <v>0</v>
      </c>
      <c r="M347" s="31" t="e">
        <f t="shared" si="88"/>
        <v>#DIV/0!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/>
      <c r="H348" s="42"/>
      <c r="I348" s="42"/>
      <c r="J348" s="42"/>
      <c r="K348" s="42"/>
      <c r="L348" s="35">
        <f t="shared" si="89"/>
        <v>0</v>
      </c>
      <c r="M348" s="35" t="e">
        <f t="shared" si="88"/>
        <v>#DIV/0!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 t="e">
        <f t="shared" si="88"/>
        <v>#DIV/0!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/>
      <c r="H350" s="42"/>
      <c r="I350" s="42"/>
      <c r="J350" s="42"/>
      <c r="K350" s="42"/>
      <c r="L350" s="35">
        <f t="shared" si="89"/>
        <v>0</v>
      </c>
      <c r="M350" s="35" t="e">
        <f t="shared" si="88"/>
        <v>#DIV/0!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/>
      <c r="H351" s="42"/>
      <c r="I351" s="42"/>
      <c r="J351" s="42"/>
      <c r="K351" s="42"/>
      <c r="L351" s="35">
        <f t="shared" si="89"/>
        <v>0</v>
      </c>
      <c r="M351" s="35" t="e">
        <f t="shared" si="88"/>
        <v>#DIV/0!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 t="e">
        <f t="shared" si="88"/>
        <v>#DIV/0!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 t="str">
        <f>+$G$3</f>
        <v>Year</v>
      </c>
      <c r="H355" s="10" t="str">
        <f>+G355</f>
        <v>Year</v>
      </c>
      <c r="I355" s="10" t="str">
        <f t="shared" ref="I355:M356" si="90">+H355</f>
        <v>Year</v>
      </c>
      <c r="J355" s="10" t="str">
        <f t="shared" si="90"/>
        <v>Year</v>
      </c>
      <c r="K355" s="10" t="str">
        <f t="shared" si="90"/>
        <v>Year</v>
      </c>
      <c r="L355" s="10" t="str">
        <f t="shared" si="90"/>
        <v>Year</v>
      </c>
      <c r="M355" s="10" t="str">
        <f t="shared" si="90"/>
        <v>Year</v>
      </c>
      <c r="N355" s="11"/>
      <c r="S355" s="12" t="str">
        <f>+C355</f>
        <v>Bulunga</v>
      </c>
      <c r="T355" s="13">
        <f>+L359</f>
        <v>0</v>
      </c>
      <c r="U355" s="13">
        <f>+L360+L361</f>
        <v>0</v>
      </c>
      <c r="V355" s="13">
        <f>+L362+L363</f>
        <v>0</v>
      </c>
      <c r="W355" s="13">
        <f>+L366</f>
        <v>0</v>
      </c>
      <c r="X355" s="13">
        <f>+L364</f>
        <v>0</v>
      </c>
    </row>
    <row r="356" spans="1:24" x14ac:dyDescent="0.25">
      <c r="A356" s="14"/>
      <c r="B356" s="15"/>
      <c r="C356" s="41" t="str">
        <f>+$C340</f>
        <v>Month Year</v>
      </c>
      <c r="D356" s="18"/>
      <c r="E356" s="18"/>
      <c r="F356" s="18"/>
      <c r="G356" s="20" t="str">
        <f>+$G$4</f>
        <v>Mnt</v>
      </c>
      <c r="H356" s="20" t="str">
        <f>+G356</f>
        <v>Mnt</v>
      </c>
      <c r="I356" s="20" t="str">
        <f t="shared" si="90"/>
        <v>Mnt</v>
      </c>
      <c r="J356" s="20" t="str">
        <f t="shared" si="90"/>
        <v>Mnt</v>
      </c>
      <c r="K356" s="20" t="str">
        <f t="shared" si="90"/>
        <v>Mnt</v>
      </c>
      <c r="L356" s="20" t="str">
        <f t="shared" si="90"/>
        <v>Mnt</v>
      </c>
      <c r="M356" s="20" t="str">
        <f t="shared" si="90"/>
        <v>Mnt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0</v>
      </c>
      <c r="H357" s="25">
        <f>+$H$5</f>
        <v>0</v>
      </c>
      <c r="I357" s="25">
        <f>+$I$5</f>
        <v>0</v>
      </c>
      <c r="J357" s="25">
        <f>+$J$5</f>
        <v>0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0</v>
      </c>
      <c r="H359" s="31">
        <f t="shared" ref="H359:L359" si="91">SUM(H360:H363)</f>
        <v>0</v>
      </c>
      <c r="I359" s="31">
        <f t="shared" si="91"/>
        <v>0</v>
      </c>
      <c r="J359" s="31">
        <f t="shared" si="91"/>
        <v>0</v>
      </c>
      <c r="K359" s="31">
        <f t="shared" si="91"/>
        <v>0</v>
      </c>
      <c r="L359" s="31">
        <f t="shared" si="91"/>
        <v>0</v>
      </c>
      <c r="M359" s="31" t="e">
        <f>ROUND((L359/$E$1),0)</f>
        <v>#DIV/0!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/>
      <c r="H360" s="42"/>
      <c r="I360" s="42"/>
      <c r="J360" s="42"/>
      <c r="K360" s="42"/>
      <c r="L360" s="35">
        <f>SUM(G360:K360)</f>
        <v>0</v>
      </c>
      <c r="M360" s="35" t="e">
        <f t="shared" ref="M360:M368" si="92">ROUND((L360/$E$1),0)</f>
        <v>#DIV/0!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/>
      <c r="H361" s="42"/>
      <c r="I361" s="42"/>
      <c r="J361" s="42"/>
      <c r="K361" s="42"/>
      <c r="L361" s="35">
        <f t="shared" ref="L361:L368" si="93">SUM(G361:K361)</f>
        <v>0</v>
      </c>
      <c r="M361" s="35" t="e">
        <f t="shared" si="92"/>
        <v>#DIV/0!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/>
      <c r="H362" s="42"/>
      <c r="I362" s="42"/>
      <c r="J362" s="42"/>
      <c r="K362" s="42"/>
      <c r="L362" s="35">
        <f t="shared" si="93"/>
        <v>0</v>
      </c>
      <c r="M362" s="35" t="e">
        <f t="shared" si="92"/>
        <v>#DIV/0!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/>
      <c r="H363" s="43"/>
      <c r="I363" s="43"/>
      <c r="J363" s="43"/>
      <c r="K363" s="43"/>
      <c r="L363" s="31">
        <f t="shared" si="93"/>
        <v>0</v>
      </c>
      <c r="M363" s="31" t="e">
        <f t="shared" si="92"/>
        <v>#DIV/0!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/>
      <c r="H364" s="42"/>
      <c r="I364" s="42"/>
      <c r="J364" s="42"/>
      <c r="K364" s="42"/>
      <c r="L364" s="35">
        <f t="shared" si="93"/>
        <v>0</v>
      </c>
      <c r="M364" s="35" t="e">
        <f t="shared" si="92"/>
        <v>#DIV/0!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 t="e">
        <f t="shared" si="92"/>
        <v>#DIV/0!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/>
      <c r="H366" s="42"/>
      <c r="I366" s="42"/>
      <c r="J366" s="42"/>
      <c r="K366" s="42"/>
      <c r="L366" s="35">
        <f t="shared" si="93"/>
        <v>0</v>
      </c>
      <c r="M366" s="35" t="e">
        <f t="shared" si="92"/>
        <v>#DIV/0!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/>
      <c r="I367" s="42"/>
      <c r="J367" s="42"/>
      <c r="K367" s="42"/>
      <c r="L367" s="35">
        <f t="shared" si="93"/>
        <v>0</v>
      </c>
      <c r="M367" s="35" t="e">
        <f t="shared" si="92"/>
        <v>#DIV/0!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 t="e">
        <f t="shared" si="92"/>
        <v>#DIV/0!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 t="str">
        <f>+$G$3</f>
        <v>Year</v>
      </c>
      <c r="H371" s="10" t="str">
        <f>+G371</f>
        <v>Year</v>
      </c>
      <c r="I371" s="10" t="str">
        <f t="shared" ref="I371:M372" si="94">+H371</f>
        <v>Year</v>
      </c>
      <c r="J371" s="10" t="str">
        <f t="shared" si="94"/>
        <v>Year</v>
      </c>
      <c r="K371" s="10" t="str">
        <f t="shared" si="94"/>
        <v>Year</v>
      </c>
      <c r="L371" s="10" t="str">
        <f t="shared" si="94"/>
        <v>Year</v>
      </c>
      <c r="M371" s="10" t="str">
        <f t="shared" si="94"/>
        <v>Year</v>
      </c>
      <c r="N371" s="11"/>
      <c r="P371" s="44"/>
      <c r="S371" s="12" t="str">
        <f>+C371</f>
        <v>Mbowane</v>
      </c>
      <c r="T371" s="13">
        <f>+L375</f>
        <v>0</v>
      </c>
      <c r="U371" s="13">
        <f>+L376+L377</f>
        <v>0</v>
      </c>
      <c r="V371" s="13">
        <f>+L378+L379</f>
        <v>0</v>
      </c>
      <c r="W371" s="13">
        <f>+L382</f>
        <v>0</v>
      </c>
      <c r="X371" s="13">
        <f>+L380</f>
        <v>0</v>
      </c>
    </row>
    <row r="372" spans="1:24" x14ac:dyDescent="0.25">
      <c r="A372" s="14"/>
      <c r="B372" s="15"/>
      <c r="C372" s="41" t="str">
        <f>+$C356</f>
        <v>Month Year</v>
      </c>
      <c r="D372" s="18"/>
      <c r="E372" s="18"/>
      <c r="F372" s="18"/>
      <c r="G372" s="20" t="str">
        <f>+$G$4</f>
        <v>Mnt</v>
      </c>
      <c r="H372" s="20" t="str">
        <f>+G372</f>
        <v>Mnt</v>
      </c>
      <c r="I372" s="20" t="str">
        <f t="shared" si="94"/>
        <v>Mnt</v>
      </c>
      <c r="J372" s="20" t="str">
        <f t="shared" si="94"/>
        <v>Mnt</v>
      </c>
      <c r="K372" s="20" t="str">
        <f t="shared" si="94"/>
        <v>Mnt</v>
      </c>
      <c r="L372" s="20" t="str">
        <f t="shared" si="94"/>
        <v>Mnt</v>
      </c>
      <c r="M372" s="20" t="str">
        <f t="shared" si="94"/>
        <v>Mnt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0</v>
      </c>
      <c r="H373" s="25">
        <f>+$H$5</f>
        <v>0</v>
      </c>
      <c r="I373" s="25">
        <f>+$I$5</f>
        <v>0</v>
      </c>
      <c r="J373" s="25">
        <f>+$J$5</f>
        <v>0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0</v>
      </c>
      <c r="H375" s="31">
        <f t="shared" ref="H375:L375" si="95">SUM(H376:H379)</f>
        <v>0</v>
      </c>
      <c r="I375" s="31">
        <f t="shared" si="95"/>
        <v>0</v>
      </c>
      <c r="J375" s="31">
        <f t="shared" si="95"/>
        <v>0</v>
      </c>
      <c r="K375" s="31">
        <f t="shared" si="95"/>
        <v>0</v>
      </c>
      <c r="L375" s="31">
        <f t="shared" si="95"/>
        <v>0</v>
      </c>
      <c r="M375" s="31" t="e">
        <f>ROUND((L375/$E$1),0)</f>
        <v>#DIV/0!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/>
      <c r="H376" s="42"/>
      <c r="I376" s="42"/>
      <c r="J376" s="42"/>
      <c r="K376" s="42"/>
      <c r="L376" s="35">
        <f>SUM(G376:K376)</f>
        <v>0</v>
      </c>
      <c r="M376" s="35" t="e">
        <f t="shared" ref="M376:M384" si="96">ROUND((L376/$E$1),0)</f>
        <v>#DIV/0!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/>
      <c r="H377" s="42"/>
      <c r="I377" s="42"/>
      <c r="J377" s="42"/>
      <c r="K377" s="42"/>
      <c r="L377" s="35">
        <f t="shared" ref="L377:L384" si="97">SUM(G377:K377)</f>
        <v>0</v>
      </c>
      <c r="M377" s="35" t="e">
        <f t="shared" si="96"/>
        <v>#DIV/0!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/>
      <c r="H378" s="42"/>
      <c r="I378" s="42"/>
      <c r="J378" s="42"/>
      <c r="K378" s="42"/>
      <c r="L378" s="35">
        <f t="shared" si="97"/>
        <v>0</v>
      </c>
      <c r="M378" s="35" t="e">
        <f t="shared" si="96"/>
        <v>#DIV/0!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/>
      <c r="H379" s="43"/>
      <c r="I379" s="43"/>
      <c r="J379" s="43"/>
      <c r="K379" s="43"/>
      <c r="L379" s="31">
        <f t="shared" si="97"/>
        <v>0</v>
      </c>
      <c r="M379" s="31" t="e">
        <f t="shared" si="96"/>
        <v>#DIV/0!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97"/>
        <v>0</v>
      </c>
      <c r="M380" s="35" t="e">
        <f t="shared" si="96"/>
        <v>#DIV/0!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 t="e">
        <f t="shared" si="96"/>
        <v>#DIV/0!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/>
      <c r="H382" s="42"/>
      <c r="I382" s="42"/>
      <c r="J382" s="42"/>
      <c r="K382" s="42"/>
      <c r="L382" s="35">
        <f t="shared" si="97"/>
        <v>0</v>
      </c>
      <c r="M382" s="35" t="e">
        <f t="shared" si="96"/>
        <v>#DIV/0!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/>
      <c r="H383" s="42"/>
      <c r="I383" s="42"/>
      <c r="J383" s="42"/>
      <c r="K383" s="42"/>
      <c r="L383" s="35">
        <f t="shared" si="97"/>
        <v>0</v>
      </c>
      <c r="M383" s="35" t="e">
        <f t="shared" si="96"/>
        <v>#DIV/0!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 t="e">
        <f t="shared" si="96"/>
        <v>#DIV/0!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 t="str">
        <f>+$G$3</f>
        <v>Year</v>
      </c>
      <c r="H387" s="10" t="str">
        <f>+G387</f>
        <v>Year</v>
      </c>
      <c r="I387" s="10" t="str">
        <f t="shared" ref="I387:M388" si="98">+H387</f>
        <v>Year</v>
      </c>
      <c r="J387" s="10" t="str">
        <f t="shared" si="98"/>
        <v>Year</v>
      </c>
      <c r="K387" s="10" t="str">
        <f t="shared" si="98"/>
        <v>Year</v>
      </c>
      <c r="L387" s="10" t="str">
        <f t="shared" si="98"/>
        <v>Year</v>
      </c>
      <c r="M387" s="10" t="str">
        <f t="shared" si="98"/>
        <v>Year</v>
      </c>
      <c r="N387" s="11"/>
      <c r="P387" s="44"/>
      <c r="S387" s="12" t="str">
        <f>+C387</f>
        <v>Sibovini</v>
      </c>
      <c r="T387" s="13">
        <f>+L391</f>
        <v>0</v>
      </c>
      <c r="U387" s="13">
        <f>+L392+L393</f>
        <v>0</v>
      </c>
      <c r="V387" s="13">
        <f>+L394+L395</f>
        <v>0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Month Year</v>
      </c>
      <c r="D388" s="18"/>
      <c r="E388" s="18"/>
      <c r="F388" s="18"/>
      <c r="G388" s="20" t="str">
        <f>+$G$4</f>
        <v>Mnt</v>
      </c>
      <c r="H388" s="20" t="str">
        <f>+G388</f>
        <v>Mnt</v>
      </c>
      <c r="I388" s="20" t="str">
        <f t="shared" si="98"/>
        <v>Mnt</v>
      </c>
      <c r="J388" s="20" t="str">
        <f t="shared" si="98"/>
        <v>Mnt</v>
      </c>
      <c r="K388" s="20" t="str">
        <f t="shared" si="98"/>
        <v>Mnt</v>
      </c>
      <c r="L388" s="20" t="str">
        <f t="shared" si="98"/>
        <v>Mnt</v>
      </c>
      <c r="M388" s="20" t="str">
        <f t="shared" si="98"/>
        <v>Mnt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0</v>
      </c>
      <c r="H389" s="25">
        <f>+$H$5</f>
        <v>0</v>
      </c>
      <c r="I389" s="25">
        <f>+$I$5</f>
        <v>0</v>
      </c>
      <c r="J389" s="25">
        <f>+$J$5</f>
        <v>0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0</v>
      </c>
      <c r="H391" s="31">
        <f t="shared" ref="H391:L391" si="99">SUM(H392:H395)</f>
        <v>0</v>
      </c>
      <c r="I391" s="31">
        <f t="shared" si="99"/>
        <v>0</v>
      </c>
      <c r="J391" s="31">
        <f t="shared" si="99"/>
        <v>0</v>
      </c>
      <c r="K391" s="31">
        <f t="shared" si="99"/>
        <v>0</v>
      </c>
      <c r="L391" s="31">
        <f t="shared" si="99"/>
        <v>0</v>
      </c>
      <c r="M391" s="31" t="e">
        <f>ROUND((L391/$E$1),0)</f>
        <v>#DIV/0!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/>
      <c r="H392" s="42"/>
      <c r="I392" s="42"/>
      <c r="J392" s="42"/>
      <c r="K392" s="42"/>
      <c r="L392" s="35">
        <f>SUM(G392:K392)</f>
        <v>0</v>
      </c>
      <c r="M392" s="35" t="e">
        <f t="shared" ref="M392:M400" si="100">ROUND((L392/$E$1),0)</f>
        <v>#DIV/0!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/>
      <c r="H393" s="42"/>
      <c r="I393" s="42"/>
      <c r="J393" s="42"/>
      <c r="K393" s="42"/>
      <c r="L393" s="35">
        <f t="shared" ref="L393:L400" si="101">SUM(G393:K393)</f>
        <v>0</v>
      </c>
      <c r="M393" s="35" t="e">
        <f t="shared" si="100"/>
        <v>#DIV/0!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/>
      <c r="H394" s="42"/>
      <c r="I394" s="42"/>
      <c r="J394" s="42"/>
      <c r="K394" s="42"/>
      <c r="L394" s="35">
        <f t="shared" si="101"/>
        <v>0</v>
      </c>
      <c r="M394" s="35" t="e">
        <f t="shared" si="100"/>
        <v>#DIV/0!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/>
      <c r="H395" s="43"/>
      <c r="I395" s="43"/>
      <c r="J395" s="43"/>
      <c r="K395" s="43"/>
      <c r="L395" s="31">
        <f t="shared" si="101"/>
        <v>0</v>
      </c>
      <c r="M395" s="31" t="e">
        <f t="shared" si="100"/>
        <v>#DIV/0!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 t="e">
        <f t="shared" si="100"/>
        <v>#DIV/0!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 t="e">
        <f t="shared" si="100"/>
        <v>#DIV/0!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 t="e">
        <f t="shared" si="100"/>
        <v>#DIV/0!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 t="e">
        <f t="shared" si="100"/>
        <v>#DIV/0!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 t="e">
        <f t="shared" si="100"/>
        <v>#DIV/0!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 t="str">
        <f>+$G$3</f>
        <v>Year</v>
      </c>
      <c r="H403" s="10" t="str">
        <f>+G403</f>
        <v>Year</v>
      </c>
      <c r="I403" s="10" t="str">
        <f t="shared" ref="I403:M404" si="102">+H403</f>
        <v>Year</v>
      </c>
      <c r="J403" s="10" t="str">
        <f t="shared" si="102"/>
        <v>Year</v>
      </c>
      <c r="K403" s="10" t="str">
        <f t="shared" si="102"/>
        <v>Year</v>
      </c>
      <c r="L403" s="10" t="str">
        <f t="shared" si="102"/>
        <v>Year</v>
      </c>
      <c r="M403" s="10" t="str">
        <f t="shared" si="102"/>
        <v>Year</v>
      </c>
      <c r="N403" s="11"/>
      <c r="P403" s="44"/>
      <c r="S403" s="12" t="str">
        <f>+C403</f>
        <v>Nsubani</v>
      </c>
      <c r="T403" s="13">
        <f>+L407</f>
        <v>0</v>
      </c>
      <c r="U403" s="13">
        <f>+L408+L409</f>
        <v>0</v>
      </c>
      <c r="V403" s="13">
        <f>+L410+L411</f>
        <v>0</v>
      </c>
      <c r="W403" s="13">
        <f>+L414</f>
        <v>0</v>
      </c>
      <c r="X403" s="13">
        <f>+L412</f>
        <v>0</v>
      </c>
    </row>
    <row r="404" spans="1:24" x14ac:dyDescent="0.25">
      <c r="A404" s="14"/>
      <c r="B404" s="15"/>
      <c r="C404" s="41" t="str">
        <f>+$C388</f>
        <v>Month Year</v>
      </c>
      <c r="D404" s="18"/>
      <c r="E404" s="18"/>
      <c r="F404" s="18"/>
      <c r="G404" s="20" t="str">
        <f>+$G$4</f>
        <v>Mnt</v>
      </c>
      <c r="H404" s="20" t="str">
        <f>+G404</f>
        <v>Mnt</v>
      </c>
      <c r="I404" s="20" t="str">
        <f t="shared" si="102"/>
        <v>Mnt</v>
      </c>
      <c r="J404" s="20" t="str">
        <f t="shared" si="102"/>
        <v>Mnt</v>
      </c>
      <c r="K404" s="20" t="str">
        <f t="shared" si="102"/>
        <v>Mnt</v>
      </c>
      <c r="L404" s="20" t="str">
        <f t="shared" si="102"/>
        <v>Mnt</v>
      </c>
      <c r="M404" s="20" t="str">
        <f t="shared" si="102"/>
        <v>Mnt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0</v>
      </c>
      <c r="H405" s="25">
        <f>+$H$5</f>
        <v>0</v>
      </c>
      <c r="I405" s="25">
        <f>+$I$5</f>
        <v>0</v>
      </c>
      <c r="J405" s="25">
        <f>+$J$5</f>
        <v>0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0</v>
      </c>
      <c r="H407" s="31">
        <f t="shared" ref="H407:L407" si="103">SUM(H408:H411)</f>
        <v>0</v>
      </c>
      <c r="I407" s="31">
        <f t="shared" si="103"/>
        <v>0</v>
      </c>
      <c r="J407" s="31">
        <f t="shared" si="103"/>
        <v>0</v>
      </c>
      <c r="K407" s="31">
        <f t="shared" si="103"/>
        <v>0</v>
      </c>
      <c r="L407" s="31">
        <f t="shared" si="103"/>
        <v>0</v>
      </c>
      <c r="M407" s="31" t="e">
        <f>ROUND((L407/$E$1),0)</f>
        <v>#DIV/0!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/>
      <c r="H408" s="42"/>
      <c r="I408" s="42"/>
      <c r="J408" s="42"/>
      <c r="K408" s="42"/>
      <c r="L408" s="35">
        <f>SUM(G408:K408)</f>
        <v>0</v>
      </c>
      <c r="M408" s="35" t="e">
        <f t="shared" ref="M408:M416" si="104">ROUND((L408/$E$1),0)</f>
        <v>#DIV/0!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/>
      <c r="H409" s="42"/>
      <c r="I409" s="42"/>
      <c r="J409" s="42"/>
      <c r="K409" s="42"/>
      <c r="L409" s="35">
        <f t="shared" ref="L409:L416" si="105">SUM(G409:K409)</f>
        <v>0</v>
      </c>
      <c r="M409" s="35" t="e">
        <f t="shared" si="104"/>
        <v>#DIV/0!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/>
      <c r="H410" s="42"/>
      <c r="I410" s="42"/>
      <c r="J410" s="42"/>
      <c r="K410" s="42"/>
      <c r="L410" s="35">
        <f t="shared" si="105"/>
        <v>0</v>
      </c>
      <c r="M410" s="35" t="e">
        <f t="shared" si="104"/>
        <v>#DIV/0!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/>
      <c r="H411" s="43"/>
      <c r="I411" s="43"/>
      <c r="J411" s="43"/>
      <c r="K411" s="43"/>
      <c r="L411" s="31">
        <f t="shared" si="105"/>
        <v>0</v>
      </c>
      <c r="M411" s="31" t="e">
        <f t="shared" si="104"/>
        <v>#DIV/0!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 t="e">
        <f t="shared" si="104"/>
        <v>#DIV/0!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 t="e">
        <f t="shared" si="104"/>
        <v>#DIV/0!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/>
      <c r="H414" s="42"/>
      <c r="I414" s="42"/>
      <c r="J414" s="42"/>
      <c r="K414" s="42"/>
      <c r="L414" s="35">
        <f t="shared" si="105"/>
        <v>0</v>
      </c>
      <c r="M414" s="35" t="e">
        <f t="shared" si="104"/>
        <v>#DIV/0!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/>
      <c r="H415" s="42"/>
      <c r="I415" s="42"/>
      <c r="J415" s="42"/>
      <c r="K415" s="42"/>
      <c r="L415" s="35">
        <f t="shared" si="105"/>
        <v>0</v>
      </c>
      <c r="M415" s="35" t="e">
        <f t="shared" si="104"/>
        <v>#DIV/0!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 t="e">
        <f t="shared" si="104"/>
        <v>#DIV/0!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 t="str">
        <f>+$G$3</f>
        <v>Year</v>
      </c>
      <c r="H419" s="10" t="str">
        <f>+G419</f>
        <v>Year</v>
      </c>
      <c r="I419" s="10" t="str">
        <f t="shared" ref="I419:M420" si="106">+H419</f>
        <v>Year</v>
      </c>
      <c r="J419" s="10" t="str">
        <f t="shared" si="106"/>
        <v>Year</v>
      </c>
      <c r="K419" s="10" t="str">
        <f t="shared" si="106"/>
        <v>Year</v>
      </c>
      <c r="L419" s="10" t="str">
        <f t="shared" si="106"/>
        <v>Year</v>
      </c>
      <c r="M419" s="10" t="str">
        <f t="shared" si="106"/>
        <v>Year</v>
      </c>
      <c r="N419" s="11"/>
      <c r="P419" s="44"/>
      <c r="S419" s="12" t="str">
        <f>+C419</f>
        <v>Mhlabubovu</v>
      </c>
      <c r="T419" s="13">
        <f>+L423</f>
        <v>0</v>
      </c>
      <c r="U419" s="13">
        <f>+L424+L425</f>
        <v>0</v>
      </c>
      <c r="V419" s="13">
        <f>+L426+L427</f>
        <v>0</v>
      </c>
      <c r="W419" s="13">
        <f>+L430</f>
        <v>0</v>
      </c>
      <c r="X419" s="13">
        <f>+L428</f>
        <v>0</v>
      </c>
    </row>
    <row r="420" spans="1:33" x14ac:dyDescent="0.25">
      <c r="A420" s="14"/>
      <c r="B420" s="15"/>
      <c r="C420" s="41" t="str">
        <f>+$C404</f>
        <v>Month Year</v>
      </c>
      <c r="D420" s="18"/>
      <c r="E420" s="18"/>
      <c r="F420" s="18"/>
      <c r="G420" s="20" t="str">
        <f>+$G$4</f>
        <v>Mnt</v>
      </c>
      <c r="H420" s="20" t="str">
        <f>+G420</f>
        <v>Mnt</v>
      </c>
      <c r="I420" s="20" t="str">
        <f t="shared" si="106"/>
        <v>Mnt</v>
      </c>
      <c r="J420" s="20" t="str">
        <f t="shared" si="106"/>
        <v>Mnt</v>
      </c>
      <c r="K420" s="20" t="str">
        <f t="shared" si="106"/>
        <v>Mnt</v>
      </c>
      <c r="L420" s="20" t="str">
        <f t="shared" si="106"/>
        <v>Mnt</v>
      </c>
      <c r="M420" s="20" t="str">
        <f t="shared" si="106"/>
        <v>Mnt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0</v>
      </c>
      <c r="H421" s="25">
        <f>+$H$5</f>
        <v>0</v>
      </c>
      <c r="I421" s="25">
        <f>+$I$5</f>
        <v>0</v>
      </c>
      <c r="J421" s="25">
        <f>+$J$5</f>
        <v>0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0</v>
      </c>
      <c r="H423" s="31">
        <f t="shared" ref="H423:L423" si="107">SUM(H424:H427)</f>
        <v>0</v>
      </c>
      <c r="I423" s="31">
        <f t="shared" si="107"/>
        <v>0</v>
      </c>
      <c r="J423" s="31">
        <f t="shared" si="107"/>
        <v>0</v>
      </c>
      <c r="K423" s="31">
        <f t="shared" si="107"/>
        <v>0</v>
      </c>
      <c r="L423" s="31">
        <f t="shared" si="107"/>
        <v>0</v>
      </c>
      <c r="M423" s="31" t="e">
        <f>ROUND((L423/$E$1),0)</f>
        <v>#DIV/0!</v>
      </c>
      <c r="N423" s="32"/>
      <c r="AA423" s="46"/>
      <c r="AB423" s="46"/>
      <c r="AC423" s="46"/>
      <c r="AD423" s="46"/>
      <c r="AE423" s="46"/>
      <c r="AF423" s="46"/>
      <c r="AG423" s="46"/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/>
      <c r="H424" s="42"/>
      <c r="I424" s="42"/>
      <c r="J424" s="42"/>
      <c r="K424" s="42"/>
      <c r="L424" s="35">
        <f>SUM(G424:K424)</f>
        <v>0</v>
      </c>
      <c r="M424" s="35" t="e">
        <f t="shared" ref="M424:M432" si="108">ROUND((L424/$E$1),0)</f>
        <v>#DIV/0!</v>
      </c>
      <c r="N424" s="32"/>
      <c r="AA424" s="46"/>
      <c r="AB424" s="46"/>
      <c r="AC424" s="46"/>
      <c r="AD424" s="46"/>
      <c r="AE424" s="46"/>
      <c r="AF424" s="46"/>
      <c r="AG424" s="46"/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/>
      <c r="H425" s="42"/>
      <c r="I425" s="42"/>
      <c r="J425" s="42"/>
      <c r="K425" s="42"/>
      <c r="L425" s="35">
        <f t="shared" ref="L425:L432" si="109">SUM(G425:K425)</f>
        <v>0</v>
      </c>
      <c r="M425" s="35" t="e">
        <f t="shared" si="108"/>
        <v>#DIV/0!</v>
      </c>
      <c r="N425" s="32"/>
      <c r="AA425" s="46"/>
      <c r="AB425" s="46"/>
      <c r="AC425" s="46"/>
      <c r="AD425" s="46"/>
      <c r="AE425" s="46"/>
      <c r="AF425" s="46"/>
      <c r="AG425" s="46"/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/>
      <c r="H426" s="42"/>
      <c r="I426" s="42"/>
      <c r="J426" s="42"/>
      <c r="K426" s="42"/>
      <c r="L426" s="35">
        <f t="shared" si="109"/>
        <v>0</v>
      </c>
      <c r="M426" s="35" t="e">
        <f t="shared" si="108"/>
        <v>#DIV/0!</v>
      </c>
      <c r="N426" s="32"/>
      <c r="AA426" s="46"/>
      <c r="AB426" s="46"/>
      <c r="AC426" s="46"/>
      <c r="AD426" s="46"/>
      <c r="AE426" s="46"/>
      <c r="AF426" s="46"/>
      <c r="AG426" s="46"/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/>
      <c r="H427" s="43"/>
      <c r="I427" s="43"/>
      <c r="J427" s="43"/>
      <c r="K427" s="43"/>
      <c r="L427" s="31">
        <f t="shared" si="109"/>
        <v>0</v>
      </c>
      <c r="M427" s="31" t="e">
        <f t="shared" si="108"/>
        <v>#DIV/0!</v>
      </c>
      <c r="N427" s="32"/>
      <c r="AA427" s="46"/>
      <c r="AB427" s="46"/>
      <c r="AC427" s="46"/>
      <c r="AD427" s="46"/>
      <c r="AE427" s="46"/>
      <c r="AF427" s="46"/>
      <c r="AG427" s="46"/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 t="e">
        <f t="shared" si="108"/>
        <v>#DIV/0!</v>
      </c>
      <c r="N428" s="32"/>
      <c r="AA428" s="46"/>
      <c r="AB428" s="46"/>
      <c r="AC428" s="46"/>
      <c r="AD428" s="46"/>
      <c r="AE428" s="46"/>
      <c r="AF428" s="46"/>
      <c r="AG428" s="46"/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 t="e">
        <f t="shared" si="108"/>
        <v>#DIV/0!</v>
      </c>
      <c r="N429" s="32"/>
      <c r="AA429" s="46"/>
      <c r="AB429" s="46"/>
      <c r="AC429" s="46"/>
      <c r="AD429" s="46"/>
      <c r="AE429" s="46"/>
      <c r="AF429" s="46"/>
      <c r="AG429" s="46"/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/>
      <c r="I430" s="42"/>
      <c r="J430" s="42"/>
      <c r="K430" s="42"/>
      <c r="L430" s="35">
        <f t="shared" si="109"/>
        <v>0</v>
      </c>
      <c r="M430" s="35" t="e">
        <f t="shared" si="108"/>
        <v>#DIV/0!</v>
      </c>
      <c r="N430" s="32"/>
      <c r="AA430" s="46"/>
      <c r="AB430" s="46"/>
      <c r="AC430" s="46"/>
      <c r="AD430" s="46"/>
      <c r="AE430" s="46"/>
      <c r="AF430" s="46"/>
      <c r="AG430" s="46"/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 t="e">
        <f t="shared" si="108"/>
        <v>#DIV/0!</v>
      </c>
      <c r="N431" s="32"/>
      <c r="AA431" s="46"/>
      <c r="AB431" s="46"/>
      <c r="AC431" s="46"/>
      <c r="AD431" s="46"/>
      <c r="AE431" s="46"/>
      <c r="AF431" s="46"/>
      <c r="AG431" s="46"/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 t="e">
        <f t="shared" si="108"/>
        <v>#DIV/0!</v>
      </c>
      <c r="N432" s="32"/>
      <c r="AA432" s="46"/>
      <c r="AB432" s="46"/>
      <c r="AC432" s="46"/>
      <c r="AD432" s="46"/>
      <c r="AE432" s="46"/>
      <c r="AF432" s="46"/>
      <c r="AG432" s="46"/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 t="str">
        <f>+$G$3</f>
        <v>Year</v>
      </c>
      <c r="H435" s="10" t="str">
        <f>+G435</f>
        <v>Year</v>
      </c>
      <c r="I435" s="10" t="str">
        <f t="shared" ref="I435:M436" si="110">+H435</f>
        <v>Year</v>
      </c>
      <c r="J435" s="10" t="str">
        <f t="shared" si="110"/>
        <v>Year</v>
      </c>
      <c r="K435" s="10" t="str">
        <f t="shared" si="110"/>
        <v>Year</v>
      </c>
      <c r="L435" s="10" t="str">
        <f t="shared" si="110"/>
        <v>Year</v>
      </c>
      <c r="M435" s="10" t="str">
        <f t="shared" si="110"/>
        <v>Year</v>
      </c>
      <c r="N435" s="11"/>
      <c r="S435" s="12" t="str">
        <f>+C435</f>
        <v>Jubukweni</v>
      </c>
      <c r="T435" s="13">
        <f>+L439</f>
        <v>0</v>
      </c>
      <c r="U435" s="13">
        <f>+L440+L441</f>
        <v>0</v>
      </c>
      <c r="V435" s="13">
        <f>+L442+L443</f>
        <v>0</v>
      </c>
      <c r="W435" s="13">
        <f>+L446</f>
        <v>0</v>
      </c>
      <c r="X435" s="13">
        <f>+L444</f>
        <v>0</v>
      </c>
    </row>
    <row r="436" spans="1:24" x14ac:dyDescent="0.25">
      <c r="A436" s="14"/>
      <c r="B436" s="15"/>
      <c r="C436" s="41" t="str">
        <f>+$C420</f>
        <v>Month Year</v>
      </c>
      <c r="D436" s="18"/>
      <c r="E436" s="18"/>
      <c r="F436" s="18"/>
      <c r="G436" s="20" t="str">
        <f>+$G$4</f>
        <v>Mnt</v>
      </c>
      <c r="H436" s="20" t="str">
        <f>+G436</f>
        <v>Mnt</v>
      </c>
      <c r="I436" s="20" t="str">
        <f t="shared" si="110"/>
        <v>Mnt</v>
      </c>
      <c r="J436" s="20" t="str">
        <f t="shared" si="110"/>
        <v>Mnt</v>
      </c>
      <c r="K436" s="20" t="str">
        <f t="shared" si="110"/>
        <v>Mnt</v>
      </c>
      <c r="L436" s="20" t="str">
        <f t="shared" si="110"/>
        <v>Mnt</v>
      </c>
      <c r="M436" s="20" t="str">
        <f t="shared" si="110"/>
        <v>Mnt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0</v>
      </c>
      <c r="H437" s="25">
        <f>+$H$5</f>
        <v>0</v>
      </c>
      <c r="I437" s="25">
        <f>+$I$5</f>
        <v>0</v>
      </c>
      <c r="J437" s="25">
        <f>+$J$5</f>
        <v>0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0</v>
      </c>
      <c r="H439" s="31">
        <f t="shared" ref="H439:L439" si="111">SUM(H440:H443)</f>
        <v>0</v>
      </c>
      <c r="I439" s="31">
        <f t="shared" si="111"/>
        <v>0</v>
      </c>
      <c r="J439" s="31">
        <f t="shared" si="111"/>
        <v>0</v>
      </c>
      <c r="K439" s="31">
        <f t="shared" si="111"/>
        <v>0</v>
      </c>
      <c r="L439" s="31">
        <f t="shared" si="111"/>
        <v>0</v>
      </c>
      <c r="M439" s="31" t="e">
        <f>ROUND((L439/$E$1),0)</f>
        <v>#DIV/0!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/>
      <c r="H440" s="42"/>
      <c r="I440" s="42"/>
      <c r="J440" s="42"/>
      <c r="K440" s="42"/>
      <c r="L440" s="35">
        <f>SUM(G440:K440)</f>
        <v>0</v>
      </c>
      <c r="M440" s="35" t="e">
        <f t="shared" ref="M440:M448" si="112">ROUND((L440/$E$1),0)</f>
        <v>#DIV/0!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/>
      <c r="H441" s="42"/>
      <c r="I441" s="42"/>
      <c r="J441" s="42"/>
      <c r="K441" s="42"/>
      <c r="L441" s="35">
        <f t="shared" ref="L441:L448" si="113">SUM(G441:K441)</f>
        <v>0</v>
      </c>
      <c r="M441" s="35" t="e">
        <f t="shared" si="112"/>
        <v>#DIV/0!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/>
      <c r="H442" s="42"/>
      <c r="I442" s="42"/>
      <c r="J442" s="42"/>
      <c r="K442" s="42"/>
      <c r="L442" s="35">
        <f t="shared" si="113"/>
        <v>0</v>
      </c>
      <c r="M442" s="35" t="e">
        <f t="shared" si="112"/>
        <v>#DIV/0!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/>
      <c r="H443" s="43"/>
      <c r="I443" s="43"/>
      <c r="J443" s="43"/>
      <c r="K443" s="43"/>
      <c r="L443" s="31">
        <f t="shared" si="113"/>
        <v>0</v>
      </c>
      <c r="M443" s="31" t="e">
        <f t="shared" si="112"/>
        <v>#DIV/0!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 t="e">
        <f t="shared" si="112"/>
        <v>#DIV/0!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 t="e">
        <f t="shared" si="112"/>
        <v>#DIV/0!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/>
      <c r="H446" s="42"/>
      <c r="I446" s="42"/>
      <c r="J446" s="42"/>
      <c r="K446" s="42"/>
      <c r="L446" s="35">
        <f t="shared" si="113"/>
        <v>0</v>
      </c>
      <c r="M446" s="35" t="e">
        <f t="shared" si="112"/>
        <v>#DIV/0!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/>
      <c r="I447" s="42"/>
      <c r="J447" s="42"/>
      <c r="K447" s="42"/>
      <c r="L447" s="35">
        <f t="shared" si="113"/>
        <v>0</v>
      </c>
      <c r="M447" s="35" t="e">
        <f t="shared" si="112"/>
        <v>#DIV/0!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 t="e">
        <f t="shared" si="112"/>
        <v>#DIV/0!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 t="str">
        <f>+$G$3</f>
        <v>Year</v>
      </c>
      <c r="H451" s="10" t="str">
        <f>+G451</f>
        <v>Year</v>
      </c>
      <c r="I451" s="10" t="str">
        <f t="shared" ref="I451:M452" si="114">+H451</f>
        <v>Year</v>
      </c>
      <c r="J451" s="10" t="str">
        <f t="shared" si="114"/>
        <v>Year</v>
      </c>
      <c r="K451" s="10" t="str">
        <f t="shared" si="114"/>
        <v>Year</v>
      </c>
      <c r="L451" s="10" t="str">
        <f t="shared" si="114"/>
        <v>Year</v>
      </c>
      <c r="M451" s="10" t="str">
        <f t="shared" si="114"/>
        <v>Year</v>
      </c>
      <c r="N451" s="11"/>
      <c r="S451" s="12" t="str">
        <f>+C451</f>
        <v>Sigangeni</v>
      </c>
      <c r="T451" s="13">
        <f>+L455</f>
        <v>0</v>
      </c>
      <c r="U451" s="13">
        <f>+L456+L457</f>
        <v>0</v>
      </c>
      <c r="V451" s="13">
        <f>+L458+L459</f>
        <v>0</v>
      </c>
      <c r="W451" s="13">
        <f>+L462</f>
        <v>0</v>
      </c>
      <c r="X451" s="13">
        <f>+L460</f>
        <v>0</v>
      </c>
    </row>
    <row r="452" spans="1:24" x14ac:dyDescent="0.25">
      <c r="A452" s="14"/>
      <c r="B452" s="15"/>
      <c r="C452" s="41" t="str">
        <f>+$C436</f>
        <v>Month Year</v>
      </c>
      <c r="D452" s="18"/>
      <c r="E452" s="18"/>
      <c r="F452" s="18"/>
      <c r="G452" s="20" t="str">
        <f>+$G$4</f>
        <v>Mnt</v>
      </c>
      <c r="H452" s="20" t="str">
        <f>+G452</f>
        <v>Mnt</v>
      </c>
      <c r="I452" s="20" t="str">
        <f t="shared" si="114"/>
        <v>Mnt</v>
      </c>
      <c r="J452" s="20" t="str">
        <f t="shared" si="114"/>
        <v>Mnt</v>
      </c>
      <c r="K452" s="20" t="str">
        <f t="shared" si="114"/>
        <v>Mnt</v>
      </c>
      <c r="L452" s="20" t="str">
        <f t="shared" si="114"/>
        <v>Mnt</v>
      </c>
      <c r="M452" s="20" t="str">
        <f t="shared" si="114"/>
        <v>Mnt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0</v>
      </c>
      <c r="H453" s="25">
        <f>+$H$5</f>
        <v>0</v>
      </c>
      <c r="I453" s="25">
        <f>+$I$5</f>
        <v>0</v>
      </c>
      <c r="J453" s="25">
        <f>+$J$5</f>
        <v>0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0</v>
      </c>
      <c r="H455" s="31">
        <f t="shared" ref="H455:L455" si="115">SUM(H456:H459)</f>
        <v>0</v>
      </c>
      <c r="I455" s="31">
        <f t="shared" si="115"/>
        <v>0</v>
      </c>
      <c r="J455" s="31">
        <f t="shared" si="115"/>
        <v>0</v>
      </c>
      <c r="K455" s="31">
        <f t="shared" si="115"/>
        <v>0</v>
      </c>
      <c r="L455" s="31">
        <f t="shared" si="115"/>
        <v>0</v>
      </c>
      <c r="M455" s="31" t="e">
        <f>ROUND((L455/$E$1),0)</f>
        <v>#DIV/0!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/>
      <c r="H456" s="42"/>
      <c r="I456" s="42"/>
      <c r="J456" s="42"/>
      <c r="K456" s="42"/>
      <c r="L456" s="35">
        <f>SUM(G456:K456)</f>
        <v>0</v>
      </c>
      <c r="M456" s="35" t="e">
        <f t="shared" ref="M456:M464" si="116">ROUND((L456/$E$1),0)</f>
        <v>#DIV/0!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/>
      <c r="H457" s="42"/>
      <c r="I457" s="42"/>
      <c r="J457" s="42"/>
      <c r="K457" s="42"/>
      <c r="L457" s="35">
        <f t="shared" ref="L457:L464" si="117">SUM(G457:K457)</f>
        <v>0</v>
      </c>
      <c r="M457" s="35" t="e">
        <f t="shared" si="116"/>
        <v>#DIV/0!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/>
      <c r="H458" s="42"/>
      <c r="I458" s="42"/>
      <c r="J458" s="42"/>
      <c r="K458" s="42"/>
      <c r="L458" s="35">
        <f t="shared" si="117"/>
        <v>0</v>
      </c>
      <c r="M458" s="35" t="e">
        <f t="shared" si="116"/>
        <v>#DIV/0!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/>
      <c r="H459" s="43"/>
      <c r="I459" s="43"/>
      <c r="J459" s="43"/>
      <c r="K459" s="43"/>
      <c r="L459" s="31">
        <f t="shared" si="117"/>
        <v>0</v>
      </c>
      <c r="M459" s="31" t="e">
        <f t="shared" si="116"/>
        <v>#DIV/0!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 t="e">
        <f t="shared" si="116"/>
        <v>#DIV/0!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 t="e">
        <f t="shared" si="116"/>
        <v>#DIV/0!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/>
      <c r="H462" s="42"/>
      <c r="I462" s="42"/>
      <c r="J462" s="42"/>
      <c r="K462" s="42"/>
      <c r="L462" s="35">
        <f t="shared" si="117"/>
        <v>0</v>
      </c>
      <c r="M462" s="35" t="e">
        <f t="shared" si="116"/>
        <v>#DIV/0!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 t="e">
        <f t="shared" si="116"/>
        <v>#DIV/0!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 t="e">
        <f t="shared" si="116"/>
        <v>#DIV/0!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 t="str">
        <f>+$G$3</f>
        <v>Year</v>
      </c>
      <c r="H467" s="10" t="str">
        <f>+G467</f>
        <v>Year</v>
      </c>
      <c r="I467" s="10" t="str">
        <f t="shared" ref="I467:M468" si="118">+H467</f>
        <v>Year</v>
      </c>
      <c r="J467" s="10" t="str">
        <f t="shared" si="118"/>
        <v>Year</v>
      </c>
      <c r="K467" s="10" t="str">
        <f t="shared" si="118"/>
        <v>Year</v>
      </c>
      <c r="L467" s="10" t="str">
        <f t="shared" si="118"/>
        <v>Year</v>
      </c>
      <c r="M467" s="10" t="str">
        <f t="shared" si="118"/>
        <v>Year</v>
      </c>
      <c r="N467" s="11"/>
      <c r="S467" s="12" t="str">
        <f>+C467</f>
        <v>Sgombeni</v>
      </c>
      <c r="T467" s="13">
        <f>+L471</f>
        <v>0</v>
      </c>
      <c r="U467" s="13">
        <f>+L472+L473</f>
        <v>0</v>
      </c>
      <c r="V467" s="13">
        <f>+L474+L475</f>
        <v>0</v>
      </c>
      <c r="W467" s="13">
        <f>+L478</f>
        <v>0</v>
      </c>
      <c r="X467" s="13">
        <f>+L476</f>
        <v>0</v>
      </c>
    </row>
    <row r="468" spans="1:24" x14ac:dyDescent="0.25">
      <c r="A468" s="14"/>
      <c r="B468" s="15"/>
      <c r="C468" s="41" t="str">
        <f>+$C452</f>
        <v>Month Year</v>
      </c>
      <c r="D468" s="18"/>
      <c r="E468" s="18"/>
      <c r="F468" s="18"/>
      <c r="G468" s="20" t="str">
        <f>+$G$4</f>
        <v>Mnt</v>
      </c>
      <c r="H468" s="20" t="str">
        <f>+G468</f>
        <v>Mnt</v>
      </c>
      <c r="I468" s="20" t="str">
        <f t="shared" si="118"/>
        <v>Mnt</v>
      </c>
      <c r="J468" s="20" t="str">
        <f t="shared" si="118"/>
        <v>Mnt</v>
      </c>
      <c r="K468" s="20" t="str">
        <f t="shared" si="118"/>
        <v>Mnt</v>
      </c>
      <c r="L468" s="20" t="str">
        <f t="shared" si="118"/>
        <v>Mnt</v>
      </c>
      <c r="M468" s="20" t="str">
        <f t="shared" si="118"/>
        <v>Mnt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0</v>
      </c>
      <c r="H469" s="25">
        <f>+$H$5</f>
        <v>0</v>
      </c>
      <c r="I469" s="25">
        <f>+$I$5</f>
        <v>0</v>
      </c>
      <c r="J469" s="25">
        <f>+$J$5</f>
        <v>0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0</v>
      </c>
      <c r="H471" s="31">
        <f t="shared" ref="H471:L471" si="119">SUM(H472:H475)</f>
        <v>0</v>
      </c>
      <c r="I471" s="31">
        <f t="shared" si="119"/>
        <v>0</v>
      </c>
      <c r="J471" s="31">
        <f t="shared" si="119"/>
        <v>0</v>
      </c>
      <c r="K471" s="31">
        <f t="shared" si="119"/>
        <v>0</v>
      </c>
      <c r="L471" s="31">
        <f t="shared" si="119"/>
        <v>0</v>
      </c>
      <c r="M471" s="31" t="e">
        <f>ROUND((L471/$E$1),0)</f>
        <v>#DIV/0!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/>
      <c r="H472" s="42"/>
      <c r="I472" s="42"/>
      <c r="J472" s="42"/>
      <c r="K472" s="42"/>
      <c r="L472" s="35">
        <f>SUM(G472:K472)</f>
        <v>0</v>
      </c>
      <c r="M472" s="35" t="e">
        <f t="shared" ref="M472:M480" si="120">ROUND((L472/$E$1),0)</f>
        <v>#DIV/0!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/>
      <c r="H473" s="42"/>
      <c r="I473" s="42"/>
      <c r="J473" s="42"/>
      <c r="K473" s="42"/>
      <c r="L473" s="35">
        <f t="shared" ref="L473:L480" si="121">SUM(G473:K473)</f>
        <v>0</v>
      </c>
      <c r="M473" s="35" t="e">
        <f t="shared" si="120"/>
        <v>#DIV/0!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/>
      <c r="H474" s="42"/>
      <c r="I474" s="42"/>
      <c r="J474" s="42"/>
      <c r="K474" s="42"/>
      <c r="L474" s="35">
        <f t="shared" si="121"/>
        <v>0</v>
      </c>
      <c r="M474" s="35" t="e">
        <f t="shared" si="120"/>
        <v>#DIV/0!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/>
      <c r="H475" s="43"/>
      <c r="I475" s="43"/>
      <c r="J475" s="43"/>
      <c r="K475" s="43"/>
      <c r="L475" s="31">
        <f t="shared" si="121"/>
        <v>0</v>
      </c>
      <c r="M475" s="31" t="e">
        <f t="shared" si="120"/>
        <v>#DIV/0!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 t="e">
        <f t="shared" si="120"/>
        <v>#DIV/0!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 t="e">
        <f t="shared" si="120"/>
        <v>#DIV/0!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/>
      <c r="H478" s="42"/>
      <c r="I478" s="42"/>
      <c r="J478" s="42"/>
      <c r="K478" s="42"/>
      <c r="L478" s="35">
        <f t="shared" si="121"/>
        <v>0</v>
      </c>
      <c r="M478" s="35" t="e">
        <f t="shared" si="120"/>
        <v>#DIV/0!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/>
      <c r="H479" s="42"/>
      <c r="I479" s="42"/>
      <c r="J479" s="42"/>
      <c r="K479" s="42"/>
      <c r="L479" s="35">
        <f t="shared" si="121"/>
        <v>0</v>
      </c>
      <c r="M479" s="35" t="e">
        <f t="shared" si="120"/>
        <v>#DIV/0!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 t="e">
        <f t="shared" si="120"/>
        <v>#DIV/0!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 t="str">
        <f>+$G$3</f>
        <v>Year</v>
      </c>
      <c r="H483" s="10" t="str">
        <f>+G483</f>
        <v>Year</v>
      </c>
      <c r="I483" s="10" t="str">
        <f t="shared" ref="I483:M484" si="122">+H483</f>
        <v>Year</v>
      </c>
      <c r="J483" s="10" t="str">
        <f t="shared" si="122"/>
        <v>Year</v>
      </c>
      <c r="K483" s="10" t="str">
        <f t="shared" si="122"/>
        <v>Year</v>
      </c>
      <c r="L483" s="10" t="str">
        <f t="shared" si="122"/>
        <v>Year</v>
      </c>
      <c r="M483" s="10" t="str">
        <f t="shared" si="122"/>
        <v>Year</v>
      </c>
      <c r="N483" s="11"/>
      <c r="S483" s="12" t="str">
        <f>+C483</f>
        <v>Lushikishini</v>
      </c>
      <c r="T483" s="13">
        <f>+L487</f>
        <v>0</v>
      </c>
      <c r="U483" s="13">
        <f>+L488+L489</f>
        <v>0</v>
      </c>
      <c r="V483" s="13">
        <f>+L490+L491</f>
        <v>0</v>
      </c>
      <c r="W483" s="13">
        <f>+L494</f>
        <v>0</v>
      </c>
      <c r="X483" s="13">
        <f>+L492</f>
        <v>0</v>
      </c>
    </row>
    <row r="484" spans="1:24" x14ac:dyDescent="0.25">
      <c r="A484" s="14"/>
      <c r="B484" s="15"/>
      <c r="C484" s="41" t="str">
        <f>+$C468</f>
        <v>Month Year</v>
      </c>
      <c r="D484" s="18"/>
      <c r="E484" s="18"/>
      <c r="F484" s="18"/>
      <c r="G484" s="20" t="str">
        <f>+$G$4</f>
        <v>Mnt</v>
      </c>
      <c r="H484" s="20" t="str">
        <f>+G484</f>
        <v>Mnt</v>
      </c>
      <c r="I484" s="20" t="str">
        <f t="shared" si="122"/>
        <v>Mnt</v>
      </c>
      <c r="J484" s="20" t="str">
        <f t="shared" si="122"/>
        <v>Mnt</v>
      </c>
      <c r="K484" s="20" t="str">
        <f t="shared" si="122"/>
        <v>Mnt</v>
      </c>
      <c r="L484" s="20" t="str">
        <f t="shared" si="122"/>
        <v>Mnt</v>
      </c>
      <c r="M484" s="20" t="str">
        <f t="shared" si="122"/>
        <v>Mnt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0</v>
      </c>
      <c r="H485" s="25">
        <f>+$H$5</f>
        <v>0</v>
      </c>
      <c r="I485" s="25">
        <f>+$I$5</f>
        <v>0</v>
      </c>
      <c r="J485" s="25">
        <f>+$J$5</f>
        <v>0</v>
      </c>
      <c r="K485" s="25">
        <f>+$K$5</f>
        <v>0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0</v>
      </c>
      <c r="H487" s="31">
        <f t="shared" ref="H487:L487" si="123">SUM(H488:H491)</f>
        <v>0</v>
      </c>
      <c r="I487" s="31">
        <f t="shared" si="123"/>
        <v>0</v>
      </c>
      <c r="J487" s="31">
        <f t="shared" si="123"/>
        <v>0</v>
      </c>
      <c r="K487" s="31">
        <f t="shared" si="123"/>
        <v>0</v>
      </c>
      <c r="L487" s="31">
        <f t="shared" si="123"/>
        <v>0</v>
      </c>
      <c r="M487" s="31" t="e">
        <f>ROUND((L487/$E$1),0)</f>
        <v>#DIV/0!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/>
      <c r="H488" s="42"/>
      <c r="I488" s="42"/>
      <c r="J488" s="42"/>
      <c r="K488" s="42"/>
      <c r="L488" s="35">
        <f>SUM(G488:K488)</f>
        <v>0</v>
      </c>
      <c r="M488" s="35" t="e">
        <f t="shared" ref="M488:M496" si="124">ROUND((L488/$E$1),0)</f>
        <v>#DIV/0!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/>
      <c r="H489" s="42"/>
      <c r="I489" s="42"/>
      <c r="J489" s="42"/>
      <c r="K489" s="42"/>
      <c r="L489" s="35">
        <f t="shared" ref="L489:L496" si="125">SUM(G489:K489)</f>
        <v>0</v>
      </c>
      <c r="M489" s="35" t="e">
        <f t="shared" si="124"/>
        <v>#DIV/0!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/>
      <c r="H490" s="42"/>
      <c r="I490" s="42"/>
      <c r="J490" s="42"/>
      <c r="K490" s="42"/>
      <c r="L490" s="35">
        <f t="shared" si="125"/>
        <v>0</v>
      </c>
      <c r="M490" s="35" t="e">
        <f t="shared" si="124"/>
        <v>#DIV/0!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/>
      <c r="H491" s="43"/>
      <c r="I491" s="43"/>
      <c r="J491" s="43"/>
      <c r="K491" s="43"/>
      <c r="L491" s="31">
        <f t="shared" si="125"/>
        <v>0</v>
      </c>
      <c r="M491" s="31" t="e">
        <f t="shared" si="124"/>
        <v>#DIV/0!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/>
      <c r="I492" s="42"/>
      <c r="J492" s="42"/>
      <c r="K492" s="42"/>
      <c r="L492" s="35">
        <f t="shared" si="125"/>
        <v>0</v>
      </c>
      <c r="M492" s="35" t="e">
        <f t="shared" si="124"/>
        <v>#DIV/0!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 t="e">
        <f t="shared" si="124"/>
        <v>#DIV/0!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/>
      <c r="I494" s="42"/>
      <c r="J494" s="42"/>
      <c r="K494" s="42"/>
      <c r="L494" s="35">
        <f t="shared" si="125"/>
        <v>0</v>
      </c>
      <c r="M494" s="35" t="e">
        <f t="shared" si="124"/>
        <v>#DIV/0!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/>
      <c r="I495" s="42"/>
      <c r="J495" s="42"/>
      <c r="K495" s="42"/>
      <c r="L495" s="35">
        <f t="shared" si="125"/>
        <v>0</v>
      </c>
      <c r="M495" s="35" t="e">
        <f t="shared" si="124"/>
        <v>#DIV/0!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 t="e">
        <f t="shared" si="124"/>
        <v>#DIV/0!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 t="str">
        <f>+$G$3</f>
        <v>Year</v>
      </c>
      <c r="H499" s="10" t="str">
        <f>+G499</f>
        <v>Year</v>
      </c>
      <c r="I499" s="10" t="str">
        <f t="shared" ref="I499:M500" si="126">+H499</f>
        <v>Year</v>
      </c>
      <c r="J499" s="10" t="str">
        <f t="shared" si="126"/>
        <v>Year</v>
      </c>
      <c r="K499" s="10" t="str">
        <f t="shared" si="126"/>
        <v>Year</v>
      </c>
      <c r="L499" s="10" t="str">
        <f t="shared" si="126"/>
        <v>Year</v>
      </c>
      <c r="M499" s="10" t="str">
        <f t="shared" si="126"/>
        <v>Year</v>
      </c>
      <c r="N499" s="11"/>
      <c r="S499" s="12" t="str">
        <f>+C499</f>
        <v>Sigengeni (Shiselweni)</v>
      </c>
      <c r="T499" s="13">
        <f>+L503</f>
        <v>0</v>
      </c>
      <c r="U499" s="13">
        <f>+L504+L505</f>
        <v>0</v>
      </c>
      <c r="V499" s="13">
        <f>+L506+L507</f>
        <v>0</v>
      </c>
      <c r="W499" s="13">
        <f>+L510</f>
        <v>0</v>
      </c>
      <c r="X499" s="13">
        <f>+L508</f>
        <v>0</v>
      </c>
    </row>
    <row r="500" spans="1:24" x14ac:dyDescent="0.25">
      <c r="A500" s="14"/>
      <c r="B500" s="15"/>
      <c r="C500" s="41" t="str">
        <f>+$C484</f>
        <v>Month Year</v>
      </c>
      <c r="D500" s="18"/>
      <c r="E500" s="18"/>
      <c r="F500" s="18"/>
      <c r="G500" s="20" t="str">
        <f>+$G$4</f>
        <v>Mnt</v>
      </c>
      <c r="H500" s="20" t="str">
        <f>+G500</f>
        <v>Mnt</v>
      </c>
      <c r="I500" s="20" t="str">
        <f t="shared" si="126"/>
        <v>Mnt</v>
      </c>
      <c r="J500" s="20" t="str">
        <f t="shared" si="126"/>
        <v>Mnt</v>
      </c>
      <c r="K500" s="20" t="str">
        <f t="shared" si="126"/>
        <v>Mnt</v>
      </c>
      <c r="L500" s="20" t="str">
        <f t="shared" si="126"/>
        <v>Mnt</v>
      </c>
      <c r="M500" s="20" t="str">
        <f t="shared" si="126"/>
        <v>Mnt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0</v>
      </c>
      <c r="H501" s="25">
        <f>+$H$5</f>
        <v>0</v>
      </c>
      <c r="I501" s="25">
        <f>+$I$5</f>
        <v>0</v>
      </c>
      <c r="J501" s="25">
        <f>+$J$5</f>
        <v>0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0</v>
      </c>
      <c r="H503" s="31">
        <f t="shared" ref="H503:L503" si="127">SUM(H504:H507)</f>
        <v>0</v>
      </c>
      <c r="I503" s="31">
        <f t="shared" si="127"/>
        <v>0</v>
      </c>
      <c r="J503" s="31">
        <f t="shared" si="127"/>
        <v>0</v>
      </c>
      <c r="K503" s="31">
        <f t="shared" si="127"/>
        <v>0</v>
      </c>
      <c r="L503" s="31">
        <f t="shared" si="127"/>
        <v>0</v>
      </c>
      <c r="M503" s="31" t="e">
        <f>ROUND((L503/$E$1),0)</f>
        <v>#DIV/0!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/>
      <c r="H504" s="42"/>
      <c r="I504" s="42"/>
      <c r="J504" s="42"/>
      <c r="K504" s="42"/>
      <c r="L504" s="35">
        <f>SUM(G504:K504)</f>
        <v>0</v>
      </c>
      <c r="M504" s="35" t="e">
        <f t="shared" ref="M504:M512" si="128">ROUND((L504/$E$1),0)</f>
        <v>#DIV/0!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/>
      <c r="H505" s="42"/>
      <c r="I505" s="42"/>
      <c r="J505" s="42"/>
      <c r="K505" s="42"/>
      <c r="L505" s="35">
        <f t="shared" ref="L505:L512" si="129">SUM(G505:K505)</f>
        <v>0</v>
      </c>
      <c r="M505" s="35" t="e">
        <f t="shared" si="128"/>
        <v>#DIV/0!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/>
      <c r="H506" s="42"/>
      <c r="I506" s="42"/>
      <c r="J506" s="42"/>
      <c r="K506" s="42"/>
      <c r="L506" s="35">
        <f t="shared" si="129"/>
        <v>0</v>
      </c>
      <c r="M506" s="35" t="e">
        <f t="shared" si="128"/>
        <v>#DIV/0!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/>
      <c r="H507" s="43"/>
      <c r="I507" s="43"/>
      <c r="J507" s="43"/>
      <c r="K507" s="43"/>
      <c r="L507" s="31">
        <f t="shared" si="129"/>
        <v>0</v>
      </c>
      <c r="M507" s="31" t="e">
        <f t="shared" si="128"/>
        <v>#DIV/0!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/>
      <c r="I508" s="42"/>
      <c r="J508" s="42"/>
      <c r="K508" s="42"/>
      <c r="L508" s="35">
        <f t="shared" si="129"/>
        <v>0</v>
      </c>
      <c r="M508" s="35" t="e">
        <f t="shared" si="128"/>
        <v>#DIV/0!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 t="e">
        <f t="shared" si="128"/>
        <v>#DIV/0!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/>
      <c r="H510" s="42"/>
      <c r="I510" s="42"/>
      <c r="J510" s="42"/>
      <c r="K510" s="42"/>
      <c r="L510" s="35">
        <f t="shared" si="129"/>
        <v>0</v>
      </c>
      <c r="M510" s="35" t="e">
        <f t="shared" si="128"/>
        <v>#DIV/0!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/>
      <c r="H511" s="42"/>
      <c r="I511" s="42"/>
      <c r="J511" s="42"/>
      <c r="K511" s="42"/>
      <c r="L511" s="35">
        <f t="shared" si="129"/>
        <v>0</v>
      </c>
      <c r="M511" s="35" t="e">
        <f t="shared" si="128"/>
        <v>#DIV/0!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 t="e">
        <f t="shared" si="128"/>
        <v>#DIV/0!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 t="str">
        <f>+$G$3</f>
        <v>Year</v>
      </c>
      <c r="H515" s="10" t="str">
        <f>+G515</f>
        <v>Year</v>
      </c>
      <c r="I515" s="10" t="str">
        <f t="shared" ref="I515:M516" si="130">+H515</f>
        <v>Year</v>
      </c>
      <c r="J515" s="10" t="str">
        <f t="shared" si="130"/>
        <v>Year</v>
      </c>
      <c r="K515" s="10" t="str">
        <f t="shared" si="130"/>
        <v>Year</v>
      </c>
      <c r="L515" s="10" t="str">
        <f t="shared" si="130"/>
        <v>Year</v>
      </c>
      <c r="M515" s="10" t="str">
        <f t="shared" si="130"/>
        <v>Year</v>
      </c>
      <c r="N515" s="11"/>
      <c r="S515" s="12" t="str">
        <f>+C515</f>
        <v>Gundviwini</v>
      </c>
      <c r="T515" s="13">
        <f>+L519</f>
        <v>0</v>
      </c>
      <c r="U515" s="13">
        <f>+L520+L521</f>
        <v>0</v>
      </c>
      <c r="V515" s="13">
        <f>+L522+L523</f>
        <v>0</v>
      </c>
      <c r="W515" s="13">
        <f>+L526</f>
        <v>0</v>
      </c>
      <c r="X515" s="13">
        <f>+L524</f>
        <v>0</v>
      </c>
    </row>
    <row r="516" spans="1:24" x14ac:dyDescent="0.25">
      <c r="A516" s="14"/>
      <c r="B516" s="15"/>
      <c r="C516" s="41" t="str">
        <f>+$C500</f>
        <v>Month Year</v>
      </c>
      <c r="D516" s="18"/>
      <c r="E516" s="18"/>
      <c r="F516" s="18"/>
      <c r="G516" s="20" t="str">
        <f>+$G$4</f>
        <v>Mnt</v>
      </c>
      <c r="H516" s="20" t="str">
        <f>+G516</f>
        <v>Mnt</v>
      </c>
      <c r="I516" s="20" t="str">
        <f t="shared" si="130"/>
        <v>Mnt</v>
      </c>
      <c r="J516" s="20" t="str">
        <f t="shared" si="130"/>
        <v>Mnt</v>
      </c>
      <c r="K516" s="20" t="str">
        <f t="shared" si="130"/>
        <v>Mnt</v>
      </c>
      <c r="L516" s="20" t="str">
        <f t="shared" si="130"/>
        <v>Mnt</v>
      </c>
      <c r="M516" s="20" t="str">
        <f t="shared" si="130"/>
        <v>Mnt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0</v>
      </c>
      <c r="H517" s="25">
        <f>+$H$5</f>
        <v>0</v>
      </c>
      <c r="I517" s="25">
        <f>+$I$5</f>
        <v>0</v>
      </c>
      <c r="J517" s="25">
        <f>+$J$5</f>
        <v>0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0</v>
      </c>
      <c r="H519" s="31">
        <f t="shared" ref="H519:L519" si="131">SUM(H520:H523)</f>
        <v>0</v>
      </c>
      <c r="I519" s="31">
        <f t="shared" si="131"/>
        <v>0</v>
      </c>
      <c r="J519" s="31">
        <f t="shared" si="131"/>
        <v>0</v>
      </c>
      <c r="K519" s="31">
        <f t="shared" si="131"/>
        <v>0</v>
      </c>
      <c r="L519" s="31">
        <f t="shared" si="131"/>
        <v>0</v>
      </c>
      <c r="M519" s="31" t="e">
        <f>ROUND((L519/$E$1),0)</f>
        <v>#DIV/0!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/>
      <c r="H520" s="42"/>
      <c r="I520" s="42"/>
      <c r="J520" s="42"/>
      <c r="K520" s="42"/>
      <c r="L520" s="35">
        <f>SUM(G520:K520)</f>
        <v>0</v>
      </c>
      <c r="M520" s="35" t="e">
        <f t="shared" ref="M520:M528" si="132">ROUND((L520/$E$1),0)</f>
        <v>#DIV/0!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/>
      <c r="H521" s="42"/>
      <c r="I521" s="42"/>
      <c r="J521" s="42"/>
      <c r="K521" s="42"/>
      <c r="L521" s="35">
        <f t="shared" ref="L521:L528" si="133">SUM(G521:K521)</f>
        <v>0</v>
      </c>
      <c r="M521" s="35" t="e">
        <f t="shared" si="132"/>
        <v>#DIV/0!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/>
      <c r="H522" s="42"/>
      <c r="I522" s="42"/>
      <c r="J522" s="42"/>
      <c r="K522" s="42"/>
      <c r="L522" s="35">
        <f t="shared" si="133"/>
        <v>0</v>
      </c>
      <c r="M522" s="35" t="e">
        <f t="shared" si="132"/>
        <v>#DIV/0!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/>
      <c r="H523" s="43"/>
      <c r="I523" s="43"/>
      <c r="J523" s="43"/>
      <c r="K523" s="43"/>
      <c r="L523" s="31">
        <f t="shared" si="133"/>
        <v>0</v>
      </c>
      <c r="M523" s="31" t="e">
        <f t="shared" si="132"/>
        <v>#DIV/0!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/>
      <c r="I524" s="42"/>
      <c r="J524" s="42"/>
      <c r="K524" s="42"/>
      <c r="L524" s="35">
        <f t="shared" si="133"/>
        <v>0</v>
      </c>
      <c r="M524" s="35" t="e">
        <f t="shared" si="132"/>
        <v>#DIV/0!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 t="e">
        <f t="shared" si="132"/>
        <v>#DIV/0!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/>
      <c r="I526" s="42"/>
      <c r="J526" s="42"/>
      <c r="K526" s="42"/>
      <c r="L526" s="35">
        <f t="shared" si="133"/>
        <v>0</v>
      </c>
      <c r="M526" s="35" t="e">
        <f t="shared" si="132"/>
        <v>#DIV/0!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 t="e">
        <f t="shared" si="132"/>
        <v>#DIV/0!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 t="e">
        <f t="shared" si="132"/>
        <v>#DIV/0!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 t="str">
        <f>+$G$3</f>
        <v>Year</v>
      </c>
      <c r="H531" s="10" t="str">
        <f>+G531</f>
        <v>Year</v>
      </c>
      <c r="I531" s="10" t="str">
        <f t="shared" ref="I531:M532" si="134">+H531</f>
        <v>Year</v>
      </c>
      <c r="J531" s="10" t="str">
        <f t="shared" si="134"/>
        <v>Year</v>
      </c>
      <c r="K531" s="10" t="str">
        <f t="shared" si="134"/>
        <v>Year</v>
      </c>
      <c r="L531" s="10" t="str">
        <f t="shared" si="134"/>
        <v>Year</v>
      </c>
      <c r="M531" s="10" t="str">
        <f t="shared" si="134"/>
        <v>Year</v>
      </c>
      <c r="N531" s="11"/>
      <c r="P531" s="44"/>
      <c r="S531" s="12" t="str">
        <f>+C531</f>
        <v>Mcuba</v>
      </c>
      <c r="T531" s="13">
        <f>+L535</f>
        <v>0</v>
      </c>
      <c r="U531" s="13">
        <f>+L536+L537</f>
        <v>0</v>
      </c>
      <c r="V531" s="13">
        <f>+L538+L539</f>
        <v>0</v>
      </c>
      <c r="W531" s="13">
        <f>+L542</f>
        <v>0</v>
      </c>
      <c r="X531" s="13">
        <f>+L540</f>
        <v>0</v>
      </c>
    </row>
    <row r="532" spans="1:24" x14ac:dyDescent="0.25">
      <c r="A532" s="14"/>
      <c r="B532" s="15"/>
      <c r="C532" s="41" t="str">
        <f>+$C516</f>
        <v>Month Year</v>
      </c>
      <c r="D532" s="18"/>
      <c r="E532" s="18"/>
      <c r="F532" s="18"/>
      <c r="G532" s="20" t="str">
        <f>+$G$4</f>
        <v>Mnt</v>
      </c>
      <c r="H532" s="20" t="str">
        <f>+G532</f>
        <v>Mnt</v>
      </c>
      <c r="I532" s="20" t="str">
        <f t="shared" si="134"/>
        <v>Mnt</v>
      </c>
      <c r="J532" s="20" t="str">
        <f t="shared" si="134"/>
        <v>Mnt</v>
      </c>
      <c r="K532" s="20" t="str">
        <f t="shared" si="134"/>
        <v>Mnt</v>
      </c>
      <c r="L532" s="20" t="str">
        <f t="shared" si="134"/>
        <v>Mnt</v>
      </c>
      <c r="M532" s="20" t="str">
        <f t="shared" si="134"/>
        <v>Mnt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0</v>
      </c>
      <c r="H533" s="25">
        <f>+$H$5</f>
        <v>0</v>
      </c>
      <c r="I533" s="25">
        <f>+$I$5</f>
        <v>0</v>
      </c>
      <c r="J533" s="25">
        <f>+$J$5</f>
        <v>0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0</v>
      </c>
      <c r="H535" s="31">
        <f t="shared" ref="H535:L535" si="135">SUM(H536:H539)</f>
        <v>0</v>
      </c>
      <c r="I535" s="31">
        <f t="shared" si="135"/>
        <v>0</v>
      </c>
      <c r="J535" s="31">
        <f t="shared" si="135"/>
        <v>0</v>
      </c>
      <c r="K535" s="31">
        <f t="shared" si="135"/>
        <v>0</v>
      </c>
      <c r="L535" s="31">
        <f t="shared" si="135"/>
        <v>0</v>
      </c>
      <c r="M535" s="31" t="e">
        <f>ROUND((L535/$E$1),0)</f>
        <v>#DIV/0!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/>
      <c r="H536" s="42"/>
      <c r="I536" s="42"/>
      <c r="J536" s="42"/>
      <c r="K536" s="42"/>
      <c r="L536" s="35">
        <f>SUM(G536:K536)</f>
        <v>0</v>
      </c>
      <c r="M536" s="35" t="e">
        <f t="shared" ref="M536:M544" si="136">ROUND((L536/$E$1),0)</f>
        <v>#DIV/0!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/>
      <c r="H537" s="42"/>
      <c r="I537" s="42"/>
      <c r="J537" s="42"/>
      <c r="K537" s="42"/>
      <c r="L537" s="35">
        <f t="shared" ref="L537:L544" si="137">SUM(G537:K537)</f>
        <v>0</v>
      </c>
      <c r="M537" s="35" t="e">
        <f t="shared" si="136"/>
        <v>#DIV/0!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/>
      <c r="H538" s="42"/>
      <c r="I538" s="42"/>
      <c r="J538" s="42"/>
      <c r="K538" s="42"/>
      <c r="L538" s="35">
        <f t="shared" si="137"/>
        <v>0</v>
      </c>
      <c r="M538" s="35" t="e">
        <f t="shared" si="136"/>
        <v>#DIV/0!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/>
      <c r="H539" s="43"/>
      <c r="I539" s="43"/>
      <c r="J539" s="43"/>
      <c r="K539" s="43"/>
      <c r="L539" s="31">
        <f t="shared" si="137"/>
        <v>0</v>
      </c>
      <c r="M539" s="31" t="e">
        <f t="shared" si="136"/>
        <v>#DIV/0!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 t="e">
        <f t="shared" si="136"/>
        <v>#DIV/0!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 t="e">
        <f t="shared" si="136"/>
        <v>#DIV/0!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/>
      <c r="J542" s="42"/>
      <c r="K542" s="42"/>
      <c r="L542" s="35">
        <f t="shared" si="137"/>
        <v>0</v>
      </c>
      <c r="M542" s="35" t="e">
        <f t="shared" si="136"/>
        <v>#DIV/0!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/>
      <c r="H543" s="42"/>
      <c r="I543" s="42"/>
      <c r="J543" s="42"/>
      <c r="K543" s="42"/>
      <c r="L543" s="35">
        <f t="shared" si="137"/>
        <v>0</v>
      </c>
      <c r="M543" s="35" t="e">
        <f t="shared" si="136"/>
        <v>#DIV/0!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 t="e">
        <f t="shared" si="136"/>
        <v>#DIV/0!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 t="str">
        <f>+$G$3</f>
        <v>Year</v>
      </c>
      <c r="H547" s="10" t="str">
        <f>+G547</f>
        <v>Year</v>
      </c>
      <c r="I547" s="10" t="str">
        <f t="shared" ref="I547:M548" si="138">+H547</f>
        <v>Year</v>
      </c>
      <c r="J547" s="10" t="str">
        <f t="shared" si="138"/>
        <v>Year</v>
      </c>
      <c r="K547" s="10" t="str">
        <f t="shared" si="138"/>
        <v>Year</v>
      </c>
      <c r="L547" s="10" t="str">
        <f t="shared" si="138"/>
        <v>Year</v>
      </c>
      <c r="M547" s="10" t="str">
        <f t="shared" si="138"/>
        <v>Year</v>
      </c>
      <c r="N547" s="11"/>
      <c r="P547" s="44"/>
      <c r="S547" s="12" t="str">
        <f>+C547</f>
        <v>Phonjwane</v>
      </c>
      <c r="T547" s="13">
        <f>+L551</f>
        <v>0</v>
      </c>
      <c r="U547" s="13">
        <f>+L552+L553</f>
        <v>0</v>
      </c>
      <c r="V547" s="13">
        <f>+L554+L555</f>
        <v>0</v>
      </c>
      <c r="W547" s="13">
        <f>+L558</f>
        <v>0</v>
      </c>
      <c r="X547" s="13">
        <f>+L556</f>
        <v>0</v>
      </c>
    </row>
    <row r="548" spans="1:24" x14ac:dyDescent="0.25">
      <c r="A548" s="14"/>
      <c r="B548" s="15"/>
      <c r="C548" s="41" t="str">
        <f>+$C532</f>
        <v>Month Year</v>
      </c>
      <c r="D548" s="18"/>
      <c r="E548" s="18"/>
      <c r="F548" s="18"/>
      <c r="G548" s="20" t="str">
        <f>+$G$4</f>
        <v>Mnt</v>
      </c>
      <c r="H548" s="20" t="str">
        <f>+G548</f>
        <v>Mnt</v>
      </c>
      <c r="I548" s="20" t="str">
        <f t="shared" si="138"/>
        <v>Mnt</v>
      </c>
      <c r="J548" s="20" t="str">
        <f t="shared" si="138"/>
        <v>Mnt</v>
      </c>
      <c r="K548" s="20" t="str">
        <f t="shared" si="138"/>
        <v>Mnt</v>
      </c>
      <c r="L548" s="20" t="str">
        <f t="shared" si="138"/>
        <v>Mnt</v>
      </c>
      <c r="M548" s="20" t="str">
        <f t="shared" si="138"/>
        <v>Mnt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0</v>
      </c>
      <c r="H549" s="25">
        <f>+$H$5</f>
        <v>0</v>
      </c>
      <c r="I549" s="25">
        <f>+$I$5</f>
        <v>0</v>
      </c>
      <c r="J549" s="25">
        <f>+$J$5</f>
        <v>0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0</v>
      </c>
      <c r="H551" s="31">
        <f t="shared" ref="H551:L551" si="139">SUM(H552:H555)</f>
        <v>0</v>
      </c>
      <c r="I551" s="31">
        <f t="shared" si="139"/>
        <v>0</v>
      </c>
      <c r="J551" s="31">
        <f t="shared" si="139"/>
        <v>0</v>
      </c>
      <c r="K551" s="31">
        <f t="shared" si="139"/>
        <v>0</v>
      </c>
      <c r="L551" s="31">
        <f t="shared" si="139"/>
        <v>0</v>
      </c>
      <c r="M551" s="31" t="e">
        <f>ROUND((L551/$E$1),0)</f>
        <v>#DIV/0!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/>
      <c r="H552" s="42"/>
      <c r="I552" s="42"/>
      <c r="J552" s="42"/>
      <c r="K552" s="42"/>
      <c r="L552" s="35">
        <f>SUM(G552:K552)</f>
        <v>0</v>
      </c>
      <c r="M552" s="35" t="e">
        <f t="shared" ref="M552:M560" si="140">ROUND((L552/$E$1),0)</f>
        <v>#DIV/0!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/>
      <c r="H553" s="42"/>
      <c r="I553" s="42"/>
      <c r="J553" s="42"/>
      <c r="K553" s="42"/>
      <c r="L553" s="35">
        <f t="shared" ref="L553:L560" si="141">SUM(G553:K553)</f>
        <v>0</v>
      </c>
      <c r="M553" s="35" t="e">
        <f t="shared" si="140"/>
        <v>#DIV/0!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/>
      <c r="H554" s="42"/>
      <c r="I554" s="42"/>
      <c r="J554" s="42"/>
      <c r="K554" s="42"/>
      <c r="L554" s="35">
        <f t="shared" si="141"/>
        <v>0</v>
      </c>
      <c r="M554" s="35" t="e">
        <f t="shared" si="140"/>
        <v>#DIV/0!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/>
      <c r="H555" s="43"/>
      <c r="I555" s="43"/>
      <c r="J555" s="43"/>
      <c r="K555" s="43"/>
      <c r="L555" s="31">
        <f t="shared" si="141"/>
        <v>0</v>
      </c>
      <c r="M555" s="31" t="e">
        <f t="shared" si="140"/>
        <v>#DIV/0!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/>
      <c r="J556" s="42"/>
      <c r="K556" s="42"/>
      <c r="L556" s="35">
        <f t="shared" si="141"/>
        <v>0</v>
      </c>
      <c r="M556" s="35" t="e">
        <f t="shared" si="140"/>
        <v>#DIV/0!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 t="e">
        <f t="shared" si="140"/>
        <v>#DIV/0!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/>
      <c r="H558" s="42"/>
      <c r="I558" s="42"/>
      <c r="J558" s="42"/>
      <c r="K558" s="42"/>
      <c r="L558" s="35">
        <f t="shared" si="141"/>
        <v>0</v>
      </c>
      <c r="M558" s="35" t="e">
        <f t="shared" si="140"/>
        <v>#DIV/0!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 t="e">
        <f t="shared" si="140"/>
        <v>#DIV/0!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 t="e">
        <f t="shared" si="140"/>
        <v>#DIV/0!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 t="str">
        <f>+$G$3</f>
        <v>Year</v>
      </c>
      <c r="H563" s="10" t="str">
        <f>+G563</f>
        <v>Year</v>
      </c>
      <c r="I563" s="10" t="str">
        <f t="shared" ref="I563:M564" si="142">+H563</f>
        <v>Year</v>
      </c>
      <c r="J563" s="10" t="str">
        <f t="shared" si="142"/>
        <v>Year</v>
      </c>
      <c r="K563" s="10" t="str">
        <f t="shared" si="142"/>
        <v>Year</v>
      </c>
      <c r="L563" s="10" t="str">
        <f t="shared" si="142"/>
        <v>Year</v>
      </c>
      <c r="M563" s="10" t="str">
        <f t="shared" si="142"/>
        <v>Year</v>
      </c>
      <c r="N563" s="11"/>
      <c r="P563" s="44"/>
      <c r="S563" s="12" t="str">
        <f>+C563</f>
        <v>Njakeni</v>
      </c>
      <c r="T563" s="13">
        <f>+L567</f>
        <v>0</v>
      </c>
      <c r="U563" s="13">
        <f>+L568+L569</f>
        <v>0</v>
      </c>
      <c r="V563" s="13">
        <f>+L570+L571</f>
        <v>0</v>
      </c>
      <c r="W563" s="13">
        <f>+L574</f>
        <v>0</v>
      </c>
      <c r="X563" s="13">
        <f>+L572</f>
        <v>0</v>
      </c>
    </row>
    <row r="564" spans="1:24" x14ac:dyDescent="0.25">
      <c r="A564" s="14"/>
      <c r="B564" s="15"/>
      <c r="C564" s="41" t="str">
        <f>+$C548</f>
        <v>Month Year</v>
      </c>
      <c r="D564" s="18"/>
      <c r="E564" s="18"/>
      <c r="F564" s="18"/>
      <c r="G564" s="20" t="str">
        <f>+$G$4</f>
        <v>Mnt</v>
      </c>
      <c r="H564" s="20" t="str">
        <f>+G564</f>
        <v>Mnt</v>
      </c>
      <c r="I564" s="20" t="str">
        <f t="shared" si="142"/>
        <v>Mnt</v>
      </c>
      <c r="J564" s="20" t="str">
        <f t="shared" si="142"/>
        <v>Mnt</v>
      </c>
      <c r="K564" s="20" t="str">
        <f t="shared" si="142"/>
        <v>Mnt</v>
      </c>
      <c r="L564" s="20" t="str">
        <f t="shared" si="142"/>
        <v>Mnt</v>
      </c>
      <c r="M564" s="20" t="str">
        <f t="shared" si="142"/>
        <v>Mnt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0</v>
      </c>
      <c r="H565" s="25">
        <f>+$H$5</f>
        <v>0</v>
      </c>
      <c r="I565" s="25">
        <f>+$I$5</f>
        <v>0</v>
      </c>
      <c r="J565" s="25">
        <f>+$J$5</f>
        <v>0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0</v>
      </c>
      <c r="H567" s="31">
        <f t="shared" ref="H567:L567" si="143">SUM(H568:H571)</f>
        <v>0</v>
      </c>
      <c r="I567" s="31">
        <f t="shared" si="143"/>
        <v>0</v>
      </c>
      <c r="J567" s="31">
        <f t="shared" si="143"/>
        <v>0</v>
      </c>
      <c r="K567" s="31">
        <f t="shared" si="143"/>
        <v>0</v>
      </c>
      <c r="L567" s="31">
        <f t="shared" si="143"/>
        <v>0</v>
      </c>
      <c r="M567" s="31" t="e">
        <f>ROUND((L567/$E$1),0)</f>
        <v>#DIV/0!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/>
      <c r="H568" s="42"/>
      <c r="I568" s="42"/>
      <c r="J568" s="42"/>
      <c r="K568" s="42"/>
      <c r="L568" s="35">
        <f>SUM(G568:K568)</f>
        <v>0</v>
      </c>
      <c r="M568" s="35" t="e">
        <f t="shared" ref="M568:M576" si="144">ROUND((L568/$E$1),0)</f>
        <v>#DIV/0!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/>
      <c r="H569" s="42"/>
      <c r="I569" s="42"/>
      <c r="J569" s="42"/>
      <c r="K569" s="42"/>
      <c r="L569" s="35">
        <f t="shared" ref="L569:L576" si="145">SUM(G569:K569)</f>
        <v>0</v>
      </c>
      <c r="M569" s="35" t="e">
        <f t="shared" si="144"/>
        <v>#DIV/0!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/>
      <c r="H570" s="42"/>
      <c r="I570" s="42"/>
      <c r="J570" s="42"/>
      <c r="K570" s="42"/>
      <c r="L570" s="35">
        <f t="shared" si="145"/>
        <v>0</v>
      </c>
      <c r="M570" s="35" t="e">
        <f t="shared" si="144"/>
        <v>#DIV/0!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/>
      <c r="H571" s="43"/>
      <c r="I571" s="43"/>
      <c r="J571" s="43"/>
      <c r="K571" s="43"/>
      <c r="L571" s="31">
        <f t="shared" si="145"/>
        <v>0</v>
      </c>
      <c r="M571" s="31" t="e">
        <f t="shared" si="144"/>
        <v>#DIV/0!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/>
      <c r="J572" s="42"/>
      <c r="K572" s="42"/>
      <c r="L572" s="35">
        <f t="shared" si="145"/>
        <v>0</v>
      </c>
      <c r="M572" s="35" t="e">
        <f t="shared" si="144"/>
        <v>#DIV/0!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 t="e">
        <f t="shared" si="144"/>
        <v>#DIV/0!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/>
      <c r="H574" s="42"/>
      <c r="I574" s="42"/>
      <c r="J574" s="42"/>
      <c r="K574" s="42"/>
      <c r="L574" s="35">
        <f t="shared" si="145"/>
        <v>0</v>
      </c>
      <c r="M574" s="35" t="e">
        <f t="shared" si="144"/>
        <v>#DIV/0!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/>
      <c r="H575" s="42"/>
      <c r="I575" s="42"/>
      <c r="J575" s="42"/>
      <c r="K575" s="42"/>
      <c r="L575" s="35">
        <f t="shared" si="145"/>
        <v>0</v>
      </c>
      <c r="M575" s="35" t="e">
        <f t="shared" si="144"/>
        <v>#DIV/0!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 t="e">
        <f t="shared" si="144"/>
        <v>#DIV/0!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 t="str">
        <f>+$G$3</f>
        <v>Year</v>
      </c>
      <c r="H579" s="10" t="str">
        <f>+G579</f>
        <v>Year</v>
      </c>
      <c r="I579" s="10" t="str">
        <f t="shared" ref="I579:M580" si="146">+H579</f>
        <v>Year</v>
      </c>
      <c r="J579" s="10" t="str">
        <f t="shared" si="146"/>
        <v>Year</v>
      </c>
      <c r="K579" s="10" t="str">
        <f t="shared" si="146"/>
        <v>Year</v>
      </c>
      <c r="L579" s="10" t="str">
        <f t="shared" si="146"/>
        <v>Year</v>
      </c>
      <c r="M579" s="10" t="str">
        <f t="shared" si="146"/>
        <v>Year</v>
      </c>
      <c r="N579" s="11"/>
      <c r="P579" s="44"/>
      <c r="S579" s="12" t="str">
        <f>+C579</f>
        <v>Mantabeni</v>
      </c>
      <c r="T579" s="13">
        <f>+L583</f>
        <v>0</v>
      </c>
      <c r="U579" s="13">
        <f>+L584+L585</f>
        <v>0</v>
      </c>
      <c r="V579" s="13">
        <f>+L586+L587</f>
        <v>0</v>
      </c>
      <c r="W579" s="13">
        <f>+L590</f>
        <v>0</v>
      </c>
      <c r="X579" s="13">
        <f>+L588</f>
        <v>0</v>
      </c>
    </row>
    <row r="580" spans="1:24" x14ac:dyDescent="0.25">
      <c r="A580" s="14"/>
      <c r="B580" s="15"/>
      <c r="C580" s="41" t="str">
        <f>+$C564</f>
        <v>Month Year</v>
      </c>
      <c r="D580" s="18"/>
      <c r="E580" s="18"/>
      <c r="F580" s="18"/>
      <c r="G580" s="20" t="str">
        <f>+$G$4</f>
        <v>Mnt</v>
      </c>
      <c r="H580" s="20" t="str">
        <f>+G580</f>
        <v>Mnt</v>
      </c>
      <c r="I580" s="20" t="str">
        <f t="shared" si="146"/>
        <v>Mnt</v>
      </c>
      <c r="J580" s="20" t="str">
        <f t="shared" si="146"/>
        <v>Mnt</v>
      </c>
      <c r="K580" s="20" t="str">
        <f t="shared" si="146"/>
        <v>Mnt</v>
      </c>
      <c r="L580" s="20" t="str">
        <f t="shared" si="146"/>
        <v>Mnt</v>
      </c>
      <c r="M580" s="20" t="str">
        <f t="shared" si="146"/>
        <v>Mnt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0</v>
      </c>
      <c r="H581" s="25">
        <f>+$H$5</f>
        <v>0</v>
      </c>
      <c r="I581" s="25">
        <f>+$I$5</f>
        <v>0</v>
      </c>
      <c r="J581" s="25">
        <f>+$J$5</f>
        <v>0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0</v>
      </c>
      <c r="H583" s="31">
        <f t="shared" ref="H583:L583" si="147">SUM(H584:H587)</f>
        <v>0</v>
      </c>
      <c r="I583" s="31">
        <f t="shared" si="147"/>
        <v>0</v>
      </c>
      <c r="J583" s="31">
        <f t="shared" si="147"/>
        <v>0</v>
      </c>
      <c r="K583" s="31">
        <f t="shared" si="147"/>
        <v>0</v>
      </c>
      <c r="L583" s="31">
        <f t="shared" si="147"/>
        <v>0</v>
      </c>
      <c r="M583" s="31" t="e">
        <f>ROUND((L583/$E$1),0)</f>
        <v>#DIV/0!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/>
      <c r="H584" s="42"/>
      <c r="I584" s="42"/>
      <c r="J584" s="42"/>
      <c r="K584" s="42"/>
      <c r="L584" s="35">
        <f>SUM(G584:K584)</f>
        <v>0</v>
      </c>
      <c r="M584" s="35" t="e">
        <f t="shared" ref="M584:M592" si="148">ROUND((L584/$E$1),0)</f>
        <v>#DIV/0!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/>
      <c r="H585" s="42"/>
      <c r="I585" s="42"/>
      <c r="J585" s="42"/>
      <c r="K585" s="42"/>
      <c r="L585" s="35">
        <f t="shared" ref="L585:L592" si="149">SUM(G585:K585)</f>
        <v>0</v>
      </c>
      <c r="M585" s="35" t="e">
        <f t="shared" si="148"/>
        <v>#DIV/0!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/>
      <c r="H586" s="42"/>
      <c r="I586" s="42"/>
      <c r="J586" s="42"/>
      <c r="K586" s="42"/>
      <c r="L586" s="35">
        <f t="shared" si="149"/>
        <v>0</v>
      </c>
      <c r="M586" s="35" t="e">
        <f t="shared" si="148"/>
        <v>#DIV/0!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/>
      <c r="H587" s="43"/>
      <c r="I587" s="43"/>
      <c r="J587" s="43"/>
      <c r="K587" s="43"/>
      <c r="L587" s="31">
        <f t="shared" si="149"/>
        <v>0</v>
      </c>
      <c r="M587" s="31" t="e">
        <f t="shared" si="148"/>
        <v>#DIV/0!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 t="e">
        <f t="shared" si="148"/>
        <v>#DIV/0!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 t="e">
        <f t="shared" si="148"/>
        <v>#DIV/0!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/>
      <c r="H590" s="42"/>
      <c r="I590" s="42"/>
      <c r="J590" s="42"/>
      <c r="K590" s="42"/>
      <c r="L590" s="35">
        <f t="shared" si="149"/>
        <v>0</v>
      </c>
      <c r="M590" s="35" t="e">
        <f t="shared" si="148"/>
        <v>#DIV/0!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/>
      <c r="H591" s="42"/>
      <c r="I591" s="42"/>
      <c r="J591" s="42"/>
      <c r="K591" s="42"/>
      <c r="L591" s="35">
        <f t="shared" si="149"/>
        <v>0</v>
      </c>
      <c r="M591" s="35" t="e">
        <f t="shared" si="148"/>
        <v>#DIV/0!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 t="e">
        <f t="shared" si="148"/>
        <v>#DIV/0!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 t="str">
        <f>+$G$3</f>
        <v>Year</v>
      </c>
      <c r="H595" s="10" t="str">
        <f>+G595</f>
        <v>Year</v>
      </c>
      <c r="I595" s="10" t="str">
        <f t="shared" ref="I595:M596" si="150">+H595</f>
        <v>Year</v>
      </c>
      <c r="J595" s="10" t="str">
        <f t="shared" si="150"/>
        <v>Year</v>
      </c>
      <c r="K595" s="10" t="str">
        <f t="shared" si="150"/>
        <v>Year</v>
      </c>
      <c r="L595" s="10" t="str">
        <f t="shared" si="150"/>
        <v>Year</v>
      </c>
      <c r="M595" s="10" t="str">
        <f t="shared" si="150"/>
        <v>Year</v>
      </c>
      <c r="N595" s="11"/>
      <c r="S595" s="12" t="str">
        <f>+C595</f>
        <v>Makhungutja</v>
      </c>
      <c r="T595" s="13">
        <f>+L599</f>
        <v>0</v>
      </c>
      <c r="U595" s="13">
        <f>+L600+L601</f>
        <v>0</v>
      </c>
      <c r="V595" s="13">
        <f>+L602+L603</f>
        <v>0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Month Year</v>
      </c>
      <c r="D596" s="18"/>
      <c r="E596" s="18"/>
      <c r="F596" s="18"/>
      <c r="G596" s="20" t="str">
        <f>+$G$4</f>
        <v>Mnt</v>
      </c>
      <c r="H596" s="20" t="str">
        <f>+G596</f>
        <v>Mnt</v>
      </c>
      <c r="I596" s="20" t="str">
        <f t="shared" si="150"/>
        <v>Mnt</v>
      </c>
      <c r="J596" s="20" t="str">
        <f t="shared" si="150"/>
        <v>Mnt</v>
      </c>
      <c r="K596" s="20" t="str">
        <f t="shared" si="150"/>
        <v>Mnt</v>
      </c>
      <c r="L596" s="20" t="str">
        <f t="shared" si="150"/>
        <v>Mnt</v>
      </c>
      <c r="M596" s="20" t="str">
        <f t="shared" si="150"/>
        <v>Mnt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0</v>
      </c>
      <c r="H597" s="25">
        <f>+$H$5</f>
        <v>0</v>
      </c>
      <c r="I597" s="25">
        <f>+$I$5</f>
        <v>0</v>
      </c>
      <c r="J597" s="25">
        <f>+$J$5</f>
        <v>0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0</v>
      </c>
      <c r="H599" s="31">
        <f t="shared" ref="H599:L599" si="151">SUM(H600:H603)</f>
        <v>0</v>
      </c>
      <c r="I599" s="31">
        <f t="shared" si="151"/>
        <v>0</v>
      </c>
      <c r="J599" s="31">
        <f t="shared" si="151"/>
        <v>0</v>
      </c>
      <c r="K599" s="31">
        <f t="shared" si="151"/>
        <v>0</v>
      </c>
      <c r="L599" s="31">
        <f t="shared" si="151"/>
        <v>0</v>
      </c>
      <c r="M599" s="31" t="e">
        <f>ROUND((L599/$E$1),0)</f>
        <v>#DIV/0!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/>
      <c r="H600" s="42"/>
      <c r="I600" s="42"/>
      <c r="J600" s="42"/>
      <c r="K600" s="42"/>
      <c r="L600" s="35">
        <f>SUM(G600:K600)</f>
        <v>0</v>
      </c>
      <c r="M600" s="35" t="e">
        <f t="shared" ref="M600:M608" si="152">ROUND((L600/$E$1),0)</f>
        <v>#DIV/0!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/>
      <c r="H601" s="42"/>
      <c r="I601" s="42"/>
      <c r="J601" s="42"/>
      <c r="K601" s="42"/>
      <c r="L601" s="35">
        <f t="shared" ref="L601:L608" si="153">SUM(G601:K601)</f>
        <v>0</v>
      </c>
      <c r="M601" s="35" t="e">
        <f t="shared" si="152"/>
        <v>#DIV/0!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/>
      <c r="H602" s="42"/>
      <c r="I602" s="42"/>
      <c r="J602" s="42"/>
      <c r="K602" s="42"/>
      <c r="L602" s="35">
        <f t="shared" si="153"/>
        <v>0</v>
      </c>
      <c r="M602" s="35" t="e">
        <f t="shared" si="152"/>
        <v>#DIV/0!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/>
      <c r="H603" s="43"/>
      <c r="I603" s="43"/>
      <c r="J603" s="43"/>
      <c r="K603" s="43"/>
      <c r="L603" s="31">
        <f t="shared" si="153"/>
        <v>0</v>
      </c>
      <c r="M603" s="31" t="e">
        <f t="shared" si="152"/>
        <v>#DIV/0!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 t="e">
        <f t="shared" si="152"/>
        <v>#DIV/0!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 t="e">
        <f t="shared" si="152"/>
        <v>#DIV/0!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 t="e">
        <f t="shared" si="152"/>
        <v>#DIV/0!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 t="e">
        <f t="shared" si="152"/>
        <v>#DIV/0!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 t="e">
        <f t="shared" si="152"/>
        <v>#DIV/0!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 t="str">
        <f>+$G$3</f>
        <v>Year</v>
      </c>
      <c r="H611" s="10" t="str">
        <f>+G611</f>
        <v>Year</v>
      </c>
      <c r="I611" s="10" t="str">
        <f t="shared" ref="I611:M612" si="154">+H611</f>
        <v>Year</v>
      </c>
      <c r="J611" s="10" t="str">
        <f t="shared" si="154"/>
        <v>Year</v>
      </c>
      <c r="K611" s="10" t="str">
        <f t="shared" si="154"/>
        <v>Year</v>
      </c>
      <c r="L611" s="10" t="str">
        <f t="shared" si="154"/>
        <v>Year</v>
      </c>
      <c r="M611" s="10" t="str">
        <f t="shared" si="154"/>
        <v>Year</v>
      </c>
      <c r="N611" s="11"/>
      <c r="S611" s="12" t="str">
        <f>+C611</f>
        <v>Moneni</v>
      </c>
      <c r="T611" s="13">
        <f>+L615</f>
        <v>0</v>
      </c>
      <c r="U611" s="13">
        <f>+L616+L617</f>
        <v>0</v>
      </c>
      <c r="V611" s="13">
        <f>+L618+L619</f>
        <v>0</v>
      </c>
      <c r="W611" s="13">
        <f>+L622</f>
        <v>0</v>
      </c>
      <c r="X611" s="13">
        <f>+L620</f>
        <v>0</v>
      </c>
    </row>
    <row r="612" spans="1:24" x14ac:dyDescent="0.25">
      <c r="A612" s="14"/>
      <c r="B612" s="15"/>
      <c r="C612" s="41" t="str">
        <f>+$C596</f>
        <v>Month Year</v>
      </c>
      <c r="D612" s="18"/>
      <c r="E612" s="18"/>
      <c r="F612" s="18"/>
      <c r="G612" s="20" t="str">
        <f>+$G$4</f>
        <v>Mnt</v>
      </c>
      <c r="H612" s="20" t="str">
        <f>+G612</f>
        <v>Mnt</v>
      </c>
      <c r="I612" s="20" t="str">
        <f t="shared" si="154"/>
        <v>Mnt</v>
      </c>
      <c r="J612" s="20" t="str">
        <f t="shared" si="154"/>
        <v>Mnt</v>
      </c>
      <c r="K612" s="20" t="str">
        <f t="shared" si="154"/>
        <v>Mnt</v>
      </c>
      <c r="L612" s="20" t="str">
        <f t="shared" si="154"/>
        <v>Mnt</v>
      </c>
      <c r="M612" s="20" t="str">
        <f t="shared" si="154"/>
        <v>Mnt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0</v>
      </c>
      <c r="H613" s="25">
        <f>+$H$5</f>
        <v>0</v>
      </c>
      <c r="I613" s="25">
        <f>+$I$5</f>
        <v>0</v>
      </c>
      <c r="J613" s="25">
        <f>+$J$5</f>
        <v>0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0</v>
      </c>
      <c r="H615" s="31">
        <f t="shared" ref="H615:L615" si="155">SUM(H616:H619)</f>
        <v>0</v>
      </c>
      <c r="I615" s="31">
        <f t="shared" si="155"/>
        <v>0</v>
      </c>
      <c r="J615" s="31">
        <f t="shared" si="155"/>
        <v>0</v>
      </c>
      <c r="K615" s="31">
        <f t="shared" si="155"/>
        <v>0</v>
      </c>
      <c r="L615" s="31">
        <f t="shared" si="155"/>
        <v>0</v>
      </c>
      <c r="M615" s="31" t="e">
        <f>ROUND((L615/$E$1),0)</f>
        <v>#DIV/0!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/>
      <c r="H616" s="42"/>
      <c r="I616" s="42"/>
      <c r="J616" s="42"/>
      <c r="K616" s="42"/>
      <c r="L616" s="35">
        <f>SUM(G616:K616)</f>
        <v>0</v>
      </c>
      <c r="M616" s="35" t="e">
        <f t="shared" ref="M616:M624" si="156">ROUND((L616/$E$1),0)</f>
        <v>#DIV/0!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/>
      <c r="H617" s="42"/>
      <c r="I617" s="42"/>
      <c r="J617" s="42"/>
      <c r="K617" s="42"/>
      <c r="L617" s="35">
        <f t="shared" ref="L617:L624" si="157">SUM(G617:K617)</f>
        <v>0</v>
      </c>
      <c r="M617" s="35" t="e">
        <f t="shared" si="156"/>
        <v>#DIV/0!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/>
      <c r="H618" s="42"/>
      <c r="I618" s="42"/>
      <c r="J618" s="42"/>
      <c r="K618" s="42"/>
      <c r="L618" s="35">
        <f t="shared" si="157"/>
        <v>0</v>
      </c>
      <c r="M618" s="35" t="e">
        <f t="shared" si="156"/>
        <v>#DIV/0!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/>
      <c r="H619" s="43"/>
      <c r="I619" s="43"/>
      <c r="J619" s="43"/>
      <c r="K619" s="43"/>
      <c r="L619" s="31">
        <f t="shared" si="157"/>
        <v>0</v>
      </c>
      <c r="M619" s="31" t="e">
        <f t="shared" si="156"/>
        <v>#DIV/0!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/>
      <c r="J620" s="42"/>
      <c r="K620" s="42"/>
      <c r="L620" s="35">
        <f t="shared" si="157"/>
        <v>0</v>
      </c>
      <c r="M620" s="35" t="e">
        <f t="shared" si="156"/>
        <v>#DIV/0!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 t="e">
        <f t="shared" si="156"/>
        <v>#DIV/0!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/>
      <c r="H622" s="42"/>
      <c r="I622" s="42"/>
      <c r="J622" s="42"/>
      <c r="K622" s="42"/>
      <c r="L622" s="35">
        <f t="shared" si="157"/>
        <v>0</v>
      </c>
      <c r="M622" s="35" t="e">
        <f t="shared" si="156"/>
        <v>#DIV/0!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/>
      <c r="I623" s="42"/>
      <c r="J623" s="42"/>
      <c r="K623" s="42"/>
      <c r="L623" s="35">
        <f t="shared" si="157"/>
        <v>0</v>
      </c>
      <c r="M623" s="35" t="e">
        <f t="shared" si="156"/>
        <v>#DIV/0!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 t="e">
        <f t="shared" si="156"/>
        <v>#DIV/0!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 t="str">
        <f>+$G$3</f>
        <v>Year</v>
      </c>
      <c r="H627" s="10" t="str">
        <f>+G627</f>
        <v>Year</v>
      </c>
      <c r="I627" s="10" t="str">
        <f t="shared" ref="I627:M628" si="158">+H627</f>
        <v>Year</v>
      </c>
      <c r="J627" s="10" t="str">
        <f t="shared" si="158"/>
        <v>Year</v>
      </c>
      <c r="K627" s="10" t="str">
        <f t="shared" si="158"/>
        <v>Year</v>
      </c>
      <c r="L627" s="10" t="str">
        <f t="shared" si="158"/>
        <v>Year</v>
      </c>
      <c r="M627" s="10" t="str">
        <f t="shared" si="158"/>
        <v>Year</v>
      </c>
      <c r="N627" s="11"/>
      <c r="S627" s="12" t="str">
        <f>+C627</f>
        <v>Mabhukwini</v>
      </c>
      <c r="T627" s="13">
        <f>+L631</f>
        <v>0</v>
      </c>
      <c r="U627" s="13">
        <f>+L632+L633</f>
        <v>0</v>
      </c>
      <c r="V627" s="13">
        <f>+L634+L635</f>
        <v>0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Month Year</v>
      </c>
      <c r="D628" s="18"/>
      <c r="E628" s="18"/>
      <c r="F628" s="18"/>
      <c r="G628" s="20" t="str">
        <f>+$G$4</f>
        <v>Mnt</v>
      </c>
      <c r="H628" s="20" t="str">
        <f>+G628</f>
        <v>Mnt</v>
      </c>
      <c r="I628" s="20" t="str">
        <f t="shared" si="158"/>
        <v>Mnt</v>
      </c>
      <c r="J628" s="20" t="str">
        <f t="shared" si="158"/>
        <v>Mnt</v>
      </c>
      <c r="K628" s="20" t="str">
        <f t="shared" si="158"/>
        <v>Mnt</v>
      </c>
      <c r="L628" s="20" t="str">
        <f t="shared" si="158"/>
        <v>Mnt</v>
      </c>
      <c r="M628" s="20" t="str">
        <f t="shared" si="158"/>
        <v>Mnt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0</v>
      </c>
      <c r="H629" s="25">
        <f>+$H$5</f>
        <v>0</v>
      </c>
      <c r="I629" s="25">
        <f>+$I$5</f>
        <v>0</v>
      </c>
      <c r="J629" s="25">
        <f>+$J$5</f>
        <v>0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0</v>
      </c>
      <c r="H631" s="31">
        <f t="shared" ref="H631:L631" si="159">SUM(H632:H635)</f>
        <v>0</v>
      </c>
      <c r="I631" s="31">
        <f t="shared" si="159"/>
        <v>0</v>
      </c>
      <c r="J631" s="31">
        <f t="shared" si="159"/>
        <v>0</v>
      </c>
      <c r="K631" s="31">
        <f t="shared" si="159"/>
        <v>0</v>
      </c>
      <c r="L631" s="31">
        <f t="shared" si="159"/>
        <v>0</v>
      </c>
      <c r="M631" s="31" t="e">
        <f>ROUND((L631/$E$1),0)</f>
        <v>#DIV/0!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/>
      <c r="H632" s="42"/>
      <c r="I632" s="42"/>
      <c r="J632" s="42"/>
      <c r="K632" s="42"/>
      <c r="L632" s="35">
        <f>SUM(G632:K632)</f>
        <v>0</v>
      </c>
      <c r="M632" s="35" t="e">
        <f t="shared" ref="M632:M640" si="160">ROUND((L632/$E$1),0)</f>
        <v>#DIV/0!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/>
      <c r="H633" s="42"/>
      <c r="I633" s="42"/>
      <c r="J633" s="42"/>
      <c r="K633" s="42"/>
      <c r="L633" s="35">
        <f t="shared" ref="L633:L640" si="161">SUM(G633:K633)</f>
        <v>0</v>
      </c>
      <c r="M633" s="35" t="e">
        <f t="shared" si="160"/>
        <v>#DIV/0!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/>
      <c r="H634" s="42"/>
      <c r="I634" s="42"/>
      <c r="J634" s="42"/>
      <c r="K634" s="42"/>
      <c r="L634" s="35">
        <f t="shared" si="161"/>
        <v>0</v>
      </c>
      <c r="M634" s="35" t="e">
        <f t="shared" si="160"/>
        <v>#DIV/0!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/>
      <c r="H635" s="43"/>
      <c r="I635" s="43"/>
      <c r="J635" s="43"/>
      <c r="K635" s="43"/>
      <c r="L635" s="31">
        <f t="shared" si="161"/>
        <v>0</v>
      </c>
      <c r="M635" s="31" t="e">
        <f t="shared" si="160"/>
        <v>#DIV/0!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 t="e">
        <f t="shared" si="160"/>
        <v>#DIV/0!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 t="e">
        <f t="shared" si="160"/>
        <v>#DIV/0!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 t="e">
        <f t="shared" si="160"/>
        <v>#DIV/0!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 t="e">
        <f t="shared" si="160"/>
        <v>#DIV/0!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 t="e">
        <f t="shared" si="160"/>
        <v>#DIV/0!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54</v>
      </c>
      <c r="D643" s="7"/>
      <c r="E643" s="8"/>
      <c r="F643" s="8"/>
      <c r="G643" s="10" t="str">
        <f>+$G$3</f>
        <v>Year</v>
      </c>
      <c r="H643" s="10" t="str">
        <f>+G643</f>
        <v>Year</v>
      </c>
      <c r="I643" s="10" t="str">
        <f t="shared" ref="I643:M644" si="162">+H643</f>
        <v>Year</v>
      </c>
      <c r="J643" s="10" t="str">
        <f t="shared" si="162"/>
        <v>Year</v>
      </c>
      <c r="K643" s="10" t="str">
        <f t="shared" si="162"/>
        <v>Year</v>
      </c>
      <c r="L643" s="10" t="str">
        <f t="shared" si="162"/>
        <v>Year</v>
      </c>
      <c r="M643" s="10" t="str">
        <f t="shared" si="162"/>
        <v>Year</v>
      </c>
      <c r="N643" s="11"/>
      <c r="S643" s="12" t="str">
        <f>+C643</f>
        <v>ICBC Details</v>
      </c>
      <c r="T643" s="13">
        <f>+L647</f>
        <v>0</v>
      </c>
      <c r="U643" s="13">
        <f>+L648+L649</f>
        <v>0</v>
      </c>
      <c r="V643" s="13">
        <f>+L650+L651</f>
        <v>0</v>
      </c>
      <c r="W643" s="13">
        <f>+L654</f>
        <v>0</v>
      </c>
      <c r="X643" s="13">
        <f>+L652</f>
        <v>0</v>
      </c>
    </row>
    <row r="644" spans="1:24" x14ac:dyDescent="0.25">
      <c r="A644" s="14"/>
      <c r="B644" s="15"/>
      <c r="C644" s="41" t="str">
        <f>+$C628</f>
        <v>Month Year</v>
      </c>
      <c r="D644" s="18"/>
      <c r="E644" s="18"/>
      <c r="F644" s="18"/>
      <c r="G644" s="20" t="str">
        <f>+$G$4</f>
        <v>Mnt</v>
      </c>
      <c r="H644" s="20" t="str">
        <f>+G644</f>
        <v>Mnt</v>
      </c>
      <c r="I644" s="20" t="str">
        <f t="shared" si="162"/>
        <v>Mnt</v>
      </c>
      <c r="J644" s="20" t="str">
        <f t="shared" si="162"/>
        <v>Mnt</v>
      </c>
      <c r="K644" s="20" t="str">
        <f t="shared" si="162"/>
        <v>Mnt</v>
      </c>
      <c r="L644" s="20" t="str">
        <f t="shared" si="162"/>
        <v>Mnt</v>
      </c>
      <c r="M644" s="20" t="str">
        <f t="shared" si="162"/>
        <v>Mnt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0</v>
      </c>
      <c r="H645" s="25">
        <f>+$H$5</f>
        <v>0</v>
      </c>
      <c r="I645" s="25">
        <f>+$I$5</f>
        <v>0</v>
      </c>
      <c r="J645" s="25">
        <f>+$J$5</f>
        <v>0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0</v>
      </c>
      <c r="H647" s="31">
        <f t="shared" ref="H647:L647" si="163">SUM(H648:H651)</f>
        <v>0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0</v>
      </c>
      <c r="M647" s="31" t="e">
        <f>ROUND((L647/$E$1),0)</f>
        <v>#DIV/0!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/>
      <c r="H648" s="42"/>
      <c r="I648" s="42"/>
      <c r="J648" s="42"/>
      <c r="K648" s="42"/>
      <c r="L648" s="35">
        <f>SUM(G648:K648)</f>
        <v>0</v>
      </c>
      <c r="M648" s="35" t="e">
        <f t="shared" ref="M648:M656" si="164">ROUND((L648/$E$1),0)</f>
        <v>#DIV/0!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/>
      <c r="H649" s="42"/>
      <c r="I649" s="42"/>
      <c r="J649" s="42"/>
      <c r="K649" s="42"/>
      <c r="L649" s="35">
        <f t="shared" ref="L649:L656" si="165">SUM(G649:K649)</f>
        <v>0</v>
      </c>
      <c r="M649" s="35" t="e">
        <f t="shared" si="164"/>
        <v>#DIV/0!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/>
      <c r="H650" s="42"/>
      <c r="I650" s="42"/>
      <c r="J650" s="42"/>
      <c r="K650" s="42"/>
      <c r="L650" s="35">
        <f t="shared" si="165"/>
        <v>0</v>
      </c>
      <c r="M650" s="35" t="e">
        <f t="shared" si="164"/>
        <v>#DIV/0!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/>
      <c r="H651" s="43"/>
      <c r="I651" s="43"/>
      <c r="J651" s="43"/>
      <c r="K651" s="43"/>
      <c r="L651" s="31">
        <f t="shared" si="165"/>
        <v>0</v>
      </c>
      <c r="M651" s="31" t="e">
        <f t="shared" si="164"/>
        <v>#DIV/0!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 t="e">
        <f t="shared" si="164"/>
        <v>#DIV/0!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 t="e">
        <f t="shared" si="164"/>
        <v>#DIV/0!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/>
      <c r="H654" s="42"/>
      <c r="I654" s="42"/>
      <c r="J654" s="42"/>
      <c r="K654" s="42"/>
      <c r="L654" s="35">
        <f t="shared" si="165"/>
        <v>0</v>
      </c>
      <c r="M654" s="35" t="e">
        <f t="shared" si="164"/>
        <v>#DIV/0!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 t="e">
        <f t="shared" si="164"/>
        <v>#DIV/0!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 t="e">
        <f t="shared" si="164"/>
        <v>#DIV/0!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 t="str">
        <f>+$G$3</f>
        <v>Year</v>
      </c>
      <c r="H659" s="10" t="str">
        <f>+G659</f>
        <v>Year</v>
      </c>
      <c r="I659" s="10" t="str">
        <f t="shared" ref="I659:M660" si="166">+H659</f>
        <v>Year</v>
      </c>
      <c r="J659" s="10" t="str">
        <f t="shared" si="166"/>
        <v>Year</v>
      </c>
      <c r="K659" s="10" t="str">
        <f t="shared" si="166"/>
        <v>Year</v>
      </c>
      <c r="L659" s="10" t="str">
        <f t="shared" si="166"/>
        <v>Year</v>
      </c>
      <c r="M659" s="10" t="str">
        <f t="shared" si="166"/>
        <v>Year</v>
      </c>
      <c r="N659" s="11"/>
      <c r="P659" s="50"/>
      <c r="S659" s="12" t="str">
        <f>+C659</f>
        <v>ICBC Details</v>
      </c>
      <c r="T659" s="13">
        <f>+L663</f>
        <v>0</v>
      </c>
      <c r="U659" s="13">
        <f>+L664+L665</f>
        <v>0</v>
      </c>
      <c r="V659" s="13">
        <f>+L666+L667</f>
        <v>0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Month Year</v>
      </c>
      <c r="D660" s="18"/>
      <c r="E660" s="18"/>
      <c r="F660" s="18"/>
      <c r="G660" s="20" t="str">
        <f>+$G$4</f>
        <v>Mnt</v>
      </c>
      <c r="H660" s="20" t="str">
        <f>+G660</f>
        <v>Mnt</v>
      </c>
      <c r="I660" s="20" t="str">
        <f t="shared" si="166"/>
        <v>Mnt</v>
      </c>
      <c r="J660" s="20" t="str">
        <f t="shared" si="166"/>
        <v>Mnt</v>
      </c>
      <c r="K660" s="20" t="str">
        <f t="shared" si="166"/>
        <v>Mnt</v>
      </c>
      <c r="L660" s="20" t="str">
        <f t="shared" si="166"/>
        <v>Mnt</v>
      </c>
      <c r="M660" s="20" t="str">
        <f t="shared" si="166"/>
        <v>Mnt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0</v>
      </c>
      <c r="H661" s="25">
        <f>+$H$5</f>
        <v>0</v>
      </c>
      <c r="I661" s="25">
        <f>+$I$5</f>
        <v>0</v>
      </c>
      <c r="J661" s="25">
        <f>+$J$5</f>
        <v>0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0</v>
      </c>
      <c r="H663" s="31">
        <f t="shared" ref="H663:L663" si="167">SUM(H664:H667)</f>
        <v>0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0</v>
      </c>
      <c r="M663" s="31" t="e">
        <f>ROUND((L663/$E$1),0)</f>
        <v>#DIV/0!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 t="e">
        <f t="shared" ref="M664:M672" si="168">ROUND((L664/$E$1),0)</f>
        <v>#DIV/0!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/>
      <c r="H665" s="42"/>
      <c r="I665" s="42"/>
      <c r="J665" s="42"/>
      <c r="K665" s="42"/>
      <c r="L665" s="35">
        <f t="shared" ref="L665:L672" si="169">SUM(G665:K665)</f>
        <v>0</v>
      </c>
      <c r="M665" s="35" t="e">
        <f t="shared" si="168"/>
        <v>#DIV/0!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/>
      <c r="H666" s="42"/>
      <c r="I666" s="42"/>
      <c r="J666" s="42"/>
      <c r="K666" s="42"/>
      <c r="L666" s="35">
        <f t="shared" si="169"/>
        <v>0</v>
      </c>
      <c r="M666" s="35" t="e">
        <f t="shared" si="168"/>
        <v>#DIV/0!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/>
      <c r="H667" s="43"/>
      <c r="I667" s="43"/>
      <c r="J667" s="43"/>
      <c r="K667" s="43"/>
      <c r="L667" s="31">
        <f t="shared" si="169"/>
        <v>0</v>
      </c>
      <c r="M667" s="31" t="e">
        <f t="shared" si="168"/>
        <v>#DIV/0!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 t="e">
        <f t="shared" si="168"/>
        <v>#DIV/0!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 t="e">
        <f t="shared" si="168"/>
        <v>#DIV/0!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 t="e">
        <f t="shared" si="168"/>
        <v>#DIV/0!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/>
      <c r="I671" s="42"/>
      <c r="J671" s="42"/>
      <c r="K671" s="42"/>
      <c r="L671" s="35">
        <f t="shared" si="169"/>
        <v>0</v>
      </c>
      <c r="M671" s="35" t="e">
        <f t="shared" si="168"/>
        <v>#DIV/0!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 t="e">
        <f t="shared" si="168"/>
        <v>#DIV/0!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 t="str">
        <f>+$G$3</f>
        <v>Year</v>
      </c>
      <c r="H675" s="10" t="str">
        <f>+G675</f>
        <v>Year</v>
      </c>
      <c r="I675" s="10" t="str">
        <f t="shared" ref="I675:M676" si="170">+H675</f>
        <v>Year</v>
      </c>
      <c r="J675" s="10" t="str">
        <f t="shared" si="170"/>
        <v>Year</v>
      </c>
      <c r="K675" s="10" t="str">
        <f t="shared" si="170"/>
        <v>Year</v>
      </c>
      <c r="L675" s="10" t="str">
        <f t="shared" si="170"/>
        <v>Year</v>
      </c>
      <c r="M675" s="10" t="str">
        <f t="shared" si="170"/>
        <v>Year</v>
      </c>
      <c r="N675" s="11"/>
      <c r="P675" s="50"/>
      <c r="S675" s="12" t="str">
        <f>+C675</f>
        <v>ICBC Details</v>
      </c>
      <c r="T675" s="13">
        <f>+L679</f>
        <v>0</v>
      </c>
      <c r="U675" s="13">
        <f>+L680+L681</f>
        <v>0</v>
      </c>
      <c r="V675" s="13">
        <f>+L682+L683</f>
        <v>0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Month Year</v>
      </c>
      <c r="D676" s="18"/>
      <c r="E676" s="18"/>
      <c r="F676" s="18"/>
      <c r="G676" s="20" t="str">
        <f>+$G$4</f>
        <v>Mnt</v>
      </c>
      <c r="H676" s="20" t="str">
        <f>+G676</f>
        <v>Mnt</v>
      </c>
      <c r="I676" s="20" t="str">
        <f t="shared" si="170"/>
        <v>Mnt</v>
      </c>
      <c r="J676" s="20" t="str">
        <f t="shared" si="170"/>
        <v>Mnt</v>
      </c>
      <c r="K676" s="20" t="str">
        <f t="shared" si="170"/>
        <v>Mnt</v>
      </c>
      <c r="L676" s="20" t="str">
        <f t="shared" si="170"/>
        <v>Mnt</v>
      </c>
      <c r="M676" s="20" t="str">
        <f t="shared" si="170"/>
        <v>Mnt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0</v>
      </c>
      <c r="H677" s="25">
        <f>+$H$5</f>
        <v>0</v>
      </c>
      <c r="I677" s="25">
        <f>+$I$5</f>
        <v>0</v>
      </c>
      <c r="J677" s="25">
        <f>+$J$5</f>
        <v>0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0</v>
      </c>
      <c r="H679" s="31">
        <f t="shared" ref="H679:L679" si="171">SUM(H680:H683)</f>
        <v>0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0</v>
      </c>
      <c r="M679" s="31" t="e">
        <f>ROUND((L679/$E$1),0)</f>
        <v>#DIV/0!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/>
      <c r="H680" s="42"/>
      <c r="I680" s="42"/>
      <c r="J680" s="42"/>
      <c r="K680" s="42"/>
      <c r="L680" s="35">
        <f>SUM(G680:K680)</f>
        <v>0</v>
      </c>
      <c r="M680" s="35" t="e">
        <f t="shared" ref="M680:M688" si="172">ROUND((L680/$E$1),0)</f>
        <v>#DIV/0!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/>
      <c r="H681" s="42"/>
      <c r="I681" s="42"/>
      <c r="J681" s="42"/>
      <c r="K681" s="42"/>
      <c r="L681" s="35">
        <f t="shared" ref="L681:L688" si="173">SUM(G681:K681)</f>
        <v>0</v>
      </c>
      <c r="M681" s="35" t="e">
        <f t="shared" si="172"/>
        <v>#DIV/0!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/>
      <c r="H682" s="42"/>
      <c r="I682" s="42"/>
      <c r="J682" s="42"/>
      <c r="K682" s="42"/>
      <c r="L682" s="35">
        <f t="shared" si="173"/>
        <v>0</v>
      </c>
      <c r="M682" s="35" t="e">
        <f t="shared" si="172"/>
        <v>#DIV/0!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/>
      <c r="H683" s="43"/>
      <c r="I683" s="43"/>
      <c r="J683" s="43"/>
      <c r="K683" s="43"/>
      <c r="L683" s="31">
        <f t="shared" si="173"/>
        <v>0</v>
      </c>
      <c r="M683" s="31" t="e">
        <f t="shared" si="172"/>
        <v>#DIV/0!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 t="e">
        <f t="shared" si="172"/>
        <v>#DIV/0!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 t="e">
        <f t="shared" si="172"/>
        <v>#DIV/0!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 t="e">
        <f t="shared" si="172"/>
        <v>#DIV/0!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 t="e">
        <f t="shared" si="172"/>
        <v>#DIV/0!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 t="e">
        <f t="shared" si="172"/>
        <v>#DIV/0!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 t="str">
        <f>+$G$3</f>
        <v>Year</v>
      </c>
      <c r="H691" s="10" t="str">
        <f>+G691</f>
        <v>Year</v>
      </c>
      <c r="I691" s="10" t="str">
        <f t="shared" ref="I691:M692" si="174">+H691</f>
        <v>Year</v>
      </c>
      <c r="J691" s="10" t="str">
        <f t="shared" si="174"/>
        <v>Year</v>
      </c>
      <c r="K691" s="10" t="str">
        <f t="shared" si="174"/>
        <v>Year</v>
      </c>
      <c r="L691" s="10" t="str">
        <f t="shared" si="174"/>
        <v>Year</v>
      </c>
      <c r="M691" s="10" t="str">
        <f t="shared" si="174"/>
        <v>Year</v>
      </c>
      <c r="N691" s="11"/>
      <c r="P691" s="51"/>
      <c r="S691" s="12" t="str">
        <f>+C691</f>
        <v>ICBC Details</v>
      </c>
      <c r="T691" s="13">
        <f>+L695</f>
        <v>0</v>
      </c>
      <c r="U691" s="13">
        <f>+L696+L697</f>
        <v>0</v>
      </c>
      <c r="V691" s="13">
        <f>+L698+L699</f>
        <v>0</v>
      </c>
      <c r="W691" s="13">
        <f>+L702</f>
        <v>0</v>
      </c>
      <c r="X691" s="13">
        <f>+L700</f>
        <v>0</v>
      </c>
    </row>
    <row r="692" spans="1:24" x14ac:dyDescent="0.25">
      <c r="A692" s="14"/>
      <c r="B692" s="15"/>
      <c r="C692" s="41" t="str">
        <f>+$C676</f>
        <v>Month Year</v>
      </c>
      <c r="D692" s="18"/>
      <c r="E692" s="18"/>
      <c r="F692" s="18"/>
      <c r="G692" s="20" t="str">
        <f>+$G$4</f>
        <v>Mnt</v>
      </c>
      <c r="H692" s="20" t="str">
        <f>+G692</f>
        <v>Mnt</v>
      </c>
      <c r="I692" s="20" t="str">
        <f t="shared" si="174"/>
        <v>Mnt</v>
      </c>
      <c r="J692" s="20" t="str">
        <f t="shared" si="174"/>
        <v>Mnt</v>
      </c>
      <c r="K692" s="20" t="str">
        <f t="shared" si="174"/>
        <v>Mnt</v>
      </c>
      <c r="L692" s="20" t="str">
        <f t="shared" si="174"/>
        <v>Mnt</v>
      </c>
      <c r="M692" s="20" t="str">
        <f t="shared" si="174"/>
        <v>Mnt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0</v>
      </c>
      <c r="H693" s="25">
        <f>+$H$5</f>
        <v>0</v>
      </c>
      <c r="I693" s="25">
        <f>+$I$5</f>
        <v>0</v>
      </c>
      <c r="J693" s="25">
        <f>+$J$5</f>
        <v>0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0</v>
      </c>
      <c r="H695" s="31">
        <f t="shared" ref="H695:L695" si="175">SUM(H696:H699)</f>
        <v>0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0</v>
      </c>
      <c r="M695" s="31" t="e">
        <f>ROUND((L695/$E$1),0)</f>
        <v>#DIV/0!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/>
      <c r="H696" s="42"/>
      <c r="I696" s="42"/>
      <c r="J696" s="42"/>
      <c r="K696" s="42"/>
      <c r="L696" s="35">
        <f>SUM(G696:K696)</f>
        <v>0</v>
      </c>
      <c r="M696" s="35" t="e">
        <f t="shared" ref="M696:M704" si="176">ROUND((L696/$E$1),0)</f>
        <v>#DIV/0!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/>
      <c r="H697" s="42"/>
      <c r="I697" s="42"/>
      <c r="J697" s="42"/>
      <c r="K697" s="42"/>
      <c r="L697" s="35">
        <f t="shared" ref="L697:L704" si="177">SUM(G697:K697)</f>
        <v>0</v>
      </c>
      <c r="M697" s="35" t="e">
        <f t="shared" si="176"/>
        <v>#DIV/0!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/>
      <c r="H698" s="42"/>
      <c r="I698" s="42"/>
      <c r="J698" s="42"/>
      <c r="K698" s="42"/>
      <c r="L698" s="35">
        <f t="shared" si="177"/>
        <v>0</v>
      </c>
      <c r="M698" s="35" t="e">
        <f t="shared" si="176"/>
        <v>#DIV/0!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/>
      <c r="H699" s="43"/>
      <c r="I699" s="43"/>
      <c r="J699" s="43"/>
      <c r="K699" s="43"/>
      <c r="L699" s="31">
        <f t="shared" si="177"/>
        <v>0</v>
      </c>
      <c r="M699" s="31" t="e">
        <f t="shared" si="176"/>
        <v>#DIV/0!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/>
      <c r="H700" s="42"/>
      <c r="I700" s="42"/>
      <c r="J700" s="42"/>
      <c r="K700" s="42"/>
      <c r="L700" s="35">
        <f t="shared" si="177"/>
        <v>0</v>
      </c>
      <c r="M700" s="35" t="e">
        <f t="shared" si="176"/>
        <v>#DIV/0!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 t="e">
        <f t="shared" si="176"/>
        <v>#DIV/0!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 t="e">
        <f t="shared" si="176"/>
        <v>#DIV/0!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 t="e">
        <f t="shared" si="176"/>
        <v>#DIV/0!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 t="e">
        <f t="shared" si="176"/>
        <v>#DIV/0!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 t="str">
        <f>+$G$3</f>
        <v>Year</v>
      </c>
      <c r="H707" s="10" t="str">
        <f>+G707</f>
        <v>Year</v>
      </c>
      <c r="I707" s="10" t="str">
        <f t="shared" ref="I707:M708" si="178">+H707</f>
        <v>Year</v>
      </c>
      <c r="J707" s="10" t="str">
        <f t="shared" si="178"/>
        <v>Year</v>
      </c>
      <c r="K707" s="10" t="str">
        <f t="shared" si="178"/>
        <v>Year</v>
      </c>
      <c r="L707" s="10" t="str">
        <f t="shared" si="178"/>
        <v>Year</v>
      </c>
      <c r="M707" s="10" t="str">
        <f t="shared" si="178"/>
        <v>Year</v>
      </c>
      <c r="N707" s="11"/>
      <c r="P707" s="51"/>
      <c r="S707" s="12" t="str">
        <f>+C707</f>
        <v>ICBC Details</v>
      </c>
      <c r="T707" s="13">
        <f>+L711</f>
        <v>0</v>
      </c>
      <c r="U707" s="13">
        <f>+L712+L713</f>
        <v>0</v>
      </c>
      <c r="V707" s="13">
        <f>+L714+L715</f>
        <v>0</v>
      </c>
      <c r="W707" s="13">
        <f>+L718</f>
        <v>0</v>
      </c>
      <c r="X707" s="13">
        <f>+L716</f>
        <v>0</v>
      </c>
    </row>
    <row r="708" spans="1:24" x14ac:dyDescent="0.25">
      <c r="A708" s="14"/>
      <c r="B708" s="15"/>
      <c r="C708" s="41" t="str">
        <f>+$C692</f>
        <v>Month Year</v>
      </c>
      <c r="D708" s="18"/>
      <c r="E708" s="18"/>
      <c r="F708" s="18"/>
      <c r="G708" s="20" t="str">
        <f>+$G$4</f>
        <v>Mnt</v>
      </c>
      <c r="H708" s="20" t="str">
        <f>+G708</f>
        <v>Mnt</v>
      </c>
      <c r="I708" s="20" t="str">
        <f t="shared" si="178"/>
        <v>Mnt</v>
      </c>
      <c r="J708" s="20" t="str">
        <f t="shared" si="178"/>
        <v>Mnt</v>
      </c>
      <c r="K708" s="20" t="str">
        <f t="shared" si="178"/>
        <v>Mnt</v>
      </c>
      <c r="L708" s="20" t="str">
        <f t="shared" si="178"/>
        <v>Mnt</v>
      </c>
      <c r="M708" s="20" t="str">
        <f t="shared" si="178"/>
        <v>Mnt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0</v>
      </c>
      <c r="H709" s="25">
        <f>+$H$5</f>
        <v>0</v>
      </c>
      <c r="I709" s="25">
        <f>+$I$5</f>
        <v>0</v>
      </c>
      <c r="J709" s="25">
        <f>+$J$5</f>
        <v>0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0</v>
      </c>
      <c r="H711" s="31">
        <f t="shared" ref="H711:L711" si="179">SUM(H712:H715)</f>
        <v>0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0</v>
      </c>
      <c r="M711" s="31" t="e">
        <f>ROUND((L711/$E$1),0)</f>
        <v>#DIV/0!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/>
      <c r="H712" s="42"/>
      <c r="I712" s="42"/>
      <c r="J712" s="42"/>
      <c r="K712" s="42"/>
      <c r="L712" s="35">
        <f>SUM(G712:K712)</f>
        <v>0</v>
      </c>
      <c r="M712" s="35" t="e">
        <f t="shared" ref="M712:M720" si="180">ROUND((L712/$E$1),0)</f>
        <v>#DIV/0!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/>
      <c r="H713" s="42"/>
      <c r="I713" s="42"/>
      <c r="J713" s="42"/>
      <c r="K713" s="42"/>
      <c r="L713" s="35">
        <f t="shared" ref="L713:L720" si="181">SUM(G713:K713)</f>
        <v>0</v>
      </c>
      <c r="M713" s="35" t="e">
        <f t="shared" si="180"/>
        <v>#DIV/0!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/>
      <c r="H714" s="42"/>
      <c r="I714" s="42"/>
      <c r="J714" s="42"/>
      <c r="K714" s="42"/>
      <c r="L714" s="35">
        <f t="shared" si="181"/>
        <v>0</v>
      </c>
      <c r="M714" s="35" t="e">
        <f t="shared" si="180"/>
        <v>#DIV/0!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/>
      <c r="H715" s="43"/>
      <c r="I715" s="43"/>
      <c r="J715" s="43"/>
      <c r="K715" s="43"/>
      <c r="L715" s="31">
        <f t="shared" si="181"/>
        <v>0</v>
      </c>
      <c r="M715" s="31" t="e">
        <f t="shared" si="180"/>
        <v>#DIV/0!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 t="e">
        <f t="shared" si="180"/>
        <v>#DIV/0!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 t="e">
        <f t="shared" si="180"/>
        <v>#DIV/0!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/>
      <c r="H718" s="42"/>
      <c r="I718" s="42"/>
      <c r="J718" s="42"/>
      <c r="K718" s="42"/>
      <c r="L718" s="35">
        <f t="shared" si="181"/>
        <v>0</v>
      </c>
      <c r="M718" s="35" t="e">
        <f t="shared" si="180"/>
        <v>#DIV/0!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/>
      <c r="I719" s="42"/>
      <c r="J719" s="42"/>
      <c r="K719" s="42"/>
      <c r="L719" s="35">
        <f t="shared" si="181"/>
        <v>0</v>
      </c>
      <c r="M719" s="35" t="e">
        <f t="shared" si="180"/>
        <v>#DIV/0!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 t="e">
        <f t="shared" si="180"/>
        <v>#DIV/0!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 t="str">
        <f>+$G$3</f>
        <v>Year</v>
      </c>
      <c r="H723" s="10" t="str">
        <f>+G723</f>
        <v>Year</v>
      </c>
      <c r="I723" s="10" t="str">
        <f t="shared" ref="I723:M724" si="182">+H723</f>
        <v>Year</v>
      </c>
      <c r="J723" s="10" t="str">
        <f t="shared" si="182"/>
        <v>Year</v>
      </c>
      <c r="K723" s="10" t="str">
        <f t="shared" si="182"/>
        <v>Year</v>
      </c>
      <c r="L723" s="10" t="str">
        <f t="shared" si="182"/>
        <v>Year</v>
      </c>
      <c r="M723" s="10" t="str">
        <f t="shared" si="182"/>
        <v>Year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Month Year</v>
      </c>
      <c r="D724" s="18"/>
      <c r="E724" s="18"/>
      <c r="F724" s="18"/>
      <c r="G724" s="20" t="str">
        <f>+$G$4</f>
        <v>Mnt</v>
      </c>
      <c r="H724" s="20" t="str">
        <f>+G724</f>
        <v>Mnt</v>
      </c>
      <c r="I724" s="20" t="str">
        <f t="shared" si="182"/>
        <v>Mnt</v>
      </c>
      <c r="J724" s="20" t="str">
        <f t="shared" si="182"/>
        <v>Mnt</v>
      </c>
      <c r="K724" s="20" t="str">
        <f t="shared" si="182"/>
        <v>Mnt</v>
      </c>
      <c r="L724" s="20" t="str">
        <f t="shared" si="182"/>
        <v>Mnt</v>
      </c>
      <c r="M724" s="20" t="str">
        <f t="shared" si="182"/>
        <v>Mnt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0</v>
      </c>
      <c r="H725" s="25">
        <f>+$H$5</f>
        <v>0</v>
      </c>
      <c r="I725" s="25">
        <f>+$I$5</f>
        <v>0</v>
      </c>
      <c r="J725" s="25">
        <f>+$J$5</f>
        <v>0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 t="e">
        <f>ROUND((L727/$E$1),0)</f>
        <v>#DIV/0!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 t="e">
        <f t="shared" ref="M728:M736" si="184">ROUND((L728/$E$1),0)</f>
        <v>#DIV/0!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 t="e">
        <f t="shared" si="184"/>
        <v>#DIV/0!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 t="e">
        <f t="shared" si="184"/>
        <v>#DIV/0!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 t="e">
        <f t="shared" si="184"/>
        <v>#DIV/0!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 t="e">
        <f t="shared" si="184"/>
        <v>#DIV/0!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 t="e">
        <f t="shared" si="184"/>
        <v>#DIV/0!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 t="e">
        <f t="shared" si="184"/>
        <v>#DIV/0!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 t="e">
        <f t="shared" si="184"/>
        <v>#DIV/0!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 t="e">
        <f t="shared" si="184"/>
        <v>#DIV/0!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 t="str">
        <f>+$G$3</f>
        <v>Year</v>
      </c>
      <c r="H739" s="10" t="str">
        <f>+G739</f>
        <v>Year</v>
      </c>
      <c r="I739" s="10" t="str">
        <f t="shared" ref="I739:M740" si="186">+H739</f>
        <v>Year</v>
      </c>
      <c r="J739" s="10" t="str">
        <f t="shared" si="186"/>
        <v>Year</v>
      </c>
      <c r="K739" s="10" t="str">
        <f t="shared" si="186"/>
        <v>Year</v>
      </c>
      <c r="L739" s="10" t="str">
        <f t="shared" si="186"/>
        <v>Year</v>
      </c>
      <c r="M739" s="10" t="str">
        <f t="shared" si="186"/>
        <v>Year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Month Year</v>
      </c>
      <c r="D740" s="18"/>
      <c r="E740" s="18"/>
      <c r="F740" s="18"/>
      <c r="G740" s="20" t="str">
        <f>+$G$4</f>
        <v>Mnt</v>
      </c>
      <c r="H740" s="20" t="str">
        <f>+G740</f>
        <v>Mnt</v>
      </c>
      <c r="I740" s="20" t="str">
        <f t="shared" si="186"/>
        <v>Mnt</v>
      </c>
      <c r="J740" s="20" t="str">
        <f t="shared" si="186"/>
        <v>Mnt</v>
      </c>
      <c r="K740" s="20" t="str">
        <f t="shared" si="186"/>
        <v>Mnt</v>
      </c>
      <c r="L740" s="20" t="str">
        <f t="shared" si="186"/>
        <v>Mnt</v>
      </c>
      <c r="M740" s="20" t="str">
        <f t="shared" si="186"/>
        <v>Mnt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0</v>
      </c>
      <c r="H741" s="25">
        <f>+$H$5</f>
        <v>0</v>
      </c>
      <c r="I741" s="25">
        <f>+$I$5</f>
        <v>0</v>
      </c>
      <c r="J741" s="25">
        <f>+$J$5</f>
        <v>0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 t="e">
        <f>ROUND((L743/$E$1),0)</f>
        <v>#DIV/0!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 t="e">
        <f t="shared" ref="M744:M752" si="188">ROUND((L744/$E$1),0)</f>
        <v>#DIV/0!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 t="e">
        <f t="shared" si="188"/>
        <v>#DIV/0!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 t="e">
        <f t="shared" si="188"/>
        <v>#DIV/0!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 t="e">
        <f t="shared" si="188"/>
        <v>#DIV/0!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 t="e">
        <f t="shared" si="188"/>
        <v>#DIV/0!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 t="e">
        <f t="shared" si="188"/>
        <v>#DIV/0!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 t="e">
        <f t="shared" si="188"/>
        <v>#DIV/0!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 t="e">
        <f t="shared" si="188"/>
        <v>#DIV/0!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 t="e">
        <f t="shared" si="188"/>
        <v>#DIV/0!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 t="str">
        <f>+$G$3</f>
        <v>Year</v>
      </c>
      <c r="H755" s="10" t="str">
        <f>+G755</f>
        <v>Year</v>
      </c>
      <c r="I755" s="10" t="str">
        <f t="shared" ref="I755:M756" si="190">+H755</f>
        <v>Year</v>
      </c>
      <c r="J755" s="10" t="str">
        <f t="shared" si="190"/>
        <v>Year</v>
      </c>
      <c r="K755" s="10" t="str">
        <f t="shared" si="190"/>
        <v>Year</v>
      </c>
      <c r="L755" s="10" t="str">
        <f t="shared" si="190"/>
        <v>Year</v>
      </c>
      <c r="M755" s="10" t="str">
        <f t="shared" si="190"/>
        <v>Year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Month Year</v>
      </c>
      <c r="D756" s="18"/>
      <c r="E756" s="18"/>
      <c r="F756" s="18"/>
      <c r="G756" s="20" t="str">
        <f>+$G$4</f>
        <v>Mnt</v>
      </c>
      <c r="H756" s="20" t="str">
        <f>+G756</f>
        <v>Mnt</v>
      </c>
      <c r="I756" s="20" t="str">
        <f t="shared" si="190"/>
        <v>Mnt</v>
      </c>
      <c r="J756" s="20" t="str">
        <f t="shared" si="190"/>
        <v>Mnt</v>
      </c>
      <c r="K756" s="20" t="str">
        <f t="shared" si="190"/>
        <v>Mnt</v>
      </c>
      <c r="L756" s="20" t="str">
        <f t="shared" si="190"/>
        <v>Mnt</v>
      </c>
      <c r="M756" s="20" t="str">
        <f t="shared" si="190"/>
        <v>Mnt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0</v>
      </c>
      <c r="H757" s="25">
        <f>+$H$5</f>
        <v>0</v>
      </c>
      <c r="I757" s="25">
        <f>+$I$5</f>
        <v>0</v>
      </c>
      <c r="J757" s="25">
        <f>+$J$5</f>
        <v>0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 t="e">
        <f>ROUND((L759/$E$1),0)</f>
        <v>#DIV/0!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 t="e">
        <f t="shared" ref="M760:M768" si="192">ROUND((L760/$E$1),0)</f>
        <v>#DIV/0!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 t="e">
        <f t="shared" si="192"/>
        <v>#DIV/0!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 t="e">
        <f t="shared" si="192"/>
        <v>#DIV/0!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 t="e">
        <f t="shared" si="192"/>
        <v>#DIV/0!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 t="e">
        <f t="shared" si="192"/>
        <v>#DIV/0!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 t="e">
        <f t="shared" si="192"/>
        <v>#DIV/0!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 t="e">
        <f t="shared" si="192"/>
        <v>#DIV/0!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 t="e">
        <f t="shared" si="192"/>
        <v>#DIV/0!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 t="e">
        <f t="shared" si="192"/>
        <v>#DIV/0!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 t="str">
        <f>+$G$3</f>
        <v>Year</v>
      </c>
      <c r="H771" s="10" t="str">
        <f>+G771</f>
        <v>Year</v>
      </c>
      <c r="I771" s="10" t="str">
        <f t="shared" ref="I771:M772" si="194">+H771</f>
        <v>Year</v>
      </c>
      <c r="J771" s="10" t="str">
        <f t="shared" si="194"/>
        <v>Year</v>
      </c>
      <c r="K771" s="10" t="str">
        <f t="shared" si="194"/>
        <v>Year</v>
      </c>
      <c r="L771" s="10" t="str">
        <f t="shared" si="194"/>
        <v>Year</v>
      </c>
      <c r="M771" s="10" t="str">
        <f t="shared" si="194"/>
        <v>Year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Month Year</v>
      </c>
      <c r="D772" s="18"/>
      <c r="E772" s="18"/>
      <c r="F772" s="18"/>
      <c r="G772" s="20" t="str">
        <f>+$G$4</f>
        <v>Mnt</v>
      </c>
      <c r="H772" s="20" t="str">
        <f>+G772</f>
        <v>Mnt</v>
      </c>
      <c r="I772" s="20" t="str">
        <f t="shared" si="194"/>
        <v>Mnt</v>
      </c>
      <c r="J772" s="20" t="str">
        <f t="shared" si="194"/>
        <v>Mnt</v>
      </c>
      <c r="K772" s="20" t="str">
        <f t="shared" si="194"/>
        <v>Mnt</v>
      </c>
      <c r="L772" s="20" t="str">
        <f t="shared" si="194"/>
        <v>Mnt</v>
      </c>
      <c r="M772" s="20" t="str">
        <f t="shared" si="194"/>
        <v>Mnt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0</v>
      </c>
      <c r="H773" s="25">
        <f>+$H$5</f>
        <v>0</v>
      </c>
      <c r="I773" s="25">
        <f>+$I$5</f>
        <v>0</v>
      </c>
      <c r="J773" s="25">
        <f>+$J$5</f>
        <v>0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 t="e">
        <f>ROUND((L775/$E$1),0)</f>
        <v>#DIV/0!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 t="e">
        <f t="shared" ref="M776:M784" si="196">ROUND((L776/$E$1),0)</f>
        <v>#DIV/0!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 t="e">
        <f t="shared" si="196"/>
        <v>#DIV/0!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 t="e">
        <f t="shared" si="196"/>
        <v>#DIV/0!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 t="e">
        <f t="shared" si="196"/>
        <v>#DIV/0!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 t="e">
        <f t="shared" si="196"/>
        <v>#DIV/0!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 t="e">
        <f t="shared" si="196"/>
        <v>#DIV/0!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 t="e">
        <f t="shared" si="196"/>
        <v>#DIV/0!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 t="e">
        <f t="shared" si="196"/>
        <v>#DIV/0!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 t="e">
        <f t="shared" si="196"/>
        <v>#DIV/0!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 t="str">
        <f>+$G$3</f>
        <v>Year</v>
      </c>
      <c r="H787" s="10" t="str">
        <f>+G787</f>
        <v>Year</v>
      </c>
      <c r="I787" s="10" t="str">
        <f t="shared" ref="I787:M788" si="198">+H787</f>
        <v>Year</v>
      </c>
      <c r="J787" s="10" t="str">
        <f t="shared" si="198"/>
        <v>Year</v>
      </c>
      <c r="K787" s="10" t="str">
        <f t="shared" si="198"/>
        <v>Year</v>
      </c>
      <c r="L787" s="10" t="str">
        <f t="shared" si="198"/>
        <v>Year</v>
      </c>
      <c r="M787" s="10" t="str">
        <f t="shared" si="198"/>
        <v>Year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Month Year</v>
      </c>
      <c r="D788" s="18"/>
      <c r="E788" s="18"/>
      <c r="F788" s="18"/>
      <c r="G788" s="20" t="str">
        <f>+$G$4</f>
        <v>Mnt</v>
      </c>
      <c r="H788" s="20" t="str">
        <f>+G788</f>
        <v>Mnt</v>
      </c>
      <c r="I788" s="20" t="str">
        <f t="shared" si="198"/>
        <v>Mnt</v>
      </c>
      <c r="J788" s="20" t="str">
        <f t="shared" si="198"/>
        <v>Mnt</v>
      </c>
      <c r="K788" s="20" t="str">
        <f t="shared" si="198"/>
        <v>Mnt</v>
      </c>
      <c r="L788" s="20" t="str">
        <f t="shared" si="198"/>
        <v>Mnt</v>
      </c>
      <c r="M788" s="20" t="str">
        <f t="shared" si="198"/>
        <v>Mnt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0</v>
      </c>
      <c r="H789" s="25">
        <f>+$H$5</f>
        <v>0</v>
      </c>
      <c r="I789" s="25">
        <f>+$I$5</f>
        <v>0</v>
      </c>
      <c r="J789" s="25">
        <f>+$J$5</f>
        <v>0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 t="e">
        <f>ROUND((L791/$E$1),0)</f>
        <v>#DIV/0!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 t="e">
        <f t="shared" ref="M792:M800" si="200">ROUND((L792/$E$1),0)</f>
        <v>#DIV/0!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 t="e">
        <f t="shared" si="200"/>
        <v>#DIV/0!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 t="e">
        <f t="shared" si="200"/>
        <v>#DIV/0!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 t="e">
        <f t="shared" si="200"/>
        <v>#DIV/0!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 t="e">
        <f t="shared" si="200"/>
        <v>#DIV/0!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 t="e">
        <f t="shared" si="200"/>
        <v>#DIV/0!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 t="e">
        <f t="shared" si="200"/>
        <v>#DIV/0!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 t="e">
        <f t="shared" si="200"/>
        <v>#DIV/0!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 t="e">
        <f t="shared" si="200"/>
        <v>#DIV/0!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 t="str">
        <f>+$G$3</f>
        <v>Year</v>
      </c>
      <c r="H803" s="10" t="str">
        <f>+G803</f>
        <v>Year</v>
      </c>
      <c r="I803" s="10" t="str">
        <f t="shared" ref="I803:M804" si="202">+H803</f>
        <v>Year</v>
      </c>
      <c r="J803" s="10" t="str">
        <f t="shared" si="202"/>
        <v>Year</v>
      </c>
      <c r="K803" s="10" t="str">
        <f t="shared" si="202"/>
        <v>Year</v>
      </c>
      <c r="L803" s="10" t="str">
        <f t="shared" si="202"/>
        <v>Year</v>
      </c>
      <c r="M803" s="10" t="str">
        <f t="shared" si="202"/>
        <v>Year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Month Year</v>
      </c>
      <c r="D804" s="18"/>
      <c r="E804" s="18"/>
      <c r="F804" s="18"/>
      <c r="G804" s="20" t="str">
        <f>+$G$4</f>
        <v>Mnt</v>
      </c>
      <c r="H804" s="20" t="str">
        <f>+G804</f>
        <v>Mnt</v>
      </c>
      <c r="I804" s="20" t="str">
        <f t="shared" si="202"/>
        <v>Mnt</v>
      </c>
      <c r="J804" s="20" t="str">
        <f t="shared" si="202"/>
        <v>Mnt</v>
      </c>
      <c r="K804" s="20" t="str">
        <f t="shared" si="202"/>
        <v>Mnt</v>
      </c>
      <c r="L804" s="20" t="str">
        <f t="shared" si="202"/>
        <v>Mnt</v>
      </c>
      <c r="M804" s="20" t="str">
        <f t="shared" si="202"/>
        <v>Mnt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0</v>
      </c>
      <c r="H805" s="25">
        <f>+$H$5</f>
        <v>0</v>
      </c>
      <c r="I805" s="25">
        <f>+$I$5</f>
        <v>0</v>
      </c>
      <c r="J805" s="25">
        <f>+$J$5</f>
        <v>0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 t="e">
        <f>ROUND((L807/$E$1),0)</f>
        <v>#DIV/0!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 t="e">
        <f t="shared" ref="M808:M816" si="204">ROUND((L808/$E$1),0)</f>
        <v>#DIV/0!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 t="e">
        <f t="shared" si="204"/>
        <v>#DIV/0!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 t="e">
        <f t="shared" si="204"/>
        <v>#DIV/0!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 t="e">
        <f t="shared" si="204"/>
        <v>#DIV/0!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 t="e">
        <f t="shared" si="204"/>
        <v>#DIV/0!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 t="e">
        <f t="shared" si="204"/>
        <v>#DIV/0!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 t="e">
        <f t="shared" si="204"/>
        <v>#DIV/0!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 t="e">
        <f t="shared" si="204"/>
        <v>#DIV/0!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 t="e">
        <f t="shared" si="204"/>
        <v>#DIV/0!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851"/>
  <sheetViews>
    <sheetView tabSelected="1" topLeftCell="B685" zoomScale="70" zoomScaleNormal="70" workbookViewId="0">
      <selection activeCell="P698" sqref="P698"/>
    </sheetView>
  </sheetViews>
  <sheetFormatPr defaultRowHeight="15" x14ac:dyDescent="0.25"/>
  <cols>
    <col min="1" max="1" width="4.14062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7" width="12.140625" style="1" customWidth="1"/>
    <col min="8" max="10" width="13.140625" style="1" bestFit="1" customWidth="1"/>
    <col min="11" max="11" width="10.5703125" style="1" customWidth="1"/>
    <col min="12" max="12" width="11.42578125" style="1" customWidth="1"/>
    <col min="13" max="13" width="11.28515625" style="1" bestFit="1" customWidth="1"/>
    <col min="14" max="14" width="1.42578125" style="1" customWidth="1"/>
    <col min="15" max="18" width="9.140625" style="1"/>
    <col min="19" max="19" width="10.42578125" style="1" customWidth="1"/>
    <col min="20" max="24" width="9.140625" style="1" customWidth="1"/>
    <col min="25" max="16384" width="9.140625" style="1"/>
  </cols>
  <sheetData>
    <row r="1" spans="1:41" x14ac:dyDescent="0.25">
      <c r="D1" s="2" t="s">
        <v>0</v>
      </c>
      <c r="E1" s="3">
        <v>4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2025</v>
      </c>
      <c r="H3" s="10">
        <f>+G3</f>
        <v>2025</v>
      </c>
      <c r="I3" s="10">
        <f t="shared" ref="I3:M4" si="0">+H3</f>
        <v>2025</v>
      </c>
      <c r="J3" s="10">
        <f t="shared" si="0"/>
        <v>2025</v>
      </c>
      <c r="K3" s="10">
        <f t="shared" si="0"/>
        <v>2025</v>
      </c>
      <c r="L3" s="10">
        <f t="shared" si="0"/>
        <v>2025</v>
      </c>
      <c r="M3" s="10">
        <f t="shared" si="0"/>
        <v>2025</v>
      </c>
      <c r="N3" s="11"/>
      <c r="S3" s="12" t="str">
        <f>+C3</f>
        <v>Total ICBC</v>
      </c>
      <c r="T3" s="13">
        <f>+L7</f>
        <v>4829</v>
      </c>
      <c r="U3" s="13">
        <f>+L8+L9</f>
        <v>1232</v>
      </c>
      <c r="V3" s="13">
        <f>+L10+L11</f>
        <v>3597</v>
      </c>
      <c r="W3" s="13">
        <f>+L14</f>
        <v>225</v>
      </c>
      <c r="X3" s="13">
        <f>+L12</f>
        <v>93</v>
      </c>
    </row>
    <row r="4" spans="1:41" x14ac:dyDescent="0.25">
      <c r="A4" s="14"/>
      <c r="B4" s="15"/>
      <c r="C4" s="16" t="s">
        <v>106</v>
      </c>
      <c r="D4" s="17"/>
      <c r="E4" s="18"/>
      <c r="F4" s="18"/>
      <c r="G4" s="19" t="s">
        <v>105</v>
      </c>
      <c r="H4" s="20" t="str">
        <f>+G4</f>
        <v>December</v>
      </c>
      <c r="I4" s="20" t="str">
        <f t="shared" si="0"/>
        <v>December</v>
      </c>
      <c r="J4" s="20" t="str">
        <f t="shared" si="0"/>
        <v>December</v>
      </c>
      <c r="K4" s="20" t="str">
        <f t="shared" si="0"/>
        <v>December</v>
      </c>
      <c r="L4" s="20" t="str">
        <f t="shared" si="0"/>
        <v>December</v>
      </c>
      <c r="M4" s="20" t="str">
        <f t="shared" si="0"/>
        <v>December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4">
        <v>7</v>
      </c>
      <c r="H5" s="24">
        <v>14</v>
      </c>
      <c r="I5" s="24">
        <v>21</v>
      </c>
      <c r="J5" s="24">
        <v>28</v>
      </c>
      <c r="K5" s="24">
        <v>0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>
        <f>SUM(G8:G11)</f>
        <v>2311</v>
      </c>
      <c r="H7" s="31">
        <f t="shared" ref="H7:L7" si="1">SUM(H8:H11)</f>
        <v>2518</v>
      </c>
      <c r="I7" s="31">
        <f t="shared" si="1"/>
        <v>0</v>
      </c>
      <c r="J7" s="31">
        <f t="shared" si="1"/>
        <v>0</v>
      </c>
      <c r="K7" s="31">
        <f t="shared" si="1"/>
        <v>0</v>
      </c>
      <c r="L7" s="31">
        <f t="shared" si="1"/>
        <v>4829</v>
      </c>
      <c r="M7" s="31">
        <f>ROUND((L7/$E$1),0)</f>
        <v>1207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>
        <f>+G24+G40+G56+G72+G88+G104+G120+G136+G152+G168+G184+G200+G216+G232+G248+G264+G280+G296+G312+G328+G344+G360+G376+G392+G408+G424+G440+G456+G472+G488+G504+G520+G536+G552+G568+G584+G600+G616+G632+G648+G664+G680+G696+G712+G728+G744+G760+G776+G792+G808</f>
        <v>142</v>
      </c>
      <c r="H8" s="35">
        <f t="shared" ref="H8:K8" si="2">+H24+H40+H56+H72+H88+H104+H120+H136+H152+H168+H184+H200+H216+H232+H248+H264+H280+H296+H312+H328+H344+H360+H376+H392+H408+H424+H440+H456+H472+H488+H504+H520+H536+H552+H568+H584+H600+H616+H632+H648+H664+H680+H696+H712+H728+H744+H760+H776+H792+H808</f>
        <v>143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>SUM(G8:K8)</f>
        <v>285</v>
      </c>
      <c r="M8" s="35">
        <f t="shared" ref="M8:M16" si="3">ROUND((L8/$E$1),0)</f>
        <v>71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>
        <f t="shared" ref="G9:K16" si="4">+G25+G41+G57+G73+G89+G105+G121+G137+G153+G169+G185+G201+G217+G233+G249+G265+G281+G297+G313+G329+G345+G361+G377+G393+G409+G425+G441+G457+G473+G489+G505+G521+G537+G553+G569+G585+G601+G617+G633+G649+G665+G681+G697+G713+G729+G745+G761+G777+G793+G809</f>
        <v>462</v>
      </c>
      <c r="H9" s="35">
        <f t="shared" si="4"/>
        <v>485</v>
      </c>
      <c r="I9" s="35">
        <f t="shared" si="4"/>
        <v>0</v>
      </c>
      <c r="J9" s="35">
        <f t="shared" si="4"/>
        <v>0</v>
      </c>
      <c r="K9" s="35">
        <f t="shared" si="4"/>
        <v>0</v>
      </c>
      <c r="L9" s="35">
        <f t="shared" ref="L9:L16" si="5">SUM(G9:K9)</f>
        <v>947</v>
      </c>
      <c r="M9" s="35">
        <f t="shared" si="3"/>
        <v>237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>
        <f t="shared" si="4"/>
        <v>597</v>
      </c>
      <c r="H10" s="35">
        <f t="shared" si="4"/>
        <v>801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5"/>
        <v>1398</v>
      </c>
      <c r="M10" s="35">
        <f t="shared" si="3"/>
        <v>350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>
        <f t="shared" si="4"/>
        <v>1110</v>
      </c>
      <c r="H11" s="31">
        <f t="shared" si="4"/>
        <v>1089</v>
      </c>
      <c r="I11" s="31">
        <f t="shared" si="4"/>
        <v>0</v>
      </c>
      <c r="J11" s="31">
        <f t="shared" si="4"/>
        <v>0</v>
      </c>
      <c r="K11" s="31">
        <f t="shared" si="4"/>
        <v>0</v>
      </c>
      <c r="L11" s="31">
        <f t="shared" si="5"/>
        <v>2199</v>
      </c>
      <c r="M11" s="31">
        <f t="shared" si="3"/>
        <v>550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>
        <f t="shared" si="4"/>
        <v>46</v>
      </c>
      <c r="H12" s="35">
        <f t="shared" si="4"/>
        <v>47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5"/>
        <v>93</v>
      </c>
      <c r="M12" s="35">
        <f t="shared" si="3"/>
        <v>23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>
        <f t="shared" si="4"/>
        <v>85</v>
      </c>
      <c r="H14" s="35">
        <f t="shared" si="4"/>
        <v>140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35">
        <f t="shared" si="5"/>
        <v>225</v>
      </c>
      <c r="M14" s="35">
        <f t="shared" si="3"/>
        <v>56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>
        <f t="shared" si="4"/>
        <v>444</v>
      </c>
      <c r="H15" s="35">
        <f t="shared" si="4"/>
        <v>1791</v>
      </c>
      <c r="I15" s="35">
        <f t="shared" si="4"/>
        <v>0</v>
      </c>
      <c r="J15" s="35">
        <f t="shared" si="4"/>
        <v>0</v>
      </c>
      <c r="K15" s="35">
        <f t="shared" si="4"/>
        <v>0</v>
      </c>
      <c r="L15" s="35">
        <f t="shared" si="5"/>
        <v>2235</v>
      </c>
      <c r="M15" s="35">
        <f t="shared" si="3"/>
        <v>559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2025</v>
      </c>
      <c r="H19" s="10">
        <f>+G19</f>
        <v>2025</v>
      </c>
      <c r="I19" s="10">
        <f t="shared" ref="I19:M20" si="6">+H19</f>
        <v>2025</v>
      </c>
      <c r="J19" s="10">
        <f t="shared" si="6"/>
        <v>2025</v>
      </c>
      <c r="K19" s="10">
        <f t="shared" si="6"/>
        <v>2025</v>
      </c>
      <c r="L19" s="10">
        <f t="shared" si="6"/>
        <v>2025</v>
      </c>
      <c r="M19" s="10">
        <f t="shared" si="6"/>
        <v>2025</v>
      </c>
      <c r="N19" s="11"/>
      <c r="O19" s="33"/>
      <c r="P19" s="33"/>
      <c r="Q19" s="33"/>
      <c r="R19" s="33"/>
      <c r="S19" s="12" t="str">
        <f>+C19</f>
        <v>Hawane CLC Church</v>
      </c>
      <c r="T19" s="13">
        <f>+L23</f>
        <v>432</v>
      </c>
      <c r="U19" s="13">
        <f>+L24+L25</f>
        <v>158</v>
      </c>
      <c r="V19" s="13">
        <f>+L26+L27</f>
        <v>274</v>
      </c>
      <c r="W19" s="13">
        <f>+L30</f>
        <v>7</v>
      </c>
      <c r="X19" s="13">
        <f>+L28</f>
        <v>0</v>
      </c>
    </row>
    <row r="20" spans="1:24" x14ac:dyDescent="0.25">
      <c r="A20" s="14"/>
      <c r="B20" s="15"/>
      <c r="C20" s="41" t="str">
        <f>+$C4</f>
        <v>December 2025</v>
      </c>
      <c r="D20" s="18"/>
      <c r="E20" s="18"/>
      <c r="F20" s="18"/>
      <c r="G20" s="20" t="str">
        <f>+$G$4</f>
        <v>December</v>
      </c>
      <c r="H20" s="20" t="str">
        <f>+G20</f>
        <v>December</v>
      </c>
      <c r="I20" s="20" t="str">
        <f t="shared" si="6"/>
        <v>December</v>
      </c>
      <c r="J20" s="20" t="str">
        <f t="shared" si="6"/>
        <v>December</v>
      </c>
      <c r="K20" s="20" t="str">
        <f t="shared" si="6"/>
        <v>December</v>
      </c>
      <c r="L20" s="20" t="str">
        <f t="shared" si="6"/>
        <v>December</v>
      </c>
      <c r="M20" s="20" t="str">
        <f t="shared" si="6"/>
        <v>December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7</v>
      </c>
      <c r="H21" s="25">
        <f>+$H$5</f>
        <v>14</v>
      </c>
      <c r="I21" s="25">
        <f>+$I$5</f>
        <v>21</v>
      </c>
      <c r="J21" s="25">
        <f>+$J$5</f>
        <v>28</v>
      </c>
      <c r="K21" s="25">
        <f>+$K$5</f>
        <v>0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>
        <f>SUM(G24:G27)</f>
        <v>193</v>
      </c>
      <c r="H23" s="31">
        <f t="shared" ref="H23:L23" si="7">SUM(H24:H27)</f>
        <v>239</v>
      </c>
      <c r="I23" s="31">
        <f t="shared" si="7"/>
        <v>0</v>
      </c>
      <c r="J23" s="31">
        <f t="shared" si="7"/>
        <v>0</v>
      </c>
      <c r="K23" s="31">
        <f t="shared" si="7"/>
        <v>0</v>
      </c>
      <c r="L23" s="31">
        <f t="shared" si="7"/>
        <v>432</v>
      </c>
      <c r="M23" s="31">
        <f>ROUND((L23/$E$1),0)</f>
        <v>108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>
        <v>24</v>
      </c>
      <c r="H24" s="42">
        <v>24</v>
      </c>
      <c r="I24" s="42"/>
      <c r="J24" s="42"/>
      <c r="K24" s="42"/>
      <c r="L24" s="35">
        <f>SUM(G24:K24)</f>
        <v>48</v>
      </c>
      <c r="M24" s="35">
        <f t="shared" ref="M24:M32" si="8">ROUND((L24/$E$1),0)</f>
        <v>12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>
        <v>55</v>
      </c>
      <c r="H25" s="42">
        <v>55</v>
      </c>
      <c r="I25" s="42"/>
      <c r="J25" s="42"/>
      <c r="K25" s="42"/>
      <c r="L25" s="35">
        <f t="shared" ref="L25:L32" si="9">SUM(G25:K25)</f>
        <v>110</v>
      </c>
      <c r="M25" s="35">
        <f t="shared" si="8"/>
        <v>28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>
        <v>69</v>
      </c>
      <c r="H26" s="42">
        <v>80</v>
      </c>
      <c r="I26" s="42"/>
      <c r="J26" s="42"/>
      <c r="K26" s="42"/>
      <c r="L26" s="35">
        <f t="shared" si="9"/>
        <v>149</v>
      </c>
      <c r="M26" s="35">
        <f t="shared" si="8"/>
        <v>37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>
        <v>45</v>
      </c>
      <c r="H27" s="43">
        <v>80</v>
      </c>
      <c r="I27" s="43"/>
      <c r="J27" s="43"/>
      <c r="K27" s="43"/>
      <c r="L27" s="31">
        <f t="shared" si="9"/>
        <v>125</v>
      </c>
      <c r="M27" s="31">
        <f t="shared" si="8"/>
        <v>31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/>
      <c r="H28" s="42"/>
      <c r="I28" s="42"/>
      <c r="J28" s="42"/>
      <c r="K28" s="42"/>
      <c r="L28" s="35">
        <f t="shared" si="9"/>
        <v>0</v>
      </c>
      <c r="M28" s="35">
        <f t="shared" si="8"/>
        <v>0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/>
      <c r="H29" s="42"/>
      <c r="I29" s="42"/>
      <c r="J29" s="42"/>
      <c r="K29" s="42"/>
      <c r="L29" s="35">
        <f t="shared" si="9"/>
        <v>0</v>
      </c>
      <c r="M29" s="35">
        <f t="shared" si="8"/>
        <v>0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>
        <v>3</v>
      </c>
      <c r="H30" s="42">
        <v>4</v>
      </c>
      <c r="I30" s="42"/>
      <c r="J30" s="42"/>
      <c r="K30" s="42"/>
      <c r="L30" s="35">
        <f t="shared" si="9"/>
        <v>7</v>
      </c>
      <c r="M30" s="35">
        <f t="shared" si="8"/>
        <v>2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/>
      <c r="H31" s="42"/>
      <c r="I31" s="42"/>
      <c r="J31" s="42"/>
      <c r="K31" s="42"/>
      <c r="L31" s="35">
        <f t="shared" si="9"/>
        <v>0</v>
      </c>
      <c r="M31" s="35">
        <f t="shared" si="8"/>
        <v>0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/>
      <c r="H32" s="42"/>
      <c r="I32" s="42"/>
      <c r="J32" s="42"/>
      <c r="K32" s="42"/>
      <c r="L32" s="35">
        <f t="shared" si="9"/>
        <v>0</v>
      </c>
      <c r="M32" s="35">
        <f t="shared" si="8"/>
        <v>0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2025</v>
      </c>
      <c r="H35" s="10">
        <f>+G35</f>
        <v>2025</v>
      </c>
      <c r="I35" s="10">
        <f t="shared" ref="I35:M36" si="10">+H35</f>
        <v>2025</v>
      </c>
      <c r="J35" s="10">
        <f t="shared" si="10"/>
        <v>2025</v>
      </c>
      <c r="K35" s="10">
        <f t="shared" si="10"/>
        <v>2025</v>
      </c>
      <c r="L35" s="10">
        <f t="shared" si="10"/>
        <v>2025</v>
      </c>
      <c r="M35" s="10">
        <f t="shared" si="10"/>
        <v>2025</v>
      </c>
      <c r="N35" s="11"/>
      <c r="O35" s="44"/>
      <c r="P35" s="44"/>
      <c r="Q35" s="44"/>
      <c r="S35" s="12" t="str">
        <f>+C35</f>
        <v>Ngwenya</v>
      </c>
      <c r="T35" s="13">
        <f>+L39</f>
        <v>171</v>
      </c>
      <c r="U35" s="13">
        <f>+L40+L41</f>
        <v>44</v>
      </c>
      <c r="V35" s="13">
        <f>+L42+L43</f>
        <v>127</v>
      </c>
      <c r="W35" s="13">
        <f>+L46</f>
        <v>10</v>
      </c>
      <c r="X35" s="13">
        <f>+L44</f>
        <v>0</v>
      </c>
    </row>
    <row r="36" spans="1:24" x14ac:dyDescent="0.25">
      <c r="A36" s="14"/>
      <c r="B36" s="15"/>
      <c r="C36" s="41" t="str">
        <f>+$C20</f>
        <v>December 2025</v>
      </c>
      <c r="D36" s="18"/>
      <c r="E36" s="18"/>
      <c r="F36" s="18"/>
      <c r="G36" s="20" t="str">
        <f>+$G$4</f>
        <v>December</v>
      </c>
      <c r="H36" s="20" t="str">
        <f>+G36</f>
        <v>December</v>
      </c>
      <c r="I36" s="20" t="str">
        <f t="shared" si="10"/>
        <v>December</v>
      </c>
      <c r="J36" s="20" t="str">
        <f t="shared" si="10"/>
        <v>December</v>
      </c>
      <c r="K36" s="20" t="str">
        <f t="shared" si="10"/>
        <v>December</v>
      </c>
      <c r="L36" s="20" t="str">
        <f t="shared" si="10"/>
        <v>December</v>
      </c>
      <c r="M36" s="20" t="str">
        <f t="shared" si="10"/>
        <v>December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7</v>
      </c>
      <c r="H37" s="25">
        <f>+$H$5</f>
        <v>14</v>
      </c>
      <c r="I37" s="25">
        <f>+$I$5</f>
        <v>21</v>
      </c>
      <c r="J37" s="25">
        <f>+$J$5</f>
        <v>28</v>
      </c>
      <c r="K37" s="25">
        <f>+$K$5</f>
        <v>0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>
        <f>SUM(G40:G43)</f>
        <v>86</v>
      </c>
      <c r="H39" s="31">
        <f t="shared" ref="H39:L39" si="11">SUM(H40:H43)</f>
        <v>85</v>
      </c>
      <c r="I39" s="31">
        <f t="shared" si="11"/>
        <v>0</v>
      </c>
      <c r="J39" s="31">
        <f t="shared" si="11"/>
        <v>0</v>
      </c>
      <c r="K39" s="31">
        <f t="shared" si="11"/>
        <v>0</v>
      </c>
      <c r="L39" s="31">
        <f t="shared" si="11"/>
        <v>171</v>
      </c>
      <c r="M39" s="31">
        <f>ROUND((L39/$E$1),0)</f>
        <v>43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>
        <v>6</v>
      </c>
      <c r="H40" s="42">
        <v>5</v>
      </c>
      <c r="I40" s="42"/>
      <c r="J40" s="42"/>
      <c r="K40" s="42"/>
      <c r="L40" s="35">
        <f>SUM(G40:K40)</f>
        <v>11</v>
      </c>
      <c r="M40" s="35">
        <f t="shared" ref="M40:M48" si="12">ROUND((L40/$E$1),0)</f>
        <v>3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>
        <v>18</v>
      </c>
      <c r="H41" s="42">
        <v>15</v>
      </c>
      <c r="I41" s="42"/>
      <c r="J41" s="42"/>
      <c r="K41" s="42"/>
      <c r="L41" s="35">
        <f t="shared" ref="L41:L48" si="13">SUM(G41:K41)</f>
        <v>33</v>
      </c>
      <c r="M41" s="35">
        <f t="shared" si="12"/>
        <v>8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>
        <v>20</v>
      </c>
      <c r="H42" s="42">
        <v>20</v>
      </c>
      <c r="I42" s="42"/>
      <c r="J42" s="42"/>
      <c r="K42" s="42"/>
      <c r="L42" s="35">
        <f t="shared" si="13"/>
        <v>40</v>
      </c>
      <c r="M42" s="35">
        <f t="shared" si="12"/>
        <v>10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>
        <v>42</v>
      </c>
      <c r="H43" s="43">
        <v>45</v>
      </c>
      <c r="I43" s="43"/>
      <c r="J43" s="43"/>
      <c r="K43" s="43"/>
      <c r="L43" s="31">
        <f t="shared" si="13"/>
        <v>87</v>
      </c>
      <c r="M43" s="31">
        <f t="shared" si="12"/>
        <v>22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/>
      <c r="H44" s="42"/>
      <c r="I44" s="42"/>
      <c r="J44" s="42"/>
      <c r="K44" s="42"/>
      <c r="L44" s="35">
        <f t="shared" si="13"/>
        <v>0</v>
      </c>
      <c r="M44" s="35">
        <f t="shared" si="12"/>
        <v>0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/>
      <c r="H45" s="42"/>
      <c r="I45" s="42"/>
      <c r="J45" s="42"/>
      <c r="K45" s="42"/>
      <c r="L45" s="35">
        <f t="shared" si="13"/>
        <v>0</v>
      </c>
      <c r="M45" s="35">
        <f t="shared" si="12"/>
        <v>0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>
        <v>5</v>
      </c>
      <c r="H46" s="42">
        <v>5</v>
      </c>
      <c r="I46" s="42"/>
      <c r="J46" s="42"/>
      <c r="K46" s="42"/>
      <c r="L46" s="35">
        <f t="shared" si="13"/>
        <v>10</v>
      </c>
      <c r="M46" s="35">
        <f t="shared" si="12"/>
        <v>3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>
        <v>48</v>
      </c>
      <c r="H47" s="42">
        <v>24</v>
      </c>
      <c r="I47" s="42"/>
      <c r="J47" s="42"/>
      <c r="K47" s="42"/>
      <c r="L47" s="35">
        <f t="shared" si="13"/>
        <v>72</v>
      </c>
      <c r="M47" s="35">
        <f t="shared" si="12"/>
        <v>18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/>
      <c r="H48" s="42"/>
      <c r="I48" s="42"/>
      <c r="J48" s="42"/>
      <c r="K48" s="42"/>
      <c r="L48" s="35">
        <f t="shared" si="13"/>
        <v>0</v>
      </c>
      <c r="M48" s="35">
        <f t="shared" si="12"/>
        <v>0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2025</v>
      </c>
      <c r="H51" s="10">
        <f>+G51</f>
        <v>2025</v>
      </c>
      <c r="I51" s="10">
        <f t="shared" ref="I51:M52" si="14">+H51</f>
        <v>2025</v>
      </c>
      <c r="J51" s="10">
        <f t="shared" si="14"/>
        <v>2025</v>
      </c>
      <c r="K51" s="10">
        <f t="shared" si="14"/>
        <v>2025</v>
      </c>
      <c r="L51" s="10">
        <f t="shared" si="14"/>
        <v>2025</v>
      </c>
      <c r="M51" s="10">
        <f t="shared" si="14"/>
        <v>2025</v>
      </c>
      <c r="N51" s="11"/>
      <c r="O51" s="44"/>
      <c r="P51" s="44"/>
      <c r="Q51" s="44"/>
      <c r="S51" s="12" t="str">
        <f>+C51</f>
        <v>Lavumisa</v>
      </c>
      <c r="T51" s="13">
        <f>+L55</f>
        <v>72</v>
      </c>
      <c r="U51" s="13">
        <f>+L56+L57</f>
        <v>18</v>
      </c>
      <c r="V51" s="13">
        <f>+L58+L59</f>
        <v>54</v>
      </c>
      <c r="W51" s="13">
        <f>+L62</f>
        <v>23</v>
      </c>
      <c r="X51" s="13">
        <f>+L60</f>
        <v>0</v>
      </c>
    </row>
    <row r="52" spans="1:24" x14ac:dyDescent="0.25">
      <c r="A52" s="14"/>
      <c r="B52" s="15"/>
      <c r="C52" s="41" t="str">
        <f>+$C36</f>
        <v>December 2025</v>
      </c>
      <c r="D52" s="18"/>
      <c r="E52" s="18"/>
      <c r="F52" s="18"/>
      <c r="G52" s="20" t="str">
        <f>+$G$4</f>
        <v>December</v>
      </c>
      <c r="H52" s="20" t="str">
        <f>+G52</f>
        <v>December</v>
      </c>
      <c r="I52" s="20" t="str">
        <f t="shared" si="14"/>
        <v>December</v>
      </c>
      <c r="J52" s="20" t="str">
        <f t="shared" si="14"/>
        <v>December</v>
      </c>
      <c r="K52" s="20" t="str">
        <f t="shared" si="14"/>
        <v>December</v>
      </c>
      <c r="L52" s="20" t="str">
        <f t="shared" si="14"/>
        <v>December</v>
      </c>
      <c r="M52" s="20" t="str">
        <f t="shared" si="14"/>
        <v>December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7</v>
      </c>
      <c r="H53" s="25">
        <f>+$H$5</f>
        <v>14</v>
      </c>
      <c r="I53" s="25">
        <f>+$I$5</f>
        <v>21</v>
      </c>
      <c r="J53" s="25">
        <f>+$J$5</f>
        <v>28</v>
      </c>
      <c r="K53" s="25">
        <f>+$K$5</f>
        <v>0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>
        <f>SUM(G56:G59)</f>
        <v>39</v>
      </c>
      <c r="H55" s="31">
        <f t="shared" ref="H55:L55" si="15">SUM(H56:H59)</f>
        <v>33</v>
      </c>
      <c r="I55" s="31">
        <f t="shared" si="15"/>
        <v>0</v>
      </c>
      <c r="J55" s="31">
        <f t="shared" si="15"/>
        <v>0</v>
      </c>
      <c r="K55" s="31">
        <f t="shared" si="15"/>
        <v>0</v>
      </c>
      <c r="L55" s="31">
        <f t="shared" si="15"/>
        <v>72</v>
      </c>
      <c r="M55" s="31">
        <f>ROUND((L55/$E$1),0)</f>
        <v>18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>
        <v>2</v>
      </c>
      <c r="H56" s="42">
        <v>2</v>
      </c>
      <c r="I56" s="42"/>
      <c r="J56" s="42"/>
      <c r="K56" s="42"/>
      <c r="L56" s="35">
        <f>SUM(G56:K56)</f>
        <v>4</v>
      </c>
      <c r="M56" s="35">
        <f t="shared" ref="M56:M64" si="16">ROUND((L56/$E$1),0)</f>
        <v>1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>
        <v>7</v>
      </c>
      <c r="H57" s="42">
        <v>7</v>
      </c>
      <c r="I57" s="42"/>
      <c r="J57" s="42"/>
      <c r="K57" s="42"/>
      <c r="L57" s="35">
        <f t="shared" ref="L57:L64" si="17">SUM(G57:K57)</f>
        <v>14</v>
      </c>
      <c r="M57" s="35">
        <f t="shared" si="16"/>
        <v>4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>
        <v>17</v>
      </c>
      <c r="H58" s="42">
        <v>13</v>
      </c>
      <c r="I58" s="42"/>
      <c r="J58" s="42"/>
      <c r="K58" s="42"/>
      <c r="L58" s="35">
        <f t="shared" si="17"/>
        <v>30</v>
      </c>
      <c r="M58" s="35">
        <f t="shared" si="16"/>
        <v>8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>
        <v>13</v>
      </c>
      <c r="H59" s="43">
        <v>11</v>
      </c>
      <c r="I59" s="43"/>
      <c r="J59" s="43"/>
      <c r="K59" s="43"/>
      <c r="L59" s="31">
        <f t="shared" si="17"/>
        <v>24</v>
      </c>
      <c r="M59" s="31">
        <f t="shared" si="16"/>
        <v>6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/>
      <c r="H60" s="42"/>
      <c r="I60" s="42"/>
      <c r="J60" s="42"/>
      <c r="K60" s="42"/>
      <c r="L60" s="35">
        <f t="shared" si="17"/>
        <v>0</v>
      </c>
      <c r="M60" s="35">
        <f t="shared" si="16"/>
        <v>0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/>
      <c r="H61" s="42"/>
      <c r="I61" s="42"/>
      <c r="J61" s="42"/>
      <c r="K61" s="42"/>
      <c r="L61" s="35">
        <f t="shared" si="17"/>
        <v>0</v>
      </c>
      <c r="M61" s="35">
        <f t="shared" si="16"/>
        <v>0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>
        <v>12</v>
      </c>
      <c r="H62" s="42">
        <v>11</v>
      </c>
      <c r="I62" s="42"/>
      <c r="J62" s="42"/>
      <c r="K62" s="42"/>
      <c r="L62" s="35">
        <f t="shared" si="17"/>
        <v>23</v>
      </c>
      <c r="M62" s="35">
        <f t="shared" si="16"/>
        <v>6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/>
      <c r="H63" s="42"/>
      <c r="I63" s="42"/>
      <c r="J63" s="42"/>
      <c r="K63" s="42"/>
      <c r="L63" s="35">
        <f t="shared" si="17"/>
        <v>0</v>
      </c>
      <c r="M63" s="35">
        <f t="shared" si="16"/>
        <v>0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/>
      <c r="H64" s="42"/>
      <c r="I64" s="42"/>
      <c r="J64" s="42"/>
      <c r="K64" s="42"/>
      <c r="L64" s="35">
        <f t="shared" si="17"/>
        <v>0</v>
      </c>
      <c r="M64" s="35">
        <f t="shared" si="16"/>
        <v>0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2025</v>
      </c>
      <c r="H67" s="10">
        <f>+G67</f>
        <v>2025</v>
      </c>
      <c r="I67" s="10">
        <f t="shared" ref="I67:M68" si="18">+H67</f>
        <v>2025</v>
      </c>
      <c r="J67" s="10">
        <f t="shared" si="18"/>
        <v>2025</v>
      </c>
      <c r="K67" s="10">
        <f t="shared" si="18"/>
        <v>2025</v>
      </c>
      <c r="L67" s="10">
        <f t="shared" si="18"/>
        <v>2025</v>
      </c>
      <c r="M67" s="10">
        <f t="shared" si="18"/>
        <v>2025</v>
      </c>
      <c r="N67" s="11"/>
      <c r="O67" s="44"/>
      <c r="P67" s="44"/>
      <c r="Q67" s="44"/>
      <c r="S67" s="12" t="str">
        <f>+C67</f>
        <v>Engcamini</v>
      </c>
      <c r="T67" s="13">
        <f>+L71</f>
        <v>230</v>
      </c>
      <c r="U67" s="13">
        <f>+L72+L73</f>
        <v>40</v>
      </c>
      <c r="V67" s="13">
        <f>+L74+L75</f>
        <v>190</v>
      </c>
      <c r="W67" s="13">
        <f>+L78</f>
        <v>5</v>
      </c>
      <c r="X67" s="13">
        <f>+L76</f>
        <v>30</v>
      </c>
    </row>
    <row r="68" spans="1:24" x14ac:dyDescent="0.25">
      <c r="A68" s="14"/>
      <c r="B68" s="15"/>
      <c r="C68" s="41" t="str">
        <f>+$C52</f>
        <v>December 2025</v>
      </c>
      <c r="D68" s="18"/>
      <c r="E68" s="18"/>
      <c r="F68" s="18"/>
      <c r="G68" s="20" t="str">
        <f>+$G$4</f>
        <v>December</v>
      </c>
      <c r="H68" s="20" t="str">
        <f>+G68</f>
        <v>December</v>
      </c>
      <c r="I68" s="20" t="str">
        <f t="shared" si="18"/>
        <v>December</v>
      </c>
      <c r="J68" s="20" t="str">
        <f t="shared" si="18"/>
        <v>December</v>
      </c>
      <c r="K68" s="20" t="str">
        <f t="shared" si="18"/>
        <v>December</v>
      </c>
      <c r="L68" s="20" t="str">
        <f t="shared" si="18"/>
        <v>December</v>
      </c>
      <c r="M68" s="20" t="str">
        <f t="shared" si="18"/>
        <v>December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7</v>
      </c>
      <c r="H69" s="25">
        <f>+$H$5</f>
        <v>14</v>
      </c>
      <c r="I69" s="25">
        <f>+$I$5</f>
        <v>21</v>
      </c>
      <c r="J69" s="25">
        <f>+$J$5</f>
        <v>28</v>
      </c>
      <c r="K69" s="25">
        <f>+$K$5</f>
        <v>0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>
        <f>SUM(G72:G75)</f>
        <v>94</v>
      </c>
      <c r="H71" s="31">
        <f t="shared" ref="H71:L71" si="19">SUM(H72:H75)</f>
        <v>136</v>
      </c>
      <c r="I71" s="31">
        <f t="shared" si="19"/>
        <v>0</v>
      </c>
      <c r="J71" s="31">
        <f t="shared" si="19"/>
        <v>0</v>
      </c>
      <c r="K71" s="31">
        <f t="shared" si="19"/>
        <v>0</v>
      </c>
      <c r="L71" s="31">
        <f t="shared" si="19"/>
        <v>230</v>
      </c>
      <c r="M71" s="31">
        <f>ROUND((L71/$E$1),0)</f>
        <v>58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>
        <v>3</v>
      </c>
      <c r="H72" s="42">
        <v>4</v>
      </c>
      <c r="I72" s="42"/>
      <c r="J72" s="42"/>
      <c r="K72" s="42"/>
      <c r="L72" s="35">
        <f>SUM(G72:K72)</f>
        <v>7</v>
      </c>
      <c r="M72" s="35">
        <f t="shared" ref="M72:M80" si="20">ROUND((L72/$E$1),0)</f>
        <v>2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>
        <v>14</v>
      </c>
      <c r="H73" s="42">
        <v>19</v>
      </c>
      <c r="I73" s="42"/>
      <c r="J73" s="42"/>
      <c r="K73" s="42"/>
      <c r="L73" s="35">
        <f t="shared" ref="L73:L80" si="21">SUM(G73:K73)</f>
        <v>33</v>
      </c>
      <c r="M73" s="35">
        <f t="shared" si="20"/>
        <v>8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>
        <v>15</v>
      </c>
      <c r="H74" s="42">
        <v>21</v>
      </c>
      <c r="I74" s="42"/>
      <c r="J74" s="42"/>
      <c r="K74" s="42"/>
      <c r="L74" s="35">
        <f t="shared" si="21"/>
        <v>36</v>
      </c>
      <c r="M74" s="35">
        <f t="shared" si="20"/>
        <v>9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>
        <v>62</v>
      </c>
      <c r="H75" s="43">
        <v>92</v>
      </c>
      <c r="I75" s="43"/>
      <c r="J75" s="43"/>
      <c r="K75" s="43"/>
      <c r="L75" s="31">
        <f t="shared" si="21"/>
        <v>154</v>
      </c>
      <c r="M75" s="31">
        <f t="shared" si="20"/>
        <v>39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>
        <v>30</v>
      </c>
      <c r="H76" s="42"/>
      <c r="I76" s="42"/>
      <c r="J76" s="42"/>
      <c r="K76" s="42"/>
      <c r="L76" s="35">
        <f t="shared" si="21"/>
        <v>30</v>
      </c>
      <c r="M76" s="35">
        <f t="shared" si="20"/>
        <v>8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/>
      <c r="H77" s="42"/>
      <c r="I77" s="42"/>
      <c r="J77" s="42"/>
      <c r="K77" s="42"/>
      <c r="L77" s="35">
        <f t="shared" si="21"/>
        <v>0</v>
      </c>
      <c r="M77" s="35">
        <f t="shared" si="20"/>
        <v>0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>
        <v>3</v>
      </c>
      <c r="H78" s="42">
        <v>2</v>
      </c>
      <c r="I78" s="42"/>
      <c r="J78" s="42"/>
      <c r="K78" s="42"/>
      <c r="L78" s="35">
        <f t="shared" si="21"/>
        <v>5</v>
      </c>
      <c r="M78" s="35">
        <f t="shared" si="20"/>
        <v>1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/>
      <c r="H79" s="42">
        <v>180</v>
      </c>
      <c r="I79" s="42"/>
      <c r="J79" s="42"/>
      <c r="K79" s="42"/>
      <c r="L79" s="35">
        <f t="shared" si="21"/>
        <v>180</v>
      </c>
      <c r="M79" s="35">
        <f t="shared" si="20"/>
        <v>45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/>
      <c r="H80" s="42"/>
      <c r="I80" s="42"/>
      <c r="J80" s="42"/>
      <c r="K80" s="42"/>
      <c r="L80" s="35">
        <f t="shared" si="21"/>
        <v>0</v>
      </c>
      <c r="M80" s="35">
        <f t="shared" si="20"/>
        <v>0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2025</v>
      </c>
      <c r="H83" s="10">
        <f>+G83</f>
        <v>2025</v>
      </c>
      <c r="I83" s="10">
        <f t="shared" ref="I83:M84" si="22">+H83</f>
        <v>2025</v>
      </c>
      <c r="J83" s="10">
        <f t="shared" si="22"/>
        <v>2025</v>
      </c>
      <c r="K83" s="10">
        <f t="shared" si="22"/>
        <v>2025</v>
      </c>
      <c r="L83" s="10">
        <f t="shared" si="22"/>
        <v>2025</v>
      </c>
      <c r="M83" s="10">
        <f t="shared" si="22"/>
        <v>2025</v>
      </c>
      <c r="N83" s="11"/>
      <c r="O83" s="44"/>
      <c r="P83" s="44"/>
      <c r="Q83" s="44"/>
      <c r="S83" s="12" t="str">
        <f>+C83</f>
        <v>Pine Valley</v>
      </c>
      <c r="T83" s="13">
        <f>+L87</f>
        <v>0</v>
      </c>
      <c r="U83" s="13">
        <f>+L88+L89</f>
        <v>0</v>
      </c>
      <c r="V83" s="13">
        <f>+L90+L91</f>
        <v>0</v>
      </c>
      <c r="W83" s="13">
        <f>+L94</f>
        <v>0</v>
      </c>
      <c r="X83" s="13">
        <f>+L92</f>
        <v>0</v>
      </c>
    </row>
    <row r="84" spans="1:33" x14ac:dyDescent="0.25">
      <c r="A84" s="14"/>
      <c r="B84" s="15"/>
      <c r="C84" s="41" t="str">
        <f>+$C68</f>
        <v>December 2025</v>
      </c>
      <c r="D84" s="18"/>
      <c r="E84" s="18"/>
      <c r="F84" s="18"/>
      <c r="G84" s="20" t="str">
        <f>+$G$4</f>
        <v>December</v>
      </c>
      <c r="H84" s="20" t="str">
        <f>+G84</f>
        <v>December</v>
      </c>
      <c r="I84" s="20" t="str">
        <f t="shared" si="22"/>
        <v>December</v>
      </c>
      <c r="J84" s="20" t="str">
        <f t="shared" si="22"/>
        <v>December</v>
      </c>
      <c r="K84" s="20" t="str">
        <f t="shared" si="22"/>
        <v>December</v>
      </c>
      <c r="L84" s="20" t="str">
        <f t="shared" si="22"/>
        <v>December</v>
      </c>
      <c r="M84" s="20" t="str">
        <f t="shared" si="22"/>
        <v>December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7</v>
      </c>
      <c r="H85" s="25">
        <f>+$H$5</f>
        <v>14</v>
      </c>
      <c r="I85" s="25">
        <f>+$I$5</f>
        <v>21</v>
      </c>
      <c r="J85" s="25">
        <f>+$J$5</f>
        <v>28</v>
      </c>
      <c r="K85" s="25">
        <f>+$K$5</f>
        <v>0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>
        <f>SUM(G88:G91)</f>
        <v>0</v>
      </c>
      <c r="H87" s="31">
        <f t="shared" ref="H87:L87" si="23">SUM(H88:H91)</f>
        <v>0</v>
      </c>
      <c r="I87" s="31">
        <f t="shared" si="23"/>
        <v>0</v>
      </c>
      <c r="J87" s="31">
        <f t="shared" si="23"/>
        <v>0</v>
      </c>
      <c r="K87" s="31">
        <f t="shared" si="23"/>
        <v>0</v>
      </c>
      <c r="L87" s="31">
        <f t="shared" si="23"/>
        <v>0</v>
      </c>
      <c r="M87" s="31">
        <f>ROUND((L87/$E$1),0)</f>
        <v>0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/>
      <c r="H88" s="42"/>
      <c r="I88" s="42"/>
      <c r="J88" s="42"/>
      <c r="K88" s="42"/>
      <c r="L88" s="35">
        <f>SUM(G88:K88)</f>
        <v>0</v>
      </c>
      <c r="M88" s="35">
        <f t="shared" ref="M88:M96" si="24">ROUND((L88/$E$1),0)</f>
        <v>0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/>
      <c r="H89" s="42"/>
      <c r="I89" s="42"/>
      <c r="J89" s="42"/>
      <c r="K89" s="42"/>
      <c r="L89" s="35">
        <f t="shared" ref="L89:L96" si="25">SUM(G89:K89)</f>
        <v>0</v>
      </c>
      <c r="M89" s="35">
        <f t="shared" si="24"/>
        <v>0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/>
      <c r="H90" s="42"/>
      <c r="I90" s="42"/>
      <c r="J90" s="42"/>
      <c r="K90" s="42"/>
      <c r="L90" s="35">
        <f t="shared" si="25"/>
        <v>0</v>
      </c>
      <c r="M90" s="35">
        <f t="shared" si="24"/>
        <v>0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/>
      <c r="H91" s="43"/>
      <c r="I91" s="43"/>
      <c r="J91" s="43"/>
      <c r="K91" s="43"/>
      <c r="L91" s="31">
        <f t="shared" si="25"/>
        <v>0</v>
      </c>
      <c r="M91" s="31">
        <f t="shared" si="24"/>
        <v>0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/>
      <c r="H92" s="42"/>
      <c r="I92" s="42"/>
      <c r="J92" s="42"/>
      <c r="K92" s="42"/>
      <c r="L92" s="35">
        <f t="shared" si="25"/>
        <v>0</v>
      </c>
      <c r="M92" s="35">
        <f t="shared" si="24"/>
        <v>0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/>
      <c r="H93" s="42"/>
      <c r="I93" s="42"/>
      <c r="J93" s="42"/>
      <c r="K93" s="42"/>
      <c r="L93" s="35">
        <f t="shared" si="25"/>
        <v>0</v>
      </c>
      <c r="M93" s="35">
        <f t="shared" si="24"/>
        <v>0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/>
      <c r="H94" s="42"/>
      <c r="I94" s="42"/>
      <c r="J94" s="42"/>
      <c r="K94" s="42"/>
      <c r="L94" s="35">
        <f t="shared" si="25"/>
        <v>0</v>
      </c>
      <c r="M94" s="35">
        <f t="shared" si="24"/>
        <v>0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/>
      <c r="H95" s="42"/>
      <c r="I95" s="42"/>
      <c r="J95" s="42"/>
      <c r="K95" s="42"/>
      <c r="L95" s="35">
        <f t="shared" si="25"/>
        <v>0</v>
      </c>
      <c r="M95" s="35">
        <f t="shared" si="24"/>
        <v>0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/>
      <c r="H96" s="42"/>
      <c r="I96" s="42"/>
      <c r="J96" s="42"/>
      <c r="K96" s="42"/>
      <c r="L96" s="35">
        <f t="shared" si="25"/>
        <v>0</v>
      </c>
      <c r="M96" s="35">
        <f t="shared" si="24"/>
        <v>0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2025</v>
      </c>
      <c r="H99" s="10">
        <f>+G99</f>
        <v>2025</v>
      </c>
      <c r="I99" s="10">
        <f t="shared" ref="I99:M100" si="26">+H99</f>
        <v>2025</v>
      </c>
      <c r="J99" s="10">
        <f t="shared" si="26"/>
        <v>2025</v>
      </c>
      <c r="K99" s="10">
        <f t="shared" si="26"/>
        <v>2025</v>
      </c>
      <c r="L99" s="10">
        <f t="shared" si="26"/>
        <v>2025</v>
      </c>
      <c r="M99" s="10">
        <f t="shared" si="26"/>
        <v>2025</v>
      </c>
      <c r="N99" s="11"/>
      <c r="O99" s="44"/>
      <c r="P99" s="44"/>
      <c r="Q99" s="44"/>
      <c r="S99" s="12" t="str">
        <f>+C99</f>
        <v>Ngwempisi</v>
      </c>
      <c r="T99" s="13">
        <f>+L103</f>
        <v>129</v>
      </c>
      <c r="U99" s="13">
        <f>+L104+L105</f>
        <v>44</v>
      </c>
      <c r="V99" s="13">
        <f>+L106+L107</f>
        <v>85</v>
      </c>
      <c r="W99" s="13">
        <f>+L110</f>
        <v>0</v>
      </c>
      <c r="X99" s="13">
        <f>+L108</f>
        <v>0</v>
      </c>
    </row>
    <row r="100" spans="1:24" x14ac:dyDescent="0.25">
      <c r="A100" s="14"/>
      <c r="B100" s="15"/>
      <c r="C100" s="41" t="str">
        <f>+$C84</f>
        <v>December 2025</v>
      </c>
      <c r="D100" s="18"/>
      <c r="E100" s="18"/>
      <c r="F100" s="18"/>
      <c r="G100" s="20" t="str">
        <f>+$G$4</f>
        <v>December</v>
      </c>
      <c r="H100" s="20" t="str">
        <f>+G100</f>
        <v>December</v>
      </c>
      <c r="I100" s="20" t="str">
        <f t="shared" si="26"/>
        <v>December</v>
      </c>
      <c r="J100" s="20" t="str">
        <f t="shared" si="26"/>
        <v>December</v>
      </c>
      <c r="K100" s="20" t="str">
        <f t="shared" si="26"/>
        <v>December</v>
      </c>
      <c r="L100" s="20" t="str">
        <f t="shared" si="26"/>
        <v>December</v>
      </c>
      <c r="M100" s="20" t="str">
        <f t="shared" si="26"/>
        <v>December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7</v>
      </c>
      <c r="H101" s="25">
        <f>+$H$5</f>
        <v>14</v>
      </c>
      <c r="I101" s="25">
        <f>+$I$5</f>
        <v>21</v>
      </c>
      <c r="J101" s="25">
        <f>+$J$5</f>
        <v>28</v>
      </c>
      <c r="K101" s="25">
        <f>+$K$5</f>
        <v>0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>
        <f>SUM(G104:G107)</f>
        <v>74</v>
      </c>
      <c r="H103" s="31">
        <f t="shared" ref="H103:L103" si="27">SUM(H104:H107)</f>
        <v>55</v>
      </c>
      <c r="I103" s="31">
        <f t="shared" si="27"/>
        <v>0</v>
      </c>
      <c r="J103" s="31">
        <f t="shared" si="27"/>
        <v>0</v>
      </c>
      <c r="K103" s="31">
        <f t="shared" si="27"/>
        <v>0</v>
      </c>
      <c r="L103" s="31">
        <f t="shared" si="27"/>
        <v>129</v>
      </c>
      <c r="M103" s="31">
        <f>ROUND((L103/$E$1),0)</f>
        <v>32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>
        <v>4</v>
      </c>
      <c r="H104" s="42">
        <v>3</v>
      </c>
      <c r="I104" s="42"/>
      <c r="J104" s="42"/>
      <c r="K104" s="42"/>
      <c r="L104" s="35">
        <f>SUM(G104:K104)</f>
        <v>7</v>
      </c>
      <c r="M104" s="35">
        <f t="shared" ref="M104:M112" si="28">ROUND((L104/$E$1),0)</f>
        <v>2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>
        <v>18</v>
      </c>
      <c r="H105" s="42">
        <v>19</v>
      </c>
      <c r="I105" s="42"/>
      <c r="J105" s="42"/>
      <c r="K105" s="42"/>
      <c r="L105" s="35">
        <f t="shared" ref="L105:L112" si="29">SUM(G105:K105)</f>
        <v>37</v>
      </c>
      <c r="M105" s="35">
        <f t="shared" si="28"/>
        <v>9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>
        <v>14</v>
      </c>
      <c r="H106" s="42">
        <v>12</v>
      </c>
      <c r="I106" s="42"/>
      <c r="J106" s="42"/>
      <c r="K106" s="42"/>
      <c r="L106" s="35">
        <f t="shared" si="29"/>
        <v>26</v>
      </c>
      <c r="M106" s="35">
        <f t="shared" si="28"/>
        <v>7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>
        <v>38</v>
      </c>
      <c r="H107" s="43">
        <v>21</v>
      </c>
      <c r="I107" s="43"/>
      <c r="J107" s="43"/>
      <c r="K107" s="43"/>
      <c r="L107" s="31">
        <f t="shared" si="29"/>
        <v>59</v>
      </c>
      <c r="M107" s="31">
        <f t="shared" si="28"/>
        <v>15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/>
      <c r="H108" s="42"/>
      <c r="I108" s="42"/>
      <c r="J108" s="42"/>
      <c r="K108" s="42"/>
      <c r="L108" s="35">
        <f t="shared" si="29"/>
        <v>0</v>
      </c>
      <c r="M108" s="35">
        <f t="shared" si="28"/>
        <v>0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/>
      <c r="H109" s="42"/>
      <c r="I109" s="42"/>
      <c r="J109" s="42"/>
      <c r="K109" s="42"/>
      <c r="L109" s="35">
        <f t="shared" si="29"/>
        <v>0</v>
      </c>
      <c r="M109" s="35">
        <f t="shared" si="28"/>
        <v>0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/>
      <c r="H110" s="42"/>
      <c r="I110" s="42"/>
      <c r="J110" s="42"/>
      <c r="K110" s="42"/>
      <c r="L110" s="35">
        <f t="shared" si="29"/>
        <v>0</v>
      </c>
      <c r="M110" s="35">
        <f t="shared" si="28"/>
        <v>0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/>
      <c r="H111" s="42"/>
      <c r="I111" s="42"/>
      <c r="J111" s="42"/>
      <c r="K111" s="42"/>
      <c r="L111" s="35">
        <f t="shared" si="29"/>
        <v>0</v>
      </c>
      <c r="M111" s="35">
        <f t="shared" si="28"/>
        <v>0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/>
      <c r="H112" s="42"/>
      <c r="I112" s="42"/>
      <c r="J112" s="42"/>
      <c r="K112" s="42"/>
      <c r="L112" s="35">
        <f t="shared" si="29"/>
        <v>0</v>
      </c>
      <c r="M112" s="35">
        <f t="shared" si="28"/>
        <v>0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2025</v>
      </c>
      <c r="H115" s="10">
        <f>+G115</f>
        <v>2025</v>
      </c>
      <c r="I115" s="10">
        <f t="shared" ref="I115:M116" si="30">+H115</f>
        <v>2025</v>
      </c>
      <c r="J115" s="10">
        <f t="shared" si="30"/>
        <v>2025</v>
      </c>
      <c r="K115" s="10">
        <f t="shared" si="30"/>
        <v>2025</v>
      </c>
      <c r="L115" s="10">
        <f t="shared" si="30"/>
        <v>2025</v>
      </c>
      <c r="M115" s="10">
        <f t="shared" si="30"/>
        <v>2025</v>
      </c>
      <c r="N115" s="11"/>
      <c r="O115" s="44"/>
      <c r="P115" s="44"/>
      <c r="Q115" s="44"/>
      <c r="S115" s="12" t="str">
        <f>+C115</f>
        <v>Gebeni</v>
      </c>
      <c r="T115" s="13">
        <f>+L119</f>
        <v>174</v>
      </c>
      <c r="U115" s="13">
        <f>+L120+L121</f>
        <v>38</v>
      </c>
      <c r="V115" s="13">
        <f>+L122+L123</f>
        <v>136</v>
      </c>
      <c r="W115" s="13">
        <f>+L126</f>
        <v>12</v>
      </c>
      <c r="X115" s="13">
        <f>+L124</f>
        <v>6</v>
      </c>
    </row>
    <row r="116" spans="1:24" x14ac:dyDescent="0.25">
      <c r="A116" s="14"/>
      <c r="B116" s="15"/>
      <c r="C116" s="41" t="str">
        <f>+$C100</f>
        <v>December 2025</v>
      </c>
      <c r="D116" s="18"/>
      <c r="E116" s="18"/>
      <c r="F116" s="18"/>
      <c r="G116" s="20" t="str">
        <f>+$G$4</f>
        <v>December</v>
      </c>
      <c r="H116" s="20" t="str">
        <f>+G116</f>
        <v>December</v>
      </c>
      <c r="I116" s="20" t="str">
        <f t="shared" si="30"/>
        <v>December</v>
      </c>
      <c r="J116" s="20" t="str">
        <f t="shared" si="30"/>
        <v>December</v>
      </c>
      <c r="K116" s="20" t="str">
        <f t="shared" si="30"/>
        <v>December</v>
      </c>
      <c r="L116" s="20" t="str">
        <f t="shared" si="30"/>
        <v>December</v>
      </c>
      <c r="M116" s="20" t="str">
        <f t="shared" si="30"/>
        <v>December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7</v>
      </c>
      <c r="H117" s="25">
        <f>+$H$5</f>
        <v>14</v>
      </c>
      <c r="I117" s="25">
        <f>+$I$5</f>
        <v>21</v>
      </c>
      <c r="J117" s="25">
        <f>+$J$5</f>
        <v>28</v>
      </c>
      <c r="K117" s="25">
        <f>+$K$5</f>
        <v>0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>
        <f>SUM(G120:G123)</f>
        <v>92</v>
      </c>
      <c r="H119" s="31">
        <f t="shared" ref="H119:L119" si="31">SUM(H120:H123)</f>
        <v>82</v>
      </c>
      <c r="I119" s="31">
        <f t="shared" si="31"/>
        <v>0</v>
      </c>
      <c r="J119" s="31">
        <f t="shared" si="31"/>
        <v>0</v>
      </c>
      <c r="K119" s="31">
        <f t="shared" si="31"/>
        <v>0</v>
      </c>
      <c r="L119" s="31">
        <f t="shared" si="31"/>
        <v>174</v>
      </c>
      <c r="M119" s="31">
        <f>ROUND((L119/$E$1),0)</f>
        <v>44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>
        <v>2</v>
      </c>
      <c r="H120" s="42">
        <v>3</v>
      </c>
      <c r="I120" s="42"/>
      <c r="J120" s="42"/>
      <c r="K120" s="42"/>
      <c r="L120" s="35">
        <f>SUM(G120:K120)</f>
        <v>5</v>
      </c>
      <c r="M120" s="35">
        <f t="shared" ref="M120:M128" si="32">ROUND((L120/$E$1),0)</f>
        <v>1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>
        <v>15</v>
      </c>
      <c r="H121" s="42">
        <v>18</v>
      </c>
      <c r="I121" s="42"/>
      <c r="J121" s="42"/>
      <c r="K121" s="42"/>
      <c r="L121" s="35">
        <f t="shared" ref="L121:L128" si="33">SUM(G121:K121)</f>
        <v>33</v>
      </c>
      <c r="M121" s="35">
        <f t="shared" si="32"/>
        <v>8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>
        <v>25</v>
      </c>
      <c r="H122" s="42">
        <v>23</v>
      </c>
      <c r="I122" s="42"/>
      <c r="J122" s="42"/>
      <c r="K122" s="42"/>
      <c r="L122" s="35">
        <f t="shared" si="33"/>
        <v>48</v>
      </c>
      <c r="M122" s="35">
        <f t="shared" si="32"/>
        <v>12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>
        <v>50</v>
      </c>
      <c r="H123" s="43">
        <v>38</v>
      </c>
      <c r="I123" s="43"/>
      <c r="J123" s="43"/>
      <c r="K123" s="43"/>
      <c r="L123" s="31">
        <f t="shared" si="33"/>
        <v>88</v>
      </c>
      <c r="M123" s="31">
        <f t="shared" si="32"/>
        <v>22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>
        <v>2</v>
      </c>
      <c r="H124" s="42">
        <v>4</v>
      </c>
      <c r="I124" s="42"/>
      <c r="J124" s="42"/>
      <c r="K124" s="42"/>
      <c r="L124" s="35">
        <f t="shared" si="33"/>
        <v>6</v>
      </c>
      <c r="M124" s="35">
        <f t="shared" si="32"/>
        <v>2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/>
      <c r="H125" s="42"/>
      <c r="I125" s="42"/>
      <c r="J125" s="42"/>
      <c r="K125" s="42"/>
      <c r="L125" s="35">
        <f t="shared" si="33"/>
        <v>0</v>
      </c>
      <c r="M125" s="35">
        <f t="shared" si="32"/>
        <v>0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>
        <v>7</v>
      </c>
      <c r="H126" s="42">
        <v>5</v>
      </c>
      <c r="I126" s="42"/>
      <c r="J126" s="42"/>
      <c r="K126" s="42"/>
      <c r="L126" s="35">
        <f t="shared" si="33"/>
        <v>12</v>
      </c>
      <c r="M126" s="35">
        <f t="shared" si="32"/>
        <v>3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/>
      <c r="H127" s="42"/>
      <c r="I127" s="42"/>
      <c r="J127" s="42"/>
      <c r="K127" s="42"/>
      <c r="L127" s="35">
        <f t="shared" si="33"/>
        <v>0</v>
      </c>
      <c r="M127" s="35">
        <f t="shared" si="32"/>
        <v>0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/>
      <c r="H128" s="42"/>
      <c r="I128" s="42"/>
      <c r="J128" s="42"/>
      <c r="K128" s="42"/>
      <c r="L128" s="35">
        <f t="shared" si="33"/>
        <v>0</v>
      </c>
      <c r="M128" s="35">
        <f t="shared" si="32"/>
        <v>0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2025</v>
      </c>
      <c r="H131" s="10">
        <f>+G131</f>
        <v>2025</v>
      </c>
      <c r="I131" s="10">
        <f t="shared" ref="I131:M132" si="34">+H131</f>
        <v>2025</v>
      </c>
      <c r="J131" s="10">
        <f t="shared" si="34"/>
        <v>2025</v>
      </c>
      <c r="K131" s="10">
        <f t="shared" si="34"/>
        <v>2025</v>
      </c>
      <c r="L131" s="10">
        <f t="shared" si="34"/>
        <v>2025</v>
      </c>
      <c r="M131" s="10">
        <f t="shared" si="34"/>
        <v>2025</v>
      </c>
      <c r="N131" s="11"/>
      <c r="O131" s="44"/>
      <c r="P131" s="44"/>
      <c r="Q131" s="44"/>
      <c r="S131" s="12" t="str">
        <f>+C131</f>
        <v>Mpolonjeni CLC</v>
      </c>
      <c r="T131" s="13">
        <f>+L135</f>
        <v>58</v>
      </c>
      <c r="U131" s="13">
        <f>+L136+L137</f>
        <v>18</v>
      </c>
      <c r="V131" s="13">
        <f>+L138+L139</f>
        <v>40</v>
      </c>
      <c r="W131" s="13">
        <f>+L142</f>
        <v>0</v>
      </c>
      <c r="X131" s="13">
        <f>+L140</f>
        <v>0</v>
      </c>
    </row>
    <row r="132" spans="1:24" x14ac:dyDescent="0.25">
      <c r="A132" s="14"/>
      <c r="B132" s="15"/>
      <c r="C132" s="41" t="str">
        <f>+$C116</f>
        <v>December 2025</v>
      </c>
      <c r="D132" s="18"/>
      <c r="E132" s="18"/>
      <c r="F132" s="18"/>
      <c r="G132" s="20" t="str">
        <f>+$G$4</f>
        <v>December</v>
      </c>
      <c r="H132" s="20" t="str">
        <f>+G132</f>
        <v>December</v>
      </c>
      <c r="I132" s="20" t="str">
        <f t="shared" si="34"/>
        <v>December</v>
      </c>
      <c r="J132" s="20" t="str">
        <f t="shared" si="34"/>
        <v>December</v>
      </c>
      <c r="K132" s="20" t="str">
        <f t="shared" si="34"/>
        <v>December</v>
      </c>
      <c r="L132" s="20" t="str">
        <f t="shared" si="34"/>
        <v>December</v>
      </c>
      <c r="M132" s="20" t="str">
        <f t="shared" si="34"/>
        <v>December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7</v>
      </c>
      <c r="H133" s="25">
        <f>+$H$5</f>
        <v>14</v>
      </c>
      <c r="I133" s="25">
        <f>+$I$5</f>
        <v>21</v>
      </c>
      <c r="J133" s="25">
        <f>+$J$5</f>
        <v>28</v>
      </c>
      <c r="K133" s="25">
        <f>+$K$5</f>
        <v>0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>
        <f>SUM(G136:G139)</f>
        <v>0</v>
      </c>
      <c r="H135" s="31">
        <f t="shared" ref="H135:L135" si="35">SUM(H136:H139)</f>
        <v>58</v>
      </c>
      <c r="I135" s="31">
        <f t="shared" si="35"/>
        <v>0</v>
      </c>
      <c r="J135" s="31">
        <f t="shared" si="35"/>
        <v>0</v>
      </c>
      <c r="K135" s="31">
        <f t="shared" si="35"/>
        <v>0</v>
      </c>
      <c r="L135" s="31">
        <f t="shared" si="35"/>
        <v>58</v>
      </c>
      <c r="M135" s="31">
        <f>ROUND((L135/$E$1),0)</f>
        <v>15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/>
      <c r="H136" s="42">
        <v>4</v>
      </c>
      <c r="I136" s="42"/>
      <c r="J136" s="42"/>
      <c r="K136" s="42"/>
      <c r="L136" s="35">
        <f>SUM(G136:K136)</f>
        <v>4</v>
      </c>
      <c r="M136" s="35">
        <f t="shared" ref="M136:M144" si="36">ROUND((L136/$E$1),0)</f>
        <v>1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/>
      <c r="H137" s="42">
        <v>14</v>
      </c>
      <c r="I137" s="42"/>
      <c r="J137" s="42"/>
      <c r="K137" s="42"/>
      <c r="L137" s="35">
        <f t="shared" ref="L137:L144" si="37">SUM(G137:K137)</f>
        <v>14</v>
      </c>
      <c r="M137" s="35">
        <f t="shared" si="36"/>
        <v>4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/>
      <c r="H138" s="42">
        <v>11</v>
      </c>
      <c r="I138" s="42"/>
      <c r="J138" s="42"/>
      <c r="K138" s="42"/>
      <c r="L138" s="35">
        <f t="shared" si="37"/>
        <v>11</v>
      </c>
      <c r="M138" s="35">
        <f t="shared" si="36"/>
        <v>3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/>
      <c r="H139" s="43">
        <v>29</v>
      </c>
      <c r="I139" s="43"/>
      <c r="J139" s="43"/>
      <c r="K139" s="43"/>
      <c r="L139" s="31">
        <f t="shared" si="37"/>
        <v>29</v>
      </c>
      <c r="M139" s="31">
        <f t="shared" si="36"/>
        <v>7</v>
      </c>
      <c r="N139" s="32"/>
      <c r="O139" s="2" t="s">
        <v>107</v>
      </c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/>
      <c r="H140" s="42"/>
      <c r="I140" s="42"/>
      <c r="J140" s="42"/>
      <c r="K140" s="42"/>
      <c r="L140" s="35">
        <f t="shared" si="37"/>
        <v>0</v>
      </c>
      <c r="M140" s="35">
        <f t="shared" si="36"/>
        <v>0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/>
      <c r="H141" s="42"/>
      <c r="I141" s="42"/>
      <c r="J141" s="42"/>
      <c r="K141" s="42"/>
      <c r="L141" s="35">
        <f t="shared" si="37"/>
        <v>0</v>
      </c>
      <c r="M141" s="35">
        <f t="shared" si="36"/>
        <v>0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/>
      <c r="H142" s="42"/>
      <c r="I142" s="42"/>
      <c r="J142" s="42"/>
      <c r="K142" s="42"/>
      <c r="L142" s="35">
        <f t="shared" si="37"/>
        <v>0</v>
      </c>
      <c r="M142" s="35">
        <f t="shared" si="36"/>
        <v>0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/>
      <c r="H143" s="42"/>
      <c r="I143" s="42"/>
      <c r="J143" s="42"/>
      <c r="K143" s="42"/>
      <c r="L143" s="35">
        <f t="shared" si="37"/>
        <v>0</v>
      </c>
      <c r="M143" s="35">
        <f t="shared" si="36"/>
        <v>0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/>
      <c r="H144" s="42"/>
      <c r="I144" s="42"/>
      <c r="J144" s="42"/>
      <c r="K144" s="42"/>
      <c r="L144" s="35">
        <f t="shared" si="37"/>
        <v>0</v>
      </c>
      <c r="M144" s="35">
        <f t="shared" si="36"/>
        <v>0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2025</v>
      </c>
      <c r="H147" s="10">
        <f>+G147</f>
        <v>2025</v>
      </c>
      <c r="I147" s="10">
        <f t="shared" ref="I147:M148" si="38">+H147</f>
        <v>2025</v>
      </c>
      <c r="J147" s="10">
        <f t="shared" si="38"/>
        <v>2025</v>
      </c>
      <c r="K147" s="10">
        <f t="shared" si="38"/>
        <v>2025</v>
      </c>
      <c r="L147" s="10">
        <f t="shared" si="38"/>
        <v>2025</v>
      </c>
      <c r="M147" s="10">
        <f t="shared" si="38"/>
        <v>2025</v>
      </c>
      <c r="N147" s="11"/>
      <c r="O147" s="44"/>
      <c r="P147" s="44"/>
      <c r="Q147" s="44"/>
      <c r="S147" s="12" t="str">
        <f>+C147</f>
        <v>Msahweni CLC</v>
      </c>
      <c r="T147" s="13">
        <f>+L151</f>
        <v>198</v>
      </c>
      <c r="U147" s="13">
        <f>+L152+L153</f>
        <v>54</v>
      </c>
      <c r="V147" s="13">
        <f>+L154+L155</f>
        <v>144</v>
      </c>
      <c r="W147" s="13">
        <f>+L158</f>
        <v>0</v>
      </c>
      <c r="X147" s="13">
        <f>+L156</f>
        <v>0</v>
      </c>
    </row>
    <row r="148" spans="1:24" x14ac:dyDescent="0.25">
      <c r="A148" s="14"/>
      <c r="B148" s="15"/>
      <c r="C148" s="41" t="str">
        <f>+$C132</f>
        <v>December 2025</v>
      </c>
      <c r="D148" s="18"/>
      <c r="E148" s="18"/>
      <c r="F148" s="18"/>
      <c r="G148" s="20" t="str">
        <f>+$G$4</f>
        <v>December</v>
      </c>
      <c r="H148" s="20" t="str">
        <f>+G148</f>
        <v>December</v>
      </c>
      <c r="I148" s="20" t="str">
        <f t="shared" si="38"/>
        <v>December</v>
      </c>
      <c r="J148" s="20" t="str">
        <f t="shared" si="38"/>
        <v>December</v>
      </c>
      <c r="K148" s="20" t="str">
        <f t="shared" si="38"/>
        <v>December</v>
      </c>
      <c r="L148" s="20" t="str">
        <f t="shared" si="38"/>
        <v>December</v>
      </c>
      <c r="M148" s="20" t="str">
        <f t="shared" si="38"/>
        <v>December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7</v>
      </c>
      <c r="H149" s="25">
        <f>+$H$5</f>
        <v>14</v>
      </c>
      <c r="I149" s="25">
        <f>+$I$5</f>
        <v>21</v>
      </c>
      <c r="J149" s="25">
        <f>+$J$5</f>
        <v>28</v>
      </c>
      <c r="K149" s="25">
        <f>+$K$5</f>
        <v>0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>
        <f>SUM(G152:G155)</f>
        <v>99</v>
      </c>
      <c r="H151" s="31">
        <f t="shared" ref="H151:L151" si="39">SUM(H152:H155)</f>
        <v>99</v>
      </c>
      <c r="I151" s="31">
        <f t="shared" si="39"/>
        <v>0</v>
      </c>
      <c r="J151" s="31">
        <f t="shared" si="39"/>
        <v>0</v>
      </c>
      <c r="K151" s="31">
        <f t="shared" si="39"/>
        <v>0</v>
      </c>
      <c r="L151" s="31">
        <f t="shared" si="39"/>
        <v>198</v>
      </c>
      <c r="M151" s="31">
        <f>ROUND((L151/$E$1),0)</f>
        <v>50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>
        <v>6</v>
      </c>
      <c r="H152" s="42">
        <v>4</v>
      </c>
      <c r="I152" s="42"/>
      <c r="J152" s="42"/>
      <c r="K152" s="42"/>
      <c r="L152" s="35">
        <f>SUM(G152:K152)</f>
        <v>10</v>
      </c>
      <c r="M152" s="35">
        <f t="shared" ref="M152:M160" si="40">ROUND((L152/$E$1),0)</f>
        <v>3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>
        <v>23</v>
      </c>
      <c r="H153" s="42">
        <v>21</v>
      </c>
      <c r="I153" s="42"/>
      <c r="J153" s="42"/>
      <c r="K153" s="42"/>
      <c r="L153" s="35">
        <f t="shared" ref="L153:L160" si="41">SUM(G153:K153)</f>
        <v>44</v>
      </c>
      <c r="M153" s="35">
        <f t="shared" si="40"/>
        <v>11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>
        <v>29</v>
      </c>
      <c r="H154" s="42">
        <v>34</v>
      </c>
      <c r="I154" s="42"/>
      <c r="J154" s="42"/>
      <c r="K154" s="42"/>
      <c r="L154" s="35">
        <f t="shared" si="41"/>
        <v>63</v>
      </c>
      <c r="M154" s="35">
        <f t="shared" si="40"/>
        <v>16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>
        <v>41</v>
      </c>
      <c r="H155" s="43">
        <v>40</v>
      </c>
      <c r="I155" s="43"/>
      <c r="J155" s="43"/>
      <c r="K155" s="43"/>
      <c r="L155" s="31">
        <f t="shared" si="41"/>
        <v>81</v>
      </c>
      <c r="M155" s="31">
        <f t="shared" si="40"/>
        <v>20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/>
      <c r="H156" s="42"/>
      <c r="I156" s="42"/>
      <c r="J156" s="42"/>
      <c r="K156" s="42"/>
      <c r="L156" s="35">
        <f t="shared" si="41"/>
        <v>0</v>
      </c>
      <c r="M156" s="35">
        <f t="shared" si="40"/>
        <v>0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/>
      <c r="H157" s="42"/>
      <c r="I157" s="42"/>
      <c r="J157" s="42"/>
      <c r="K157" s="42"/>
      <c r="L157" s="35">
        <f t="shared" si="41"/>
        <v>0</v>
      </c>
      <c r="M157" s="35">
        <f t="shared" si="40"/>
        <v>0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/>
      <c r="H158" s="42"/>
      <c r="I158" s="42"/>
      <c r="J158" s="42"/>
      <c r="K158" s="42"/>
      <c r="L158" s="35">
        <f t="shared" si="41"/>
        <v>0</v>
      </c>
      <c r="M158" s="35">
        <f t="shared" si="40"/>
        <v>0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>
        <v>18</v>
      </c>
      <c r="H159" s="42"/>
      <c r="I159" s="42"/>
      <c r="J159" s="42"/>
      <c r="K159" s="42"/>
      <c r="L159" s="35">
        <f t="shared" si="41"/>
        <v>18</v>
      </c>
      <c r="M159" s="35">
        <f t="shared" si="40"/>
        <v>5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/>
      <c r="H160" s="42"/>
      <c r="I160" s="42"/>
      <c r="J160" s="42"/>
      <c r="K160" s="42"/>
      <c r="L160" s="35">
        <f t="shared" si="41"/>
        <v>0</v>
      </c>
      <c r="M160" s="35">
        <f t="shared" si="40"/>
        <v>0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2025</v>
      </c>
      <c r="H163" s="10">
        <f>+G163</f>
        <v>2025</v>
      </c>
      <c r="I163" s="10">
        <f t="shared" ref="I163:M164" si="42">+H163</f>
        <v>2025</v>
      </c>
      <c r="J163" s="10">
        <f t="shared" si="42"/>
        <v>2025</v>
      </c>
      <c r="K163" s="10">
        <f t="shared" si="42"/>
        <v>2025</v>
      </c>
      <c r="L163" s="10">
        <f t="shared" si="42"/>
        <v>2025</v>
      </c>
      <c r="M163" s="10">
        <f t="shared" si="42"/>
        <v>2025</v>
      </c>
      <c r="N163" s="11"/>
      <c r="O163" s="44"/>
      <c r="P163" s="44"/>
      <c r="Q163" s="44"/>
      <c r="S163" s="12" t="str">
        <f>+C163</f>
        <v>Mhlangatane</v>
      </c>
      <c r="T163" s="13">
        <f>+L167</f>
        <v>33</v>
      </c>
      <c r="U163" s="13">
        <f>+L168+L169</f>
        <v>9</v>
      </c>
      <c r="V163" s="13">
        <f>+L170+L171</f>
        <v>24</v>
      </c>
      <c r="W163" s="13">
        <f>+L174</f>
        <v>2</v>
      </c>
      <c r="X163" s="13">
        <f>+L172</f>
        <v>0</v>
      </c>
    </row>
    <row r="164" spans="1:24" x14ac:dyDescent="0.25">
      <c r="A164" s="14"/>
      <c r="B164" s="15"/>
      <c r="C164" s="41" t="str">
        <f>+$C148</f>
        <v>December 2025</v>
      </c>
      <c r="D164" s="18"/>
      <c r="E164" s="18"/>
      <c r="F164" s="18"/>
      <c r="G164" s="20" t="str">
        <f>+$G$4</f>
        <v>December</v>
      </c>
      <c r="H164" s="20" t="str">
        <f>+G164</f>
        <v>December</v>
      </c>
      <c r="I164" s="20" t="str">
        <f t="shared" si="42"/>
        <v>December</v>
      </c>
      <c r="J164" s="20" t="str">
        <f t="shared" si="42"/>
        <v>December</v>
      </c>
      <c r="K164" s="20" t="str">
        <f t="shared" si="42"/>
        <v>December</v>
      </c>
      <c r="L164" s="20" t="str">
        <f t="shared" si="42"/>
        <v>December</v>
      </c>
      <c r="M164" s="20" t="str">
        <f t="shared" si="42"/>
        <v>December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7</v>
      </c>
      <c r="H165" s="25">
        <f>+$H$5</f>
        <v>14</v>
      </c>
      <c r="I165" s="25">
        <f>+$I$5</f>
        <v>21</v>
      </c>
      <c r="J165" s="25">
        <f>+$J$5</f>
        <v>28</v>
      </c>
      <c r="K165" s="25">
        <f>+$K$5</f>
        <v>0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>
        <f>SUM(G168:G171)</f>
        <v>24</v>
      </c>
      <c r="H167" s="31">
        <f t="shared" ref="H167:L167" si="43">SUM(H168:H171)</f>
        <v>9</v>
      </c>
      <c r="I167" s="31">
        <f t="shared" si="43"/>
        <v>0</v>
      </c>
      <c r="J167" s="31">
        <f t="shared" si="43"/>
        <v>0</v>
      </c>
      <c r="K167" s="31">
        <f t="shared" si="43"/>
        <v>0</v>
      </c>
      <c r="L167" s="31">
        <f t="shared" si="43"/>
        <v>33</v>
      </c>
      <c r="M167" s="31">
        <f>ROUND((L167/$E$1),0)</f>
        <v>8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>
        <v>2</v>
      </c>
      <c r="H168" s="42">
        <v>1</v>
      </c>
      <c r="I168" s="42"/>
      <c r="J168" s="42"/>
      <c r="K168" s="42"/>
      <c r="L168" s="35">
        <f>SUM(G168:K168)</f>
        <v>3</v>
      </c>
      <c r="M168" s="35">
        <f t="shared" ref="M168:M176" si="44">ROUND((L168/$E$1),0)</f>
        <v>1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>
        <v>4</v>
      </c>
      <c r="H169" s="42">
        <v>2</v>
      </c>
      <c r="I169" s="42"/>
      <c r="J169" s="42"/>
      <c r="K169" s="42"/>
      <c r="L169" s="35">
        <f t="shared" ref="L169:L176" si="45">SUM(G169:K169)</f>
        <v>6</v>
      </c>
      <c r="M169" s="35">
        <f t="shared" si="44"/>
        <v>2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>
        <v>7</v>
      </c>
      <c r="H170" s="42">
        <v>4</v>
      </c>
      <c r="I170" s="42"/>
      <c r="J170" s="42"/>
      <c r="K170" s="42"/>
      <c r="L170" s="35">
        <f t="shared" si="45"/>
        <v>11</v>
      </c>
      <c r="M170" s="35">
        <f t="shared" si="44"/>
        <v>3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>
        <v>11</v>
      </c>
      <c r="H171" s="43">
        <v>2</v>
      </c>
      <c r="I171" s="43"/>
      <c r="J171" s="43"/>
      <c r="K171" s="43"/>
      <c r="L171" s="31">
        <f t="shared" si="45"/>
        <v>13</v>
      </c>
      <c r="M171" s="31">
        <f t="shared" si="44"/>
        <v>3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/>
      <c r="H172" s="42"/>
      <c r="I172" s="42"/>
      <c r="J172" s="42"/>
      <c r="K172" s="42"/>
      <c r="L172" s="35">
        <f t="shared" si="45"/>
        <v>0</v>
      </c>
      <c r="M172" s="35">
        <f t="shared" si="44"/>
        <v>0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/>
      <c r="H173" s="42"/>
      <c r="I173" s="42"/>
      <c r="J173" s="42"/>
      <c r="K173" s="42"/>
      <c r="L173" s="35">
        <f t="shared" si="45"/>
        <v>0</v>
      </c>
      <c r="M173" s="35">
        <f t="shared" si="44"/>
        <v>0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>
        <v>2</v>
      </c>
      <c r="H174" s="42"/>
      <c r="I174" s="42"/>
      <c r="J174" s="42"/>
      <c r="K174" s="42"/>
      <c r="L174" s="35">
        <f t="shared" si="45"/>
        <v>2</v>
      </c>
      <c r="M174" s="35">
        <f t="shared" si="44"/>
        <v>1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>
        <v>90</v>
      </c>
      <c r="H175" s="42">
        <v>80</v>
      </c>
      <c r="I175" s="42"/>
      <c r="J175" s="42"/>
      <c r="K175" s="42"/>
      <c r="L175" s="35">
        <f t="shared" si="45"/>
        <v>170</v>
      </c>
      <c r="M175" s="35">
        <f t="shared" si="44"/>
        <v>43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/>
      <c r="H176" s="42"/>
      <c r="I176" s="42"/>
      <c r="J176" s="42"/>
      <c r="K176" s="42"/>
      <c r="L176" s="35">
        <f t="shared" si="45"/>
        <v>0</v>
      </c>
      <c r="M176" s="35">
        <f t="shared" si="44"/>
        <v>0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2025</v>
      </c>
      <c r="H179" s="10">
        <f>+G179</f>
        <v>2025</v>
      </c>
      <c r="I179" s="10">
        <f t="shared" ref="I179:M180" si="46">+H179</f>
        <v>2025</v>
      </c>
      <c r="J179" s="10">
        <f t="shared" si="46"/>
        <v>2025</v>
      </c>
      <c r="K179" s="10">
        <f t="shared" si="46"/>
        <v>2025</v>
      </c>
      <c r="L179" s="10">
        <f t="shared" si="46"/>
        <v>2025</v>
      </c>
      <c r="M179" s="10">
        <f t="shared" si="46"/>
        <v>2025</v>
      </c>
      <c r="N179" s="11"/>
      <c r="O179" s="44"/>
      <c r="P179" s="44"/>
      <c r="Q179" s="44"/>
      <c r="S179" s="12" t="str">
        <f>+C179</f>
        <v>Tibane</v>
      </c>
      <c r="T179" s="13">
        <f>+L183</f>
        <v>152</v>
      </c>
      <c r="U179" s="13">
        <f>+L184+L185</f>
        <v>31</v>
      </c>
      <c r="V179" s="13">
        <f>+L186+L187</f>
        <v>121</v>
      </c>
      <c r="W179" s="13">
        <f>+L190</f>
        <v>5</v>
      </c>
      <c r="X179" s="13">
        <f>+L188</f>
        <v>2</v>
      </c>
    </row>
    <row r="180" spans="1:24" x14ac:dyDescent="0.25">
      <c r="A180" s="14"/>
      <c r="B180" s="15"/>
      <c r="C180" s="41" t="str">
        <f>+$C164</f>
        <v>December 2025</v>
      </c>
      <c r="D180" s="18"/>
      <c r="E180" s="18"/>
      <c r="F180" s="18"/>
      <c r="G180" s="20" t="str">
        <f>+$G$4</f>
        <v>December</v>
      </c>
      <c r="H180" s="20" t="str">
        <f>+G180</f>
        <v>December</v>
      </c>
      <c r="I180" s="20" t="str">
        <f t="shared" si="46"/>
        <v>December</v>
      </c>
      <c r="J180" s="20" t="str">
        <f t="shared" si="46"/>
        <v>December</v>
      </c>
      <c r="K180" s="20" t="str">
        <f t="shared" si="46"/>
        <v>December</v>
      </c>
      <c r="L180" s="20" t="str">
        <f t="shared" si="46"/>
        <v>December</v>
      </c>
      <c r="M180" s="20" t="str">
        <f t="shared" si="46"/>
        <v>December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7</v>
      </c>
      <c r="H181" s="25">
        <f>+$H$5</f>
        <v>14</v>
      </c>
      <c r="I181" s="25">
        <f>+$I$5</f>
        <v>21</v>
      </c>
      <c r="J181" s="25">
        <f>+$J$5</f>
        <v>28</v>
      </c>
      <c r="K181" s="25">
        <f>+$K$5</f>
        <v>0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>
        <f>SUM(G184:G187)</f>
        <v>75</v>
      </c>
      <c r="H183" s="31">
        <f t="shared" ref="H183:L183" si="47">SUM(H184:H187)</f>
        <v>77</v>
      </c>
      <c r="I183" s="31">
        <f t="shared" si="47"/>
        <v>0</v>
      </c>
      <c r="J183" s="31">
        <f t="shared" si="47"/>
        <v>0</v>
      </c>
      <c r="K183" s="31">
        <f t="shared" si="47"/>
        <v>0</v>
      </c>
      <c r="L183" s="31">
        <f t="shared" si="47"/>
        <v>152</v>
      </c>
      <c r="M183" s="31">
        <f>ROUND((L183/$E$1),0)</f>
        <v>38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>
        <v>2</v>
      </c>
      <c r="H184" s="42">
        <v>2</v>
      </c>
      <c r="I184" s="42"/>
      <c r="J184" s="42"/>
      <c r="K184" s="42"/>
      <c r="L184" s="35">
        <f>SUM(G184:K184)</f>
        <v>4</v>
      </c>
      <c r="M184" s="35">
        <f t="shared" ref="M184:M192" si="48">ROUND((L184/$E$1),0)</f>
        <v>1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>
        <v>14</v>
      </c>
      <c r="H185" s="42">
        <v>13</v>
      </c>
      <c r="I185" s="42"/>
      <c r="J185" s="42"/>
      <c r="K185" s="42"/>
      <c r="L185" s="35">
        <f t="shared" ref="L185:L192" si="49">SUM(G185:K185)</f>
        <v>27</v>
      </c>
      <c r="M185" s="35">
        <f t="shared" si="48"/>
        <v>7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>
        <v>18</v>
      </c>
      <c r="H186" s="42">
        <v>20</v>
      </c>
      <c r="I186" s="42"/>
      <c r="J186" s="42"/>
      <c r="K186" s="42"/>
      <c r="L186" s="35">
        <f t="shared" si="49"/>
        <v>38</v>
      </c>
      <c r="M186" s="35">
        <f t="shared" si="48"/>
        <v>10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>
        <v>41</v>
      </c>
      <c r="H187" s="43">
        <v>42</v>
      </c>
      <c r="I187" s="43"/>
      <c r="J187" s="43"/>
      <c r="K187" s="43"/>
      <c r="L187" s="31">
        <f t="shared" si="49"/>
        <v>83</v>
      </c>
      <c r="M187" s="31">
        <f t="shared" si="48"/>
        <v>21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>
        <v>1</v>
      </c>
      <c r="H188" s="42">
        <v>1</v>
      </c>
      <c r="I188" s="42"/>
      <c r="J188" s="42"/>
      <c r="K188" s="42"/>
      <c r="L188" s="35">
        <f t="shared" si="49"/>
        <v>2</v>
      </c>
      <c r="M188" s="35">
        <f t="shared" si="48"/>
        <v>1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/>
      <c r="H189" s="42"/>
      <c r="I189" s="42"/>
      <c r="J189" s="42"/>
      <c r="K189" s="42"/>
      <c r="L189" s="35">
        <f t="shared" si="49"/>
        <v>0</v>
      </c>
      <c r="M189" s="35">
        <f t="shared" si="48"/>
        <v>0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>
        <v>3</v>
      </c>
      <c r="H190" s="42">
        <v>2</v>
      </c>
      <c r="I190" s="42"/>
      <c r="J190" s="42"/>
      <c r="K190" s="42"/>
      <c r="L190" s="35">
        <f t="shared" si="49"/>
        <v>5</v>
      </c>
      <c r="M190" s="35">
        <f t="shared" si="48"/>
        <v>1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>
        <v>144</v>
      </c>
      <c r="H191" s="42">
        <v>144</v>
      </c>
      <c r="I191" s="42"/>
      <c r="J191" s="42"/>
      <c r="K191" s="42"/>
      <c r="L191" s="35">
        <f t="shared" si="49"/>
        <v>288</v>
      </c>
      <c r="M191" s="35">
        <f t="shared" si="48"/>
        <v>72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/>
      <c r="H192" s="42"/>
      <c r="I192" s="42"/>
      <c r="J192" s="42"/>
      <c r="K192" s="42"/>
      <c r="L192" s="35">
        <f t="shared" si="49"/>
        <v>0</v>
      </c>
      <c r="M192" s="35">
        <f t="shared" si="48"/>
        <v>0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2025</v>
      </c>
      <c r="H195" s="10">
        <f>+G195</f>
        <v>2025</v>
      </c>
      <c r="I195" s="10">
        <f t="shared" ref="I195:M196" si="50">+H195</f>
        <v>2025</v>
      </c>
      <c r="J195" s="10">
        <f t="shared" si="50"/>
        <v>2025</v>
      </c>
      <c r="K195" s="10">
        <f t="shared" si="50"/>
        <v>2025</v>
      </c>
      <c r="L195" s="10">
        <f t="shared" si="50"/>
        <v>2025</v>
      </c>
      <c r="M195" s="10">
        <f t="shared" si="50"/>
        <v>2025</v>
      </c>
      <c r="N195" s="11"/>
      <c r="O195" s="44"/>
      <c r="P195" s="44"/>
      <c r="Q195" s="44"/>
      <c r="S195" s="12" t="str">
        <f>+C195</f>
        <v>Nyathela</v>
      </c>
      <c r="T195" s="13">
        <f>+L199</f>
        <v>91</v>
      </c>
      <c r="U195" s="13">
        <f>+L200+L201</f>
        <v>21</v>
      </c>
      <c r="V195" s="13">
        <f>+L202+L203</f>
        <v>70</v>
      </c>
      <c r="W195" s="13">
        <f>+L206</f>
        <v>5</v>
      </c>
      <c r="X195" s="13">
        <f>+L204</f>
        <v>0</v>
      </c>
    </row>
    <row r="196" spans="1:24" x14ac:dyDescent="0.25">
      <c r="A196" s="14"/>
      <c r="B196" s="15"/>
      <c r="C196" s="41" t="str">
        <f>+$C180</f>
        <v>December 2025</v>
      </c>
      <c r="D196" s="18"/>
      <c r="E196" s="18"/>
      <c r="F196" s="18"/>
      <c r="G196" s="20" t="str">
        <f>+$G$4</f>
        <v>December</v>
      </c>
      <c r="H196" s="20" t="str">
        <f>+G196</f>
        <v>December</v>
      </c>
      <c r="I196" s="20" t="str">
        <f t="shared" si="50"/>
        <v>December</v>
      </c>
      <c r="J196" s="20" t="str">
        <f t="shared" si="50"/>
        <v>December</v>
      </c>
      <c r="K196" s="20" t="str">
        <f t="shared" si="50"/>
        <v>December</v>
      </c>
      <c r="L196" s="20" t="str">
        <f t="shared" si="50"/>
        <v>December</v>
      </c>
      <c r="M196" s="20" t="str">
        <f t="shared" si="50"/>
        <v>December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7</v>
      </c>
      <c r="H197" s="25">
        <f>+$H$5</f>
        <v>14</v>
      </c>
      <c r="I197" s="25">
        <f>+$I$5</f>
        <v>21</v>
      </c>
      <c r="J197" s="25">
        <f>+$J$5</f>
        <v>28</v>
      </c>
      <c r="K197" s="25">
        <f>+$K$5</f>
        <v>0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>
        <f>SUM(G200:G203)</f>
        <v>53</v>
      </c>
      <c r="H199" s="31">
        <f t="shared" ref="H199:L199" si="51">SUM(H200:H203)</f>
        <v>38</v>
      </c>
      <c r="I199" s="31">
        <f t="shared" si="51"/>
        <v>0</v>
      </c>
      <c r="J199" s="31">
        <f t="shared" si="51"/>
        <v>0</v>
      </c>
      <c r="K199" s="31">
        <f t="shared" si="51"/>
        <v>0</v>
      </c>
      <c r="L199" s="31">
        <f t="shared" si="51"/>
        <v>91</v>
      </c>
      <c r="M199" s="31">
        <f>ROUND((L199/$E$1),0)</f>
        <v>23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>
        <v>3</v>
      </c>
      <c r="H200" s="42">
        <v>3</v>
      </c>
      <c r="I200" s="42"/>
      <c r="J200" s="42"/>
      <c r="K200" s="42"/>
      <c r="L200" s="35">
        <f>SUM(G200:K200)</f>
        <v>6</v>
      </c>
      <c r="M200" s="35">
        <f t="shared" ref="M200:M208" si="52">ROUND((L200/$E$1),0)</f>
        <v>2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>
        <v>8</v>
      </c>
      <c r="H201" s="42">
        <v>7</v>
      </c>
      <c r="I201" s="42"/>
      <c r="J201" s="42"/>
      <c r="K201" s="42"/>
      <c r="L201" s="35">
        <f t="shared" ref="L201:L208" si="53">SUM(G201:K201)</f>
        <v>15</v>
      </c>
      <c r="M201" s="35">
        <f t="shared" si="52"/>
        <v>4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>
        <v>15</v>
      </c>
      <c r="H202" s="42">
        <v>13</v>
      </c>
      <c r="I202" s="42"/>
      <c r="J202" s="42"/>
      <c r="K202" s="42"/>
      <c r="L202" s="35">
        <f t="shared" si="53"/>
        <v>28</v>
      </c>
      <c r="M202" s="35">
        <f t="shared" si="52"/>
        <v>7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>
        <v>27</v>
      </c>
      <c r="H203" s="43">
        <v>15</v>
      </c>
      <c r="I203" s="43"/>
      <c r="J203" s="43"/>
      <c r="K203" s="43"/>
      <c r="L203" s="31">
        <f t="shared" si="53"/>
        <v>42</v>
      </c>
      <c r="M203" s="31">
        <f t="shared" si="52"/>
        <v>11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/>
      <c r="H204" s="42"/>
      <c r="I204" s="42"/>
      <c r="J204" s="42"/>
      <c r="K204" s="42"/>
      <c r="L204" s="35">
        <f t="shared" si="53"/>
        <v>0</v>
      </c>
      <c r="M204" s="35">
        <f t="shared" si="52"/>
        <v>0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/>
      <c r="H205" s="42"/>
      <c r="I205" s="42"/>
      <c r="J205" s="42"/>
      <c r="K205" s="42"/>
      <c r="L205" s="35">
        <f t="shared" si="53"/>
        <v>0</v>
      </c>
      <c r="M205" s="35">
        <f t="shared" si="52"/>
        <v>0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>
        <v>2</v>
      </c>
      <c r="H206" s="42">
        <v>3</v>
      </c>
      <c r="I206" s="42"/>
      <c r="J206" s="42"/>
      <c r="K206" s="42"/>
      <c r="L206" s="35">
        <f t="shared" si="53"/>
        <v>5</v>
      </c>
      <c r="M206" s="35">
        <f t="shared" si="52"/>
        <v>1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>
        <v>96</v>
      </c>
      <c r="H207" s="42">
        <v>48</v>
      </c>
      <c r="I207" s="42"/>
      <c r="J207" s="42"/>
      <c r="K207" s="42"/>
      <c r="L207" s="35">
        <f t="shared" si="53"/>
        <v>144</v>
      </c>
      <c r="M207" s="35">
        <f t="shared" si="52"/>
        <v>36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/>
      <c r="H208" s="42"/>
      <c r="I208" s="42"/>
      <c r="J208" s="42"/>
      <c r="K208" s="42"/>
      <c r="L208" s="35">
        <f t="shared" si="53"/>
        <v>0</v>
      </c>
      <c r="M208" s="35">
        <f t="shared" si="52"/>
        <v>0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2025</v>
      </c>
      <c r="H211" s="10">
        <f>+G211</f>
        <v>2025</v>
      </c>
      <c r="I211" s="10">
        <f t="shared" ref="I211:M212" si="54">+H211</f>
        <v>2025</v>
      </c>
      <c r="J211" s="10">
        <f t="shared" si="54"/>
        <v>2025</v>
      </c>
      <c r="K211" s="10">
        <f t="shared" si="54"/>
        <v>2025</v>
      </c>
      <c r="L211" s="10">
        <f t="shared" si="54"/>
        <v>2025</v>
      </c>
      <c r="M211" s="10">
        <f t="shared" si="54"/>
        <v>2025</v>
      </c>
      <c r="N211" s="11"/>
      <c r="O211" s="44"/>
      <c r="P211" s="44"/>
      <c r="Q211" s="44"/>
      <c r="S211" s="12" t="str">
        <f>+C211</f>
        <v>Mlindazwe</v>
      </c>
      <c r="T211" s="13">
        <f>+L215</f>
        <v>56</v>
      </c>
      <c r="U211" s="13">
        <f>+L216+L217</f>
        <v>7</v>
      </c>
      <c r="V211" s="13">
        <f>+L218+L219</f>
        <v>49</v>
      </c>
      <c r="W211" s="13">
        <f>+L222</f>
        <v>2</v>
      </c>
      <c r="X211" s="13">
        <f>+L220</f>
        <v>0</v>
      </c>
    </row>
    <row r="212" spans="1:24" x14ac:dyDescent="0.25">
      <c r="A212" s="14"/>
      <c r="B212" s="15"/>
      <c r="C212" s="41" t="str">
        <f>+$C196</f>
        <v>December 2025</v>
      </c>
      <c r="D212" s="18"/>
      <c r="E212" s="18"/>
      <c r="F212" s="18"/>
      <c r="G212" s="20" t="str">
        <f>+$G$4</f>
        <v>December</v>
      </c>
      <c r="H212" s="20" t="str">
        <f>+G212</f>
        <v>December</v>
      </c>
      <c r="I212" s="20" t="str">
        <f t="shared" si="54"/>
        <v>December</v>
      </c>
      <c r="J212" s="20" t="str">
        <f t="shared" si="54"/>
        <v>December</v>
      </c>
      <c r="K212" s="20" t="str">
        <f t="shared" si="54"/>
        <v>December</v>
      </c>
      <c r="L212" s="20" t="str">
        <f t="shared" si="54"/>
        <v>December</v>
      </c>
      <c r="M212" s="20" t="str">
        <f t="shared" si="54"/>
        <v>December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7</v>
      </c>
      <c r="H213" s="25">
        <f>+$H$5</f>
        <v>14</v>
      </c>
      <c r="I213" s="25">
        <f>+$I$5</f>
        <v>21</v>
      </c>
      <c r="J213" s="25">
        <f>+$J$5</f>
        <v>28</v>
      </c>
      <c r="K213" s="25">
        <f>+$K$5</f>
        <v>0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>
        <f>SUM(G216:G219)</f>
        <v>56</v>
      </c>
      <c r="H215" s="31">
        <f t="shared" ref="H215:L215" si="55">SUM(H216:H219)</f>
        <v>0</v>
      </c>
      <c r="I215" s="31">
        <f t="shared" si="55"/>
        <v>0</v>
      </c>
      <c r="J215" s="31">
        <f t="shared" si="55"/>
        <v>0</v>
      </c>
      <c r="K215" s="31">
        <f t="shared" si="55"/>
        <v>0</v>
      </c>
      <c r="L215" s="31">
        <f t="shared" si="55"/>
        <v>56</v>
      </c>
      <c r="M215" s="31">
        <f>ROUND((L215/$E$1),0)</f>
        <v>14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/>
      <c r="H216" s="42"/>
      <c r="I216" s="42"/>
      <c r="J216" s="42"/>
      <c r="K216" s="42"/>
      <c r="L216" s="35">
        <f>SUM(G216:K216)</f>
        <v>0</v>
      </c>
      <c r="M216" s="35">
        <f t="shared" ref="M216:M224" si="56">ROUND((L216/$E$1),0)</f>
        <v>0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>
        <v>7</v>
      </c>
      <c r="H217" s="42"/>
      <c r="I217" s="42"/>
      <c r="J217" s="42"/>
      <c r="K217" s="42"/>
      <c r="L217" s="35">
        <f t="shared" ref="L217:L224" si="57">SUM(G217:K217)</f>
        <v>7</v>
      </c>
      <c r="M217" s="35">
        <f t="shared" si="56"/>
        <v>2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>
        <v>14</v>
      </c>
      <c r="H218" s="42"/>
      <c r="I218" s="42"/>
      <c r="J218" s="42"/>
      <c r="K218" s="42"/>
      <c r="L218" s="35">
        <f t="shared" si="57"/>
        <v>14</v>
      </c>
      <c r="M218" s="35">
        <f t="shared" si="56"/>
        <v>4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>
        <v>35</v>
      </c>
      <c r="H219" s="43"/>
      <c r="I219" s="43"/>
      <c r="J219" s="43"/>
      <c r="K219" s="43"/>
      <c r="L219" s="31">
        <f t="shared" si="57"/>
        <v>35</v>
      </c>
      <c r="M219" s="31">
        <f t="shared" si="56"/>
        <v>9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/>
      <c r="H220" s="42"/>
      <c r="I220" s="42"/>
      <c r="J220" s="42"/>
      <c r="K220" s="42"/>
      <c r="L220" s="35">
        <f t="shared" si="57"/>
        <v>0</v>
      </c>
      <c r="M220" s="35">
        <f t="shared" si="56"/>
        <v>0</v>
      </c>
      <c r="N220" s="32"/>
      <c r="O220" s="2" t="s">
        <v>115</v>
      </c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/>
      <c r="H221" s="42"/>
      <c r="I221" s="42"/>
      <c r="J221" s="42"/>
      <c r="K221" s="42"/>
      <c r="L221" s="35">
        <f t="shared" si="57"/>
        <v>0</v>
      </c>
      <c r="M221" s="35">
        <f t="shared" si="56"/>
        <v>0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>
        <v>2</v>
      </c>
      <c r="H222" s="42"/>
      <c r="I222" s="42"/>
      <c r="J222" s="42"/>
      <c r="K222" s="42"/>
      <c r="L222" s="35">
        <f t="shared" si="57"/>
        <v>2</v>
      </c>
      <c r="M222" s="35">
        <f t="shared" si="56"/>
        <v>1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/>
      <c r="H223" s="42"/>
      <c r="I223" s="42"/>
      <c r="J223" s="42"/>
      <c r="K223" s="42"/>
      <c r="L223" s="35">
        <f t="shared" si="57"/>
        <v>0</v>
      </c>
      <c r="M223" s="35">
        <f t="shared" si="56"/>
        <v>0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/>
      <c r="H224" s="42"/>
      <c r="I224" s="42"/>
      <c r="J224" s="42"/>
      <c r="K224" s="42"/>
      <c r="L224" s="35">
        <f t="shared" si="57"/>
        <v>0</v>
      </c>
      <c r="M224" s="35">
        <f t="shared" si="56"/>
        <v>0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2025</v>
      </c>
      <c r="H227" s="10">
        <f>+G227</f>
        <v>2025</v>
      </c>
      <c r="I227" s="10">
        <f t="shared" ref="I227:M228" si="58">+H227</f>
        <v>2025</v>
      </c>
      <c r="J227" s="10">
        <f t="shared" si="58"/>
        <v>2025</v>
      </c>
      <c r="K227" s="10">
        <f t="shared" si="58"/>
        <v>2025</v>
      </c>
      <c r="L227" s="10">
        <f t="shared" si="58"/>
        <v>2025</v>
      </c>
      <c r="M227" s="10">
        <f t="shared" si="58"/>
        <v>2025</v>
      </c>
      <c r="N227" s="11"/>
      <c r="O227" s="44"/>
      <c r="P227" s="44"/>
      <c r="Q227" s="44"/>
      <c r="S227" s="12" t="str">
        <f>+C227</f>
        <v>Lundzi</v>
      </c>
      <c r="T227" s="13">
        <f>+L231</f>
        <v>40</v>
      </c>
      <c r="U227" s="13">
        <f>+L232+L233</f>
        <v>18</v>
      </c>
      <c r="V227" s="13">
        <f>+L234+L235</f>
        <v>22</v>
      </c>
      <c r="W227" s="13">
        <f>+L238</f>
        <v>0</v>
      </c>
      <c r="X227" s="13">
        <f>+L236</f>
        <v>0</v>
      </c>
    </row>
    <row r="228" spans="1:24" x14ac:dyDescent="0.25">
      <c r="A228" s="14"/>
      <c r="B228" s="15"/>
      <c r="C228" s="41" t="str">
        <f>+$C212</f>
        <v>December 2025</v>
      </c>
      <c r="D228" s="18"/>
      <c r="E228" s="18"/>
      <c r="F228" s="18"/>
      <c r="G228" s="20" t="str">
        <f>+$G$4</f>
        <v>December</v>
      </c>
      <c r="H228" s="20" t="str">
        <f>+G228</f>
        <v>December</v>
      </c>
      <c r="I228" s="20" t="str">
        <f t="shared" si="58"/>
        <v>December</v>
      </c>
      <c r="J228" s="20" t="str">
        <f t="shared" si="58"/>
        <v>December</v>
      </c>
      <c r="K228" s="20" t="str">
        <f t="shared" si="58"/>
        <v>December</v>
      </c>
      <c r="L228" s="20" t="str">
        <f t="shared" si="58"/>
        <v>December</v>
      </c>
      <c r="M228" s="20" t="str">
        <f t="shared" si="58"/>
        <v>December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7</v>
      </c>
      <c r="H229" s="25">
        <f>+$H$5</f>
        <v>14</v>
      </c>
      <c r="I229" s="25">
        <f>+$I$5</f>
        <v>21</v>
      </c>
      <c r="J229" s="25">
        <f>+$J$5</f>
        <v>28</v>
      </c>
      <c r="K229" s="25">
        <f>+$K$5</f>
        <v>0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>
        <f>SUM(G232:G235)</f>
        <v>40</v>
      </c>
      <c r="H231" s="31">
        <f t="shared" ref="H231:L231" si="59">SUM(H232:H235)</f>
        <v>0</v>
      </c>
      <c r="I231" s="31">
        <f t="shared" si="59"/>
        <v>0</v>
      </c>
      <c r="J231" s="31">
        <f t="shared" si="59"/>
        <v>0</v>
      </c>
      <c r="K231" s="31">
        <f t="shared" si="59"/>
        <v>0</v>
      </c>
      <c r="L231" s="31">
        <f t="shared" si="59"/>
        <v>40</v>
      </c>
      <c r="M231" s="31">
        <f>ROUND((L231/$E$1),0)</f>
        <v>10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>
        <v>8</v>
      </c>
      <c r="H232" s="42"/>
      <c r="I232" s="42"/>
      <c r="J232" s="42"/>
      <c r="K232" s="42"/>
      <c r="L232" s="35">
        <f>SUM(G232:K232)</f>
        <v>8</v>
      </c>
      <c r="M232" s="35">
        <f t="shared" ref="M232:M240" si="60">ROUND((L232/$E$1),0)</f>
        <v>2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>
        <v>10</v>
      </c>
      <c r="H233" s="42"/>
      <c r="I233" s="42"/>
      <c r="J233" s="42"/>
      <c r="K233" s="42"/>
      <c r="L233" s="35">
        <f t="shared" ref="L233:L240" si="61">SUM(G233:K233)</f>
        <v>10</v>
      </c>
      <c r="M233" s="35">
        <f t="shared" si="60"/>
        <v>3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>
        <v>7</v>
      </c>
      <c r="H234" s="42"/>
      <c r="I234" s="42"/>
      <c r="J234" s="42"/>
      <c r="K234" s="42"/>
      <c r="L234" s="35">
        <f t="shared" si="61"/>
        <v>7</v>
      </c>
      <c r="M234" s="35">
        <f t="shared" si="60"/>
        <v>2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>
        <v>15</v>
      </c>
      <c r="H235" s="43"/>
      <c r="I235" s="43"/>
      <c r="J235" s="43"/>
      <c r="K235" s="43"/>
      <c r="L235" s="31">
        <f t="shared" si="61"/>
        <v>15</v>
      </c>
      <c r="M235" s="31">
        <f t="shared" si="60"/>
        <v>4</v>
      </c>
      <c r="N235" s="32"/>
      <c r="O235" s="92" t="s">
        <v>114</v>
      </c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/>
      <c r="H236" s="42"/>
      <c r="I236" s="42"/>
      <c r="J236" s="42"/>
      <c r="K236" s="42"/>
      <c r="L236" s="35">
        <f t="shared" si="61"/>
        <v>0</v>
      </c>
      <c r="M236" s="35">
        <f t="shared" si="60"/>
        <v>0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/>
      <c r="H237" s="42"/>
      <c r="I237" s="42"/>
      <c r="J237" s="42"/>
      <c r="K237" s="42"/>
      <c r="L237" s="35">
        <f t="shared" si="61"/>
        <v>0</v>
      </c>
      <c r="M237" s="35">
        <f t="shared" si="60"/>
        <v>0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/>
      <c r="H238" s="42"/>
      <c r="I238" s="42"/>
      <c r="J238" s="42"/>
      <c r="K238" s="42"/>
      <c r="L238" s="35">
        <f t="shared" si="61"/>
        <v>0</v>
      </c>
      <c r="M238" s="35">
        <f t="shared" si="60"/>
        <v>0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/>
      <c r="H239" s="42"/>
      <c r="I239" s="42"/>
      <c r="J239" s="42"/>
      <c r="K239" s="42"/>
      <c r="L239" s="35">
        <f t="shared" si="61"/>
        <v>0</v>
      </c>
      <c r="M239" s="35">
        <f t="shared" si="60"/>
        <v>0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/>
      <c r="H240" s="42"/>
      <c r="I240" s="42"/>
      <c r="J240" s="42"/>
      <c r="K240" s="42"/>
      <c r="L240" s="35">
        <f t="shared" si="61"/>
        <v>0</v>
      </c>
      <c r="M240" s="35">
        <f t="shared" si="60"/>
        <v>0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2025</v>
      </c>
      <c r="H243" s="10">
        <f>+G243</f>
        <v>2025</v>
      </c>
      <c r="I243" s="10">
        <f t="shared" ref="I243:M244" si="62">+H243</f>
        <v>2025</v>
      </c>
      <c r="J243" s="10">
        <f t="shared" si="62"/>
        <v>2025</v>
      </c>
      <c r="K243" s="10">
        <f t="shared" si="62"/>
        <v>2025</v>
      </c>
      <c r="L243" s="10">
        <f t="shared" si="62"/>
        <v>2025</v>
      </c>
      <c r="M243" s="10">
        <f t="shared" si="62"/>
        <v>2025</v>
      </c>
      <c r="N243" s="11"/>
      <c r="O243" s="44"/>
      <c r="P243" s="44"/>
      <c r="Q243" s="44"/>
      <c r="S243" s="12" t="str">
        <f>+C243</f>
        <v>Esigcaweni</v>
      </c>
      <c r="T243" s="13">
        <f>+L247</f>
        <v>81</v>
      </c>
      <c r="U243" s="13">
        <f>+L248+L249</f>
        <v>14</v>
      </c>
      <c r="V243" s="13">
        <f>+L250+L251</f>
        <v>67</v>
      </c>
      <c r="W243" s="13">
        <f>+L254</f>
        <v>6</v>
      </c>
      <c r="X243" s="13">
        <f>+L252</f>
        <v>0</v>
      </c>
    </row>
    <row r="244" spans="1:24" x14ac:dyDescent="0.25">
      <c r="A244" s="14"/>
      <c r="B244" s="15"/>
      <c r="C244" s="41" t="str">
        <f>+$C228</f>
        <v>December 2025</v>
      </c>
      <c r="D244" s="18"/>
      <c r="E244" s="18"/>
      <c r="F244" s="18"/>
      <c r="G244" s="20" t="str">
        <f>+$G$4</f>
        <v>December</v>
      </c>
      <c r="H244" s="20" t="str">
        <f>+G244</f>
        <v>December</v>
      </c>
      <c r="I244" s="20" t="str">
        <f t="shared" si="62"/>
        <v>December</v>
      </c>
      <c r="J244" s="20" t="str">
        <f t="shared" si="62"/>
        <v>December</v>
      </c>
      <c r="K244" s="20" t="str">
        <f t="shared" si="62"/>
        <v>December</v>
      </c>
      <c r="L244" s="20" t="str">
        <f t="shared" si="62"/>
        <v>December</v>
      </c>
      <c r="M244" s="20" t="str">
        <f t="shared" si="62"/>
        <v>December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7</v>
      </c>
      <c r="H245" s="25">
        <f>+$H$5</f>
        <v>14</v>
      </c>
      <c r="I245" s="25">
        <f>+$I$5</f>
        <v>21</v>
      </c>
      <c r="J245" s="25">
        <f>+$J$5</f>
        <v>28</v>
      </c>
      <c r="K245" s="25">
        <f>+$K$5</f>
        <v>0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>
        <f>SUM(G248:G251)</f>
        <v>0</v>
      </c>
      <c r="H247" s="31">
        <f t="shared" ref="H247:L247" si="63">SUM(H248:H251)</f>
        <v>81</v>
      </c>
      <c r="I247" s="31">
        <f t="shared" si="63"/>
        <v>0</v>
      </c>
      <c r="J247" s="31">
        <f t="shared" si="63"/>
        <v>0</v>
      </c>
      <c r="K247" s="31">
        <f t="shared" si="63"/>
        <v>0</v>
      </c>
      <c r="L247" s="31">
        <f t="shared" si="63"/>
        <v>81</v>
      </c>
      <c r="M247" s="31">
        <f>ROUND((L247/$E$1),0)</f>
        <v>20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/>
      <c r="H248" s="42">
        <v>4</v>
      </c>
      <c r="I248" s="42"/>
      <c r="J248" s="42"/>
      <c r="K248" s="42"/>
      <c r="L248" s="35">
        <f>SUM(G248:K248)</f>
        <v>4</v>
      </c>
      <c r="M248" s="35">
        <f t="shared" ref="M248:M256" si="64">ROUND((L248/$E$1),0)</f>
        <v>1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/>
      <c r="H249" s="42">
        <v>10</v>
      </c>
      <c r="I249" s="42"/>
      <c r="J249" s="42"/>
      <c r="K249" s="42"/>
      <c r="L249" s="35">
        <f t="shared" ref="L249:L256" si="65">SUM(G249:K249)</f>
        <v>10</v>
      </c>
      <c r="M249" s="35">
        <f t="shared" si="64"/>
        <v>3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/>
      <c r="H250" s="42">
        <v>22</v>
      </c>
      <c r="I250" s="42"/>
      <c r="J250" s="42"/>
      <c r="K250" s="42"/>
      <c r="L250" s="35">
        <f t="shared" si="65"/>
        <v>22</v>
      </c>
      <c r="M250" s="35">
        <f t="shared" si="64"/>
        <v>6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/>
      <c r="H251" s="43">
        <v>45</v>
      </c>
      <c r="I251" s="43"/>
      <c r="J251" s="43"/>
      <c r="K251" s="43"/>
      <c r="L251" s="31">
        <f t="shared" si="65"/>
        <v>45</v>
      </c>
      <c r="M251" s="31">
        <f t="shared" si="64"/>
        <v>11</v>
      </c>
      <c r="N251" s="32"/>
      <c r="O251" s="2" t="s">
        <v>107</v>
      </c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/>
      <c r="H252" s="42"/>
      <c r="I252" s="42"/>
      <c r="J252" s="42"/>
      <c r="K252" s="42"/>
      <c r="L252" s="35">
        <f t="shared" si="65"/>
        <v>0</v>
      </c>
      <c r="M252" s="35">
        <f t="shared" si="64"/>
        <v>0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/>
      <c r="H253" s="42"/>
      <c r="I253" s="42"/>
      <c r="J253" s="42"/>
      <c r="K253" s="42"/>
      <c r="L253" s="35">
        <f t="shared" si="65"/>
        <v>0</v>
      </c>
      <c r="M253" s="35">
        <f t="shared" si="64"/>
        <v>0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/>
      <c r="H254" s="42">
        <v>6</v>
      </c>
      <c r="I254" s="42"/>
      <c r="J254" s="42"/>
      <c r="K254" s="42"/>
      <c r="L254" s="35">
        <f t="shared" si="65"/>
        <v>6</v>
      </c>
      <c r="M254" s="35">
        <f t="shared" si="64"/>
        <v>2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/>
      <c r="H255" s="42"/>
      <c r="I255" s="42"/>
      <c r="J255" s="42"/>
      <c r="K255" s="42"/>
      <c r="L255" s="35">
        <f t="shared" si="65"/>
        <v>0</v>
      </c>
      <c r="M255" s="35">
        <f t="shared" si="64"/>
        <v>0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/>
      <c r="H256" s="42"/>
      <c r="I256" s="42"/>
      <c r="J256" s="42"/>
      <c r="K256" s="42"/>
      <c r="L256" s="35">
        <f t="shared" si="65"/>
        <v>0</v>
      </c>
      <c r="M256" s="35">
        <f t="shared" si="64"/>
        <v>0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2025</v>
      </c>
      <c r="H259" s="10">
        <f>+G259</f>
        <v>2025</v>
      </c>
      <c r="I259" s="10">
        <f t="shared" ref="I259:M260" si="66">+H259</f>
        <v>2025</v>
      </c>
      <c r="J259" s="10">
        <f t="shared" si="66"/>
        <v>2025</v>
      </c>
      <c r="K259" s="10">
        <f t="shared" si="66"/>
        <v>2025</v>
      </c>
      <c r="L259" s="10">
        <f t="shared" si="66"/>
        <v>2025</v>
      </c>
      <c r="M259" s="10">
        <f t="shared" si="66"/>
        <v>2025</v>
      </c>
      <c r="N259" s="11"/>
      <c r="S259" s="12" t="str">
        <f>+C259</f>
        <v>Lonhlalane</v>
      </c>
      <c r="T259" s="13">
        <f>+L263</f>
        <v>125</v>
      </c>
      <c r="U259" s="13">
        <f>+L264+L265</f>
        <v>30</v>
      </c>
      <c r="V259" s="13">
        <f>+L266+L267</f>
        <v>95</v>
      </c>
      <c r="W259" s="13">
        <f>+L270</f>
        <v>0</v>
      </c>
      <c r="X259" s="13">
        <f>+L268</f>
        <v>0</v>
      </c>
    </row>
    <row r="260" spans="1:24" x14ac:dyDescent="0.25">
      <c r="A260" s="14"/>
      <c r="B260" s="15"/>
      <c r="C260" s="41" t="str">
        <f>+$C244</f>
        <v>December 2025</v>
      </c>
      <c r="D260" s="18"/>
      <c r="E260" s="18"/>
      <c r="F260" s="18"/>
      <c r="G260" s="20" t="str">
        <f>+$G$4</f>
        <v>December</v>
      </c>
      <c r="H260" s="20" t="str">
        <f>+G260</f>
        <v>December</v>
      </c>
      <c r="I260" s="20" t="str">
        <f t="shared" si="66"/>
        <v>December</v>
      </c>
      <c r="J260" s="20" t="str">
        <f t="shared" si="66"/>
        <v>December</v>
      </c>
      <c r="K260" s="20" t="str">
        <f t="shared" si="66"/>
        <v>December</v>
      </c>
      <c r="L260" s="20" t="str">
        <f t="shared" si="66"/>
        <v>December</v>
      </c>
      <c r="M260" s="20" t="str">
        <f t="shared" si="66"/>
        <v>December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7</v>
      </c>
      <c r="H261" s="25">
        <f>+$H$5</f>
        <v>14</v>
      </c>
      <c r="I261" s="25">
        <f>+$I$5</f>
        <v>21</v>
      </c>
      <c r="J261" s="25">
        <f>+$J$5</f>
        <v>28</v>
      </c>
      <c r="K261" s="25">
        <f>+$K$5</f>
        <v>0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>
        <f>SUM(G264:G267)</f>
        <v>73</v>
      </c>
      <c r="H263" s="31">
        <f t="shared" ref="H263:L263" si="67">SUM(H264:H267)</f>
        <v>52</v>
      </c>
      <c r="I263" s="31">
        <f t="shared" si="67"/>
        <v>0</v>
      </c>
      <c r="J263" s="31">
        <f t="shared" si="67"/>
        <v>0</v>
      </c>
      <c r="K263" s="31">
        <f t="shared" si="67"/>
        <v>0</v>
      </c>
      <c r="L263" s="31">
        <f t="shared" si="67"/>
        <v>125</v>
      </c>
      <c r="M263" s="31">
        <f>ROUND((L263/$E$1),0)</f>
        <v>31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>
        <v>3</v>
      </c>
      <c r="H264" s="42">
        <v>2</v>
      </c>
      <c r="I264" s="42"/>
      <c r="J264" s="42"/>
      <c r="K264" s="42"/>
      <c r="L264" s="35">
        <f>SUM(G264:K264)</f>
        <v>5</v>
      </c>
      <c r="M264" s="35">
        <f t="shared" ref="M264:M272" si="68">ROUND((L264/$E$1),0)</f>
        <v>1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>
        <v>15</v>
      </c>
      <c r="H265" s="42">
        <v>10</v>
      </c>
      <c r="I265" s="42"/>
      <c r="J265" s="42"/>
      <c r="K265" s="42"/>
      <c r="L265" s="35">
        <f t="shared" ref="L265:L272" si="69">SUM(G265:K265)</f>
        <v>25</v>
      </c>
      <c r="M265" s="35">
        <f t="shared" si="68"/>
        <v>6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>
        <v>13</v>
      </c>
      <c r="H266" s="42">
        <v>13</v>
      </c>
      <c r="I266" s="42"/>
      <c r="J266" s="42"/>
      <c r="K266" s="42"/>
      <c r="L266" s="35">
        <f t="shared" si="69"/>
        <v>26</v>
      </c>
      <c r="M266" s="35">
        <f t="shared" si="68"/>
        <v>7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>
        <v>42</v>
      </c>
      <c r="H267" s="43">
        <v>27</v>
      </c>
      <c r="I267" s="43"/>
      <c r="J267" s="43"/>
      <c r="K267" s="43"/>
      <c r="L267" s="31">
        <f t="shared" si="69"/>
        <v>69</v>
      </c>
      <c r="M267" s="31">
        <f t="shared" si="68"/>
        <v>17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/>
      <c r="H268" s="42"/>
      <c r="I268" s="42"/>
      <c r="J268" s="42"/>
      <c r="K268" s="42"/>
      <c r="L268" s="35">
        <f t="shared" si="69"/>
        <v>0</v>
      </c>
      <c r="M268" s="35">
        <f t="shared" si="68"/>
        <v>0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/>
      <c r="H269" s="42"/>
      <c r="I269" s="42"/>
      <c r="J269" s="42"/>
      <c r="K269" s="42"/>
      <c r="L269" s="35">
        <f t="shared" si="69"/>
        <v>0</v>
      </c>
      <c r="M269" s="35">
        <f t="shared" si="68"/>
        <v>0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/>
      <c r="H270" s="42"/>
      <c r="I270" s="42"/>
      <c r="J270" s="42"/>
      <c r="K270" s="42"/>
      <c r="L270" s="35">
        <f t="shared" si="69"/>
        <v>0</v>
      </c>
      <c r="M270" s="35">
        <f t="shared" si="68"/>
        <v>0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/>
      <c r="H271" s="42"/>
      <c r="I271" s="42"/>
      <c r="J271" s="42"/>
      <c r="K271" s="42"/>
      <c r="L271" s="35">
        <f t="shared" si="69"/>
        <v>0</v>
      </c>
      <c r="M271" s="35">
        <f t="shared" si="68"/>
        <v>0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/>
      <c r="H272" s="42"/>
      <c r="I272" s="42"/>
      <c r="J272" s="42"/>
      <c r="K272" s="42"/>
      <c r="L272" s="35">
        <f t="shared" si="69"/>
        <v>0</v>
      </c>
      <c r="M272" s="35">
        <f t="shared" si="68"/>
        <v>0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2025</v>
      </c>
      <c r="H275" s="10">
        <f>+G275</f>
        <v>2025</v>
      </c>
      <c r="I275" s="10">
        <f t="shared" ref="I275:M276" si="70">+H275</f>
        <v>2025</v>
      </c>
      <c r="J275" s="10">
        <f t="shared" si="70"/>
        <v>2025</v>
      </c>
      <c r="K275" s="10">
        <f t="shared" si="70"/>
        <v>2025</v>
      </c>
      <c r="L275" s="10">
        <f t="shared" si="70"/>
        <v>2025</v>
      </c>
      <c r="M275" s="10">
        <f t="shared" si="70"/>
        <v>2025</v>
      </c>
      <c r="N275" s="11"/>
      <c r="S275" s="12" t="str">
        <f>+C275</f>
        <v>Zondwako</v>
      </c>
      <c r="T275" s="13">
        <f>+L279</f>
        <v>89</v>
      </c>
      <c r="U275" s="13">
        <f>+L280+L281</f>
        <v>15</v>
      </c>
      <c r="V275" s="13">
        <f>+L282+L283</f>
        <v>74</v>
      </c>
      <c r="W275" s="13">
        <f>+L286</f>
        <v>0</v>
      </c>
      <c r="X275" s="13">
        <f>+L284</f>
        <v>0</v>
      </c>
    </row>
    <row r="276" spans="1:24" x14ac:dyDescent="0.25">
      <c r="A276" s="14"/>
      <c r="B276" s="15"/>
      <c r="C276" s="41" t="str">
        <f>+$C260</f>
        <v>December 2025</v>
      </c>
      <c r="D276" s="18"/>
      <c r="E276" s="18"/>
      <c r="F276" s="18"/>
      <c r="G276" s="20" t="str">
        <f>+$G$4</f>
        <v>December</v>
      </c>
      <c r="H276" s="20" t="str">
        <f>+G276</f>
        <v>December</v>
      </c>
      <c r="I276" s="20" t="str">
        <f t="shared" si="70"/>
        <v>December</v>
      </c>
      <c r="J276" s="20" t="str">
        <f t="shared" si="70"/>
        <v>December</v>
      </c>
      <c r="K276" s="20" t="str">
        <f t="shared" si="70"/>
        <v>December</v>
      </c>
      <c r="L276" s="20" t="str">
        <f t="shared" si="70"/>
        <v>December</v>
      </c>
      <c r="M276" s="20" t="str">
        <f t="shared" si="70"/>
        <v>December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7</v>
      </c>
      <c r="H277" s="25">
        <f>+$H$5</f>
        <v>14</v>
      </c>
      <c r="I277" s="25">
        <f>+$I$5</f>
        <v>21</v>
      </c>
      <c r="J277" s="25">
        <f>+$J$5</f>
        <v>28</v>
      </c>
      <c r="K277" s="25">
        <f>+$K$5</f>
        <v>0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>
        <f>SUM(G280:G283)</f>
        <v>52</v>
      </c>
      <c r="H279" s="31">
        <f t="shared" ref="H279:L279" si="71">SUM(H280:H283)</f>
        <v>37</v>
      </c>
      <c r="I279" s="31">
        <f t="shared" si="71"/>
        <v>0</v>
      </c>
      <c r="J279" s="31">
        <f t="shared" si="71"/>
        <v>0</v>
      </c>
      <c r="K279" s="31">
        <f t="shared" si="71"/>
        <v>0</v>
      </c>
      <c r="L279" s="31">
        <f t="shared" si="71"/>
        <v>89</v>
      </c>
      <c r="M279" s="31">
        <f>ROUND((L279/$E$1),0)</f>
        <v>22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>
        <v>3</v>
      </c>
      <c r="H280" s="42">
        <v>3</v>
      </c>
      <c r="I280" s="42"/>
      <c r="J280" s="42"/>
      <c r="K280" s="42"/>
      <c r="L280" s="35">
        <f>SUM(G280:K280)</f>
        <v>6</v>
      </c>
      <c r="M280" s="35">
        <f t="shared" ref="M280:M288" si="72">ROUND((L280/$E$1),0)</f>
        <v>2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>
        <v>5</v>
      </c>
      <c r="H281" s="42">
        <v>4</v>
      </c>
      <c r="I281" s="42"/>
      <c r="J281" s="42"/>
      <c r="K281" s="42"/>
      <c r="L281" s="35">
        <f t="shared" ref="L281:L288" si="73">SUM(G281:K281)</f>
        <v>9</v>
      </c>
      <c r="M281" s="35">
        <f t="shared" si="72"/>
        <v>2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>
        <v>20</v>
      </c>
      <c r="H282" s="42">
        <v>11</v>
      </c>
      <c r="I282" s="42"/>
      <c r="J282" s="42"/>
      <c r="K282" s="42"/>
      <c r="L282" s="35">
        <f t="shared" si="73"/>
        <v>31</v>
      </c>
      <c r="M282" s="35">
        <f t="shared" si="72"/>
        <v>8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>
        <v>24</v>
      </c>
      <c r="H283" s="43">
        <v>19</v>
      </c>
      <c r="I283" s="43"/>
      <c r="J283" s="43"/>
      <c r="K283" s="43"/>
      <c r="L283" s="31">
        <f t="shared" si="73"/>
        <v>43</v>
      </c>
      <c r="M283" s="31">
        <f t="shared" si="72"/>
        <v>11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/>
      <c r="H284" s="42"/>
      <c r="I284" s="42"/>
      <c r="J284" s="42"/>
      <c r="K284" s="42"/>
      <c r="L284" s="35">
        <f t="shared" si="73"/>
        <v>0</v>
      </c>
      <c r="M284" s="35">
        <f t="shared" si="72"/>
        <v>0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/>
      <c r="H285" s="42"/>
      <c r="I285" s="42"/>
      <c r="J285" s="42"/>
      <c r="K285" s="42"/>
      <c r="L285" s="35">
        <f t="shared" si="73"/>
        <v>0</v>
      </c>
      <c r="M285" s="35">
        <f t="shared" si="72"/>
        <v>0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/>
      <c r="H286" s="42"/>
      <c r="I286" s="42"/>
      <c r="J286" s="42"/>
      <c r="K286" s="42"/>
      <c r="L286" s="35">
        <f t="shared" si="73"/>
        <v>0</v>
      </c>
      <c r="M286" s="35">
        <f t="shared" si="72"/>
        <v>0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/>
      <c r="H287" s="42"/>
      <c r="I287" s="42"/>
      <c r="J287" s="42"/>
      <c r="K287" s="42"/>
      <c r="L287" s="35">
        <f t="shared" si="73"/>
        <v>0</v>
      </c>
      <c r="M287" s="35">
        <f t="shared" si="72"/>
        <v>0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/>
      <c r="H288" s="42"/>
      <c r="I288" s="42"/>
      <c r="J288" s="42"/>
      <c r="K288" s="42"/>
      <c r="L288" s="35">
        <f t="shared" si="73"/>
        <v>0</v>
      </c>
      <c r="M288" s="35">
        <f t="shared" si="72"/>
        <v>0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2025</v>
      </c>
      <c r="H291" s="10">
        <f>+G291</f>
        <v>2025</v>
      </c>
      <c r="I291" s="10">
        <f t="shared" ref="I291:M292" si="74">+H291</f>
        <v>2025</v>
      </c>
      <c r="J291" s="10">
        <f t="shared" si="74"/>
        <v>2025</v>
      </c>
      <c r="K291" s="10">
        <f t="shared" si="74"/>
        <v>2025</v>
      </c>
      <c r="L291" s="10">
        <f t="shared" si="74"/>
        <v>2025</v>
      </c>
      <c r="M291" s="10">
        <f t="shared" si="74"/>
        <v>2025</v>
      </c>
      <c r="N291" s="11"/>
      <c r="S291" s="12" t="str">
        <f>+C291</f>
        <v>Mangcongco</v>
      </c>
      <c r="T291" s="13">
        <f>+L295</f>
        <v>52</v>
      </c>
      <c r="U291" s="13">
        <f>+L296+L297</f>
        <v>8</v>
      </c>
      <c r="V291" s="13">
        <f>+L298+L299</f>
        <v>44</v>
      </c>
      <c r="W291" s="13">
        <f>+L302</f>
        <v>3</v>
      </c>
      <c r="X291" s="13">
        <f>+L300</f>
        <v>0</v>
      </c>
    </row>
    <row r="292" spans="1:24" x14ac:dyDescent="0.25">
      <c r="A292" s="14"/>
      <c r="B292" s="15"/>
      <c r="C292" s="41" t="str">
        <f>+$C276</f>
        <v>December 2025</v>
      </c>
      <c r="D292" s="18"/>
      <c r="E292" s="18"/>
      <c r="F292" s="18"/>
      <c r="G292" s="20" t="str">
        <f>+$G$4</f>
        <v>December</v>
      </c>
      <c r="H292" s="20" t="str">
        <f>+G292</f>
        <v>December</v>
      </c>
      <c r="I292" s="20" t="str">
        <f t="shared" si="74"/>
        <v>December</v>
      </c>
      <c r="J292" s="20" t="str">
        <f t="shared" si="74"/>
        <v>December</v>
      </c>
      <c r="K292" s="20" t="str">
        <f t="shared" si="74"/>
        <v>December</v>
      </c>
      <c r="L292" s="20" t="str">
        <f t="shared" si="74"/>
        <v>December</v>
      </c>
      <c r="M292" s="20" t="str">
        <f t="shared" si="74"/>
        <v>December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7</v>
      </c>
      <c r="H293" s="25">
        <f>+$H$5</f>
        <v>14</v>
      </c>
      <c r="I293" s="25">
        <f>+$I$5</f>
        <v>21</v>
      </c>
      <c r="J293" s="25">
        <f>+$J$5</f>
        <v>28</v>
      </c>
      <c r="K293" s="25">
        <f>+$K$5</f>
        <v>0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>
        <f>SUM(G296:G299)</f>
        <v>0</v>
      </c>
      <c r="H295" s="31">
        <f t="shared" ref="H295:L295" si="75">SUM(H296:H299)</f>
        <v>52</v>
      </c>
      <c r="I295" s="31">
        <f t="shared" si="75"/>
        <v>0</v>
      </c>
      <c r="J295" s="31">
        <f t="shared" si="75"/>
        <v>0</v>
      </c>
      <c r="K295" s="31">
        <f t="shared" si="75"/>
        <v>0</v>
      </c>
      <c r="L295" s="31">
        <f t="shared" si="75"/>
        <v>52</v>
      </c>
      <c r="M295" s="31">
        <f>ROUND((L295/$E$1),0)</f>
        <v>13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/>
      <c r="H296" s="42">
        <v>2</v>
      </c>
      <c r="I296" s="42"/>
      <c r="J296" s="42"/>
      <c r="K296" s="42"/>
      <c r="L296" s="35">
        <f>SUM(G296:K296)</f>
        <v>2</v>
      </c>
      <c r="M296" s="35">
        <f t="shared" ref="M296:M304" si="76">ROUND((L296/$E$1),0)</f>
        <v>1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/>
      <c r="H297" s="42">
        <v>6</v>
      </c>
      <c r="I297" s="42"/>
      <c r="J297" s="42"/>
      <c r="K297" s="42"/>
      <c r="L297" s="35">
        <f t="shared" ref="L297:L304" si="77">SUM(G297:K297)</f>
        <v>6</v>
      </c>
      <c r="M297" s="35">
        <f t="shared" si="76"/>
        <v>2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/>
      <c r="H298" s="42">
        <v>17</v>
      </c>
      <c r="I298" s="42"/>
      <c r="J298" s="42"/>
      <c r="K298" s="42"/>
      <c r="L298" s="35">
        <f t="shared" si="77"/>
        <v>17</v>
      </c>
      <c r="M298" s="35">
        <f t="shared" si="76"/>
        <v>4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/>
      <c r="H299" s="43">
        <v>27</v>
      </c>
      <c r="I299" s="43"/>
      <c r="J299" s="43"/>
      <c r="K299" s="43"/>
      <c r="L299" s="31">
        <f t="shared" si="77"/>
        <v>27</v>
      </c>
      <c r="M299" s="31">
        <f t="shared" si="76"/>
        <v>7</v>
      </c>
      <c r="N299" s="32"/>
      <c r="O299" s="2" t="s">
        <v>107</v>
      </c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/>
      <c r="H300" s="42"/>
      <c r="I300" s="42"/>
      <c r="J300" s="42"/>
      <c r="K300" s="42"/>
      <c r="L300" s="35">
        <f t="shared" si="77"/>
        <v>0</v>
      </c>
      <c r="M300" s="35">
        <f t="shared" si="76"/>
        <v>0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/>
      <c r="H301" s="42"/>
      <c r="I301" s="42"/>
      <c r="J301" s="42"/>
      <c r="K301" s="42"/>
      <c r="L301" s="35">
        <f t="shared" si="77"/>
        <v>0</v>
      </c>
      <c r="M301" s="35">
        <f t="shared" si="76"/>
        <v>0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/>
      <c r="H302" s="42">
        <v>3</v>
      </c>
      <c r="I302" s="42"/>
      <c r="J302" s="42"/>
      <c r="K302" s="42"/>
      <c r="L302" s="35">
        <f t="shared" si="77"/>
        <v>3</v>
      </c>
      <c r="M302" s="35">
        <f t="shared" si="76"/>
        <v>1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/>
      <c r="H303" s="42"/>
      <c r="I303" s="42"/>
      <c r="J303" s="42"/>
      <c r="K303" s="42"/>
      <c r="L303" s="35">
        <f t="shared" si="77"/>
        <v>0</v>
      </c>
      <c r="M303" s="35">
        <f t="shared" si="76"/>
        <v>0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/>
      <c r="H304" s="42"/>
      <c r="I304" s="42"/>
      <c r="J304" s="42"/>
      <c r="K304" s="42"/>
      <c r="L304" s="35">
        <f t="shared" si="77"/>
        <v>0</v>
      </c>
      <c r="M304" s="35">
        <f t="shared" si="76"/>
        <v>0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2025</v>
      </c>
      <c r="H307" s="10">
        <f>+G307</f>
        <v>2025</v>
      </c>
      <c r="I307" s="10">
        <f t="shared" ref="I307:M308" si="78">+H307</f>
        <v>2025</v>
      </c>
      <c r="J307" s="10">
        <f t="shared" si="78"/>
        <v>2025</v>
      </c>
      <c r="K307" s="10">
        <f t="shared" si="78"/>
        <v>2025</v>
      </c>
      <c r="L307" s="10">
        <f t="shared" si="78"/>
        <v>2025</v>
      </c>
      <c r="M307" s="10">
        <f t="shared" si="78"/>
        <v>2025</v>
      </c>
      <c r="N307" s="11"/>
      <c r="S307" s="12" t="str">
        <f>+C307</f>
        <v>Kaliba</v>
      </c>
      <c r="T307" s="13">
        <f>+L311</f>
        <v>126</v>
      </c>
      <c r="U307" s="13">
        <f>+L312+L313</f>
        <v>23</v>
      </c>
      <c r="V307" s="13">
        <f>+L314+L315</f>
        <v>103</v>
      </c>
      <c r="W307" s="13">
        <f>+L318</f>
        <v>2</v>
      </c>
      <c r="X307" s="13">
        <f>+L316</f>
        <v>0</v>
      </c>
    </row>
    <row r="308" spans="1:24" x14ac:dyDescent="0.25">
      <c r="A308" s="14"/>
      <c r="B308" s="15"/>
      <c r="C308" s="41" t="str">
        <f>+$C292</f>
        <v>December 2025</v>
      </c>
      <c r="D308" s="18"/>
      <c r="E308" s="18"/>
      <c r="F308" s="18"/>
      <c r="G308" s="20" t="str">
        <f>+$G$4</f>
        <v>December</v>
      </c>
      <c r="H308" s="20" t="str">
        <f>+G308</f>
        <v>December</v>
      </c>
      <c r="I308" s="20" t="str">
        <f t="shared" si="78"/>
        <v>December</v>
      </c>
      <c r="J308" s="20" t="str">
        <f t="shared" si="78"/>
        <v>December</v>
      </c>
      <c r="K308" s="20" t="str">
        <f t="shared" si="78"/>
        <v>December</v>
      </c>
      <c r="L308" s="20" t="str">
        <f t="shared" si="78"/>
        <v>December</v>
      </c>
      <c r="M308" s="20" t="str">
        <f t="shared" si="78"/>
        <v>December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7</v>
      </c>
      <c r="H309" s="25">
        <f>+$H$5</f>
        <v>14</v>
      </c>
      <c r="I309" s="25">
        <f>+$I$5</f>
        <v>21</v>
      </c>
      <c r="J309" s="25">
        <f>+$J$5</f>
        <v>28</v>
      </c>
      <c r="K309" s="25">
        <f>+$K$5</f>
        <v>0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>
        <f>SUM(G312:G315)</f>
        <v>95</v>
      </c>
      <c r="H311" s="31">
        <f t="shared" ref="H311:L311" si="79">SUM(H312:H315)</f>
        <v>31</v>
      </c>
      <c r="I311" s="31">
        <f t="shared" si="79"/>
        <v>0</v>
      </c>
      <c r="J311" s="31">
        <f t="shared" si="79"/>
        <v>0</v>
      </c>
      <c r="K311" s="31">
        <f t="shared" si="79"/>
        <v>0</v>
      </c>
      <c r="L311" s="31">
        <f t="shared" si="79"/>
        <v>126</v>
      </c>
      <c r="M311" s="31">
        <f>ROUND((L311/$E$1),0)</f>
        <v>32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>
        <v>2</v>
      </c>
      <c r="H312" s="42">
        <v>2</v>
      </c>
      <c r="I312" s="42"/>
      <c r="J312" s="42"/>
      <c r="K312" s="42"/>
      <c r="L312" s="35">
        <f>SUM(G312:K312)</f>
        <v>4</v>
      </c>
      <c r="M312" s="35">
        <f t="shared" ref="M312:M320" si="80">ROUND((L312/$E$1),0)</f>
        <v>1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>
        <v>12</v>
      </c>
      <c r="H313" s="42">
        <v>7</v>
      </c>
      <c r="I313" s="42"/>
      <c r="J313" s="42"/>
      <c r="K313" s="42"/>
      <c r="L313" s="35">
        <f t="shared" ref="L313:L320" si="81">SUM(G313:K313)</f>
        <v>19</v>
      </c>
      <c r="M313" s="35">
        <f t="shared" si="80"/>
        <v>5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>
        <v>28</v>
      </c>
      <c r="H314" s="42">
        <v>18</v>
      </c>
      <c r="I314" s="42"/>
      <c r="J314" s="42"/>
      <c r="K314" s="42"/>
      <c r="L314" s="35">
        <f t="shared" si="81"/>
        <v>46</v>
      </c>
      <c r="M314" s="35">
        <f t="shared" si="80"/>
        <v>12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>
        <v>53</v>
      </c>
      <c r="H315" s="43">
        <v>4</v>
      </c>
      <c r="I315" s="43"/>
      <c r="J315" s="43"/>
      <c r="K315" s="43"/>
      <c r="L315" s="31">
        <f t="shared" si="81"/>
        <v>57</v>
      </c>
      <c r="M315" s="31">
        <f t="shared" si="80"/>
        <v>14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/>
      <c r="H316" s="42"/>
      <c r="I316" s="42"/>
      <c r="J316" s="42"/>
      <c r="K316" s="42"/>
      <c r="L316" s="35">
        <f t="shared" si="81"/>
        <v>0</v>
      </c>
      <c r="M316" s="35">
        <f t="shared" si="80"/>
        <v>0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/>
      <c r="H317" s="42"/>
      <c r="I317" s="42"/>
      <c r="J317" s="42"/>
      <c r="K317" s="42"/>
      <c r="L317" s="35">
        <f t="shared" si="81"/>
        <v>0</v>
      </c>
      <c r="M317" s="35">
        <f t="shared" si="80"/>
        <v>0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>
        <v>1</v>
      </c>
      <c r="H318" s="42">
        <v>1</v>
      </c>
      <c r="I318" s="42"/>
      <c r="J318" s="42"/>
      <c r="K318" s="42"/>
      <c r="L318" s="35">
        <f t="shared" si="81"/>
        <v>2</v>
      </c>
      <c r="M318" s="35">
        <f t="shared" si="80"/>
        <v>1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/>
      <c r="H319" s="42"/>
      <c r="I319" s="42"/>
      <c r="J319" s="42"/>
      <c r="K319" s="42"/>
      <c r="L319" s="35">
        <f t="shared" si="81"/>
        <v>0</v>
      </c>
      <c r="M319" s="35">
        <f t="shared" si="80"/>
        <v>0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/>
      <c r="H320" s="42"/>
      <c r="I320" s="42"/>
      <c r="J320" s="42"/>
      <c r="K320" s="42"/>
      <c r="L320" s="35">
        <f t="shared" si="81"/>
        <v>0</v>
      </c>
      <c r="M320" s="35">
        <f t="shared" si="80"/>
        <v>0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2025</v>
      </c>
      <c r="H323" s="10">
        <f>+G323</f>
        <v>2025</v>
      </c>
      <c r="I323" s="10">
        <f t="shared" ref="I323:M324" si="82">+H323</f>
        <v>2025</v>
      </c>
      <c r="J323" s="10">
        <f t="shared" si="82"/>
        <v>2025</v>
      </c>
      <c r="K323" s="10">
        <f t="shared" si="82"/>
        <v>2025</v>
      </c>
      <c r="L323" s="10">
        <f t="shared" si="82"/>
        <v>2025</v>
      </c>
      <c r="M323" s="10">
        <f t="shared" si="82"/>
        <v>2025</v>
      </c>
      <c r="N323" s="11"/>
      <c r="S323" s="12" t="str">
        <f>+C323</f>
        <v>Kancesi</v>
      </c>
      <c r="T323" s="13">
        <f>+L327</f>
        <v>84</v>
      </c>
      <c r="U323" s="13">
        <f>+L328+L329</f>
        <v>25</v>
      </c>
      <c r="V323" s="13">
        <f>+L330+L331</f>
        <v>59</v>
      </c>
      <c r="W323" s="13">
        <f>+L334</f>
        <v>0</v>
      </c>
      <c r="X323" s="13">
        <f>+L332</f>
        <v>0</v>
      </c>
    </row>
    <row r="324" spans="1:24" x14ac:dyDescent="0.25">
      <c r="A324" s="14"/>
      <c r="B324" s="15"/>
      <c r="C324" s="41" t="str">
        <f>+$C308</f>
        <v>December 2025</v>
      </c>
      <c r="D324" s="18"/>
      <c r="E324" s="18"/>
      <c r="F324" s="18"/>
      <c r="G324" s="20" t="str">
        <f>+$G$4</f>
        <v>December</v>
      </c>
      <c r="H324" s="20" t="str">
        <f>+G324</f>
        <v>December</v>
      </c>
      <c r="I324" s="20" t="str">
        <f t="shared" si="82"/>
        <v>December</v>
      </c>
      <c r="J324" s="20" t="str">
        <f t="shared" si="82"/>
        <v>December</v>
      </c>
      <c r="K324" s="20" t="str">
        <f t="shared" si="82"/>
        <v>December</v>
      </c>
      <c r="L324" s="20" t="str">
        <f t="shared" si="82"/>
        <v>December</v>
      </c>
      <c r="M324" s="20" t="str">
        <f t="shared" si="82"/>
        <v>December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7</v>
      </c>
      <c r="H325" s="25">
        <f>+$H$5</f>
        <v>14</v>
      </c>
      <c r="I325" s="25">
        <f>+$I$5</f>
        <v>21</v>
      </c>
      <c r="J325" s="25">
        <f>+$J$5</f>
        <v>28</v>
      </c>
      <c r="K325" s="25">
        <f>+$K$5</f>
        <v>0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>
        <f>SUM(G328:G331)</f>
        <v>58</v>
      </c>
      <c r="H327" s="31">
        <f t="shared" ref="H327:L327" si="83">SUM(H328:H331)</f>
        <v>26</v>
      </c>
      <c r="I327" s="31">
        <f t="shared" si="83"/>
        <v>0</v>
      </c>
      <c r="J327" s="31">
        <f t="shared" si="83"/>
        <v>0</v>
      </c>
      <c r="K327" s="31">
        <f t="shared" si="83"/>
        <v>0</v>
      </c>
      <c r="L327" s="31">
        <f t="shared" si="83"/>
        <v>84</v>
      </c>
      <c r="M327" s="31">
        <f>ROUND((L327/$E$1),0)</f>
        <v>21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>
        <v>3</v>
      </c>
      <c r="H328" s="42">
        <v>4</v>
      </c>
      <c r="I328" s="42"/>
      <c r="J328" s="42"/>
      <c r="K328" s="42"/>
      <c r="L328" s="35">
        <f>SUM(G328:K328)</f>
        <v>7</v>
      </c>
      <c r="M328" s="35">
        <f t="shared" ref="M328:M336" si="84">ROUND((L328/$E$1),0)</f>
        <v>2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>
        <v>12</v>
      </c>
      <c r="H329" s="42">
        <v>6</v>
      </c>
      <c r="I329" s="42"/>
      <c r="J329" s="42"/>
      <c r="K329" s="42"/>
      <c r="L329" s="35">
        <f t="shared" ref="L329:L336" si="85">SUM(G329:K329)</f>
        <v>18</v>
      </c>
      <c r="M329" s="35">
        <f t="shared" si="84"/>
        <v>5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>
        <v>12</v>
      </c>
      <c r="H330" s="42">
        <v>5</v>
      </c>
      <c r="I330" s="42"/>
      <c r="J330" s="42"/>
      <c r="K330" s="42"/>
      <c r="L330" s="35">
        <f t="shared" si="85"/>
        <v>17</v>
      </c>
      <c r="M330" s="35">
        <f t="shared" si="84"/>
        <v>4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>
        <v>31</v>
      </c>
      <c r="H331" s="43">
        <v>11</v>
      </c>
      <c r="I331" s="43"/>
      <c r="J331" s="43"/>
      <c r="K331" s="43"/>
      <c r="L331" s="31">
        <f t="shared" si="85"/>
        <v>42</v>
      </c>
      <c r="M331" s="31">
        <f t="shared" si="84"/>
        <v>11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/>
      <c r="H332" s="42"/>
      <c r="I332" s="42"/>
      <c r="J332" s="42"/>
      <c r="K332" s="42"/>
      <c r="L332" s="35">
        <f t="shared" si="85"/>
        <v>0</v>
      </c>
      <c r="M332" s="35">
        <f t="shared" si="84"/>
        <v>0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/>
      <c r="H333" s="42"/>
      <c r="I333" s="42"/>
      <c r="J333" s="42"/>
      <c r="K333" s="42"/>
      <c r="L333" s="35">
        <f t="shared" si="85"/>
        <v>0</v>
      </c>
      <c r="M333" s="35">
        <f t="shared" si="84"/>
        <v>0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/>
      <c r="H334" s="42"/>
      <c r="I334" s="42"/>
      <c r="J334" s="42"/>
      <c r="K334" s="42"/>
      <c r="L334" s="35">
        <f t="shared" si="85"/>
        <v>0</v>
      </c>
      <c r="M334" s="35">
        <f t="shared" si="84"/>
        <v>0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/>
      <c r="H335" s="42"/>
      <c r="I335" s="42"/>
      <c r="J335" s="42"/>
      <c r="K335" s="42"/>
      <c r="L335" s="35">
        <f t="shared" si="85"/>
        <v>0</v>
      </c>
      <c r="M335" s="35">
        <f t="shared" si="84"/>
        <v>0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/>
      <c r="H336" s="42"/>
      <c r="I336" s="42"/>
      <c r="J336" s="42"/>
      <c r="K336" s="42"/>
      <c r="L336" s="35">
        <f t="shared" si="85"/>
        <v>0</v>
      </c>
      <c r="M336" s="35">
        <f t="shared" si="84"/>
        <v>0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2025</v>
      </c>
      <c r="H339" s="10">
        <f>+G339</f>
        <v>2025</v>
      </c>
      <c r="I339" s="10">
        <f t="shared" ref="I339:M340" si="86">+H339</f>
        <v>2025</v>
      </c>
      <c r="J339" s="10">
        <f t="shared" si="86"/>
        <v>2025</v>
      </c>
      <c r="K339" s="10">
        <f t="shared" si="86"/>
        <v>2025</v>
      </c>
      <c r="L339" s="10">
        <f t="shared" si="86"/>
        <v>2025</v>
      </c>
      <c r="M339" s="10">
        <f t="shared" si="86"/>
        <v>2025</v>
      </c>
      <c r="N339" s="11"/>
      <c r="S339" s="12" t="str">
        <f>+C339</f>
        <v>Mpuluzi</v>
      </c>
      <c r="T339" s="13">
        <f>+L343</f>
        <v>298</v>
      </c>
      <c r="U339" s="13">
        <f>+L344+L345</f>
        <v>107</v>
      </c>
      <c r="V339" s="13">
        <f>+L346+L347</f>
        <v>191</v>
      </c>
      <c r="W339" s="13">
        <f>+L350</f>
        <v>8</v>
      </c>
      <c r="X339" s="13">
        <f>+L348</f>
        <v>11</v>
      </c>
    </row>
    <row r="340" spans="1:24" x14ac:dyDescent="0.25">
      <c r="A340" s="14"/>
      <c r="B340" s="15"/>
      <c r="C340" s="41" t="str">
        <f>+$C324</f>
        <v>December 2025</v>
      </c>
      <c r="D340" s="18"/>
      <c r="E340" s="18"/>
      <c r="F340" s="18"/>
      <c r="G340" s="20" t="str">
        <f>+$G$4</f>
        <v>December</v>
      </c>
      <c r="H340" s="20" t="str">
        <f>+G340</f>
        <v>December</v>
      </c>
      <c r="I340" s="20" t="str">
        <f t="shared" si="86"/>
        <v>December</v>
      </c>
      <c r="J340" s="20" t="str">
        <f t="shared" si="86"/>
        <v>December</v>
      </c>
      <c r="K340" s="20" t="str">
        <f t="shared" si="86"/>
        <v>December</v>
      </c>
      <c r="L340" s="20" t="str">
        <f t="shared" si="86"/>
        <v>December</v>
      </c>
      <c r="M340" s="20" t="str">
        <f t="shared" si="86"/>
        <v>December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7</v>
      </c>
      <c r="H341" s="25">
        <f>+$H$5</f>
        <v>14</v>
      </c>
      <c r="I341" s="25">
        <f>+$I$5</f>
        <v>21</v>
      </c>
      <c r="J341" s="25">
        <f>+$J$5</f>
        <v>28</v>
      </c>
      <c r="K341" s="25">
        <f>+$K$5</f>
        <v>0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>
        <f>SUM(G344:G347)</f>
        <v>205</v>
      </c>
      <c r="H343" s="31">
        <f t="shared" ref="H343:L343" si="87">SUM(H344:H347)</f>
        <v>93</v>
      </c>
      <c r="I343" s="31">
        <f t="shared" si="87"/>
        <v>0</v>
      </c>
      <c r="J343" s="31">
        <f t="shared" si="87"/>
        <v>0</v>
      </c>
      <c r="K343" s="31">
        <f t="shared" si="87"/>
        <v>0</v>
      </c>
      <c r="L343" s="31">
        <f t="shared" si="87"/>
        <v>298</v>
      </c>
      <c r="M343" s="31">
        <f>ROUND((L343/$E$1),0)</f>
        <v>75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>
        <v>21</v>
      </c>
      <c r="H344" s="42">
        <v>6</v>
      </c>
      <c r="I344" s="42"/>
      <c r="J344" s="42"/>
      <c r="K344" s="42"/>
      <c r="L344" s="35">
        <f>SUM(G344:K344)</f>
        <v>27</v>
      </c>
      <c r="M344" s="35">
        <f t="shared" ref="M344:M352" si="88">ROUND((L344/$E$1),0)</f>
        <v>7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>
        <v>59</v>
      </c>
      <c r="H345" s="42">
        <v>21</v>
      </c>
      <c r="I345" s="42"/>
      <c r="J345" s="42"/>
      <c r="K345" s="42"/>
      <c r="L345" s="35">
        <f t="shared" ref="L345:L352" si="89">SUM(G345:K345)</f>
        <v>80</v>
      </c>
      <c r="M345" s="35">
        <f t="shared" si="88"/>
        <v>20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>
        <v>44</v>
      </c>
      <c r="H346" s="42">
        <v>17</v>
      </c>
      <c r="I346" s="42"/>
      <c r="J346" s="42"/>
      <c r="K346" s="42"/>
      <c r="L346" s="35">
        <f t="shared" si="89"/>
        <v>61</v>
      </c>
      <c r="M346" s="35">
        <f t="shared" si="88"/>
        <v>15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>
        <v>81</v>
      </c>
      <c r="H347" s="43">
        <v>49</v>
      </c>
      <c r="I347" s="43"/>
      <c r="J347" s="43"/>
      <c r="K347" s="43"/>
      <c r="L347" s="31">
        <f t="shared" si="89"/>
        <v>130</v>
      </c>
      <c r="M347" s="31">
        <f t="shared" si="88"/>
        <v>33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>
        <v>8</v>
      </c>
      <c r="H348" s="42">
        <v>3</v>
      </c>
      <c r="I348" s="42"/>
      <c r="J348" s="42"/>
      <c r="K348" s="42"/>
      <c r="L348" s="35">
        <f t="shared" si="89"/>
        <v>11</v>
      </c>
      <c r="M348" s="35">
        <f t="shared" si="88"/>
        <v>3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/>
      <c r="H349" s="42"/>
      <c r="I349" s="42"/>
      <c r="J349" s="42"/>
      <c r="K349" s="42"/>
      <c r="L349" s="35">
        <f t="shared" si="89"/>
        <v>0</v>
      </c>
      <c r="M349" s="35">
        <f t="shared" si="88"/>
        <v>0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>
        <v>4</v>
      </c>
      <c r="H350" s="42">
        <v>4</v>
      </c>
      <c r="I350" s="42"/>
      <c r="J350" s="42"/>
      <c r="K350" s="42"/>
      <c r="L350" s="35">
        <f t="shared" si="89"/>
        <v>8</v>
      </c>
      <c r="M350" s="35">
        <f t="shared" si="88"/>
        <v>2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/>
      <c r="H351" s="42">
        <v>10</v>
      </c>
      <c r="I351" s="42"/>
      <c r="J351" s="42"/>
      <c r="K351" s="42"/>
      <c r="L351" s="35">
        <f t="shared" si="89"/>
        <v>10</v>
      </c>
      <c r="M351" s="35">
        <f t="shared" si="88"/>
        <v>3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/>
      <c r="H352" s="42"/>
      <c r="I352" s="42"/>
      <c r="J352" s="42"/>
      <c r="K352" s="42"/>
      <c r="L352" s="35">
        <f t="shared" si="89"/>
        <v>0</v>
      </c>
      <c r="M352" s="35">
        <f t="shared" si="88"/>
        <v>0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2025</v>
      </c>
      <c r="H355" s="10">
        <f>+G355</f>
        <v>2025</v>
      </c>
      <c r="I355" s="10">
        <f t="shared" ref="I355:M356" si="90">+H355</f>
        <v>2025</v>
      </c>
      <c r="J355" s="10">
        <f t="shared" si="90"/>
        <v>2025</v>
      </c>
      <c r="K355" s="10">
        <f t="shared" si="90"/>
        <v>2025</v>
      </c>
      <c r="L355" s="10">
        <f t="shared" si="90"/>
        <v>2025</v>
      </c>
      <c r="M355" s="10">
        <f t="shared" si="90"/>
        <v>2025</v>
      </c>
      <c r="N355" s="11"/>
      <c r="S355" s="12" t="str">
        <f>+C355</f>
        <v>Bulunga</v>
      </c>
      <c r="T355" s="13">
        <f>+L359</f>
        <v>186</v>
      </c>
      <c r="U355" s="13">
        <f>+L360+L361</f>
        <v>42</v>
      </c>
      <c r="V355" s="13">
        <f>+L362+L363</f>
        <v>144</v>
      </c>
      <c r="W355" s="13">
        <f>+L366</f>
        <v>10</v>
      </c>
      <c r="X355" s="13">
        <f>+L364</f>
        <v>30</v>
      </c>
    </row>
    <row r="356" spans="1:24" x14ac:dyDescent="0.25">
      <c r="A356" s="14"/>
      <c r="B356" s="15"/>
      <c r="C356" s="41" t="str">
        <f>+$C340</f>
        <v>December 2025</v>
      </c>
      <c r="D356" s="18"/>
      <c r="E356" s="18"/>
      <c r="F356" s="18"/>
      <c r="G356" s="20" t="str">
        <f>+$G$4</f>
        <v>December</v>
      </c>
      <c r="H356" s="20" t="str">
        <f>+G356</f>
        <v>December</v>
      </c>
      <c r="I356" s="20" t="str">
        <f t="shared" si="90"/>
        <v>December</v>
      </c>
      <c r="J356" s="20" t="str">
        <f t="shared" si="90"/>
        <v>December</v>
      </c>
      <c r="K356" s="20" t="str">
        <f t="shared" si="90"/>
        <v>December</v>
      </c>
      <c r="L356" s="20" t="str">
        <f t="shared" si="90"/>
        <v>December</v>
      </c>
      <c r="M356" s="20" t="str">
        <f t="shared" si="90"/>
        <v>December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7</v>
      </c>
      <c r="H357" s="25">
        <f>+$H$5</f>
        <v>14</v>
      </c>
      <c r="I357" s="25">
        <f>+$I$5</f>
        <v>21</v>
      </c>
      <c r="J357" s="25">
        <f>+$J$5</f>
        <v>28</v>
      </c>
      <c r="K357" s="25">
        <f>+$K$5</f>
        <v>0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>
        <f>SUM(G360:G363)</f>
        <v>28</v>
      </c>
      <c r="H359" s="31">
        <f t="shared" ref="H359:L359" si="91">SUM(H360:H363)</f>
        <v>158</v>
      </c>
      <c r="I359" s="31">
        <f t="shared" si="91"/>
        <v>0</v>
      </c>
      <c r="J359" s="31">
        <f t="shared" si="91"/>
        <v>0</v>
      </c>
      <c r="K359" s="31">
        <f t="shared" si="91"/>
        <v>0</v>
      </c>
      <c r="L359" s="31">
        <f t="shared" si="91"/>
        <v>186</v>
      </c>
      <c r="M359" s="31">
        <f>ROUND((L359/$E$1),0)</f>
        <v>47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>
        <v>1</v>
      </c>
      <c r="H360" s="42">
        <v>8</v>
      </c>
      <c r="I360" s="42"/>
      <c r="J360" s="42"/>
      <c r="K360" s="42"/>
      <c r="L360" s="35">
        <f>SUM(G360:K360)</f>
        <v>9</v>
      </c>
      <c r="M360" s="35">
        <f t="shared" ref="M360:M368" si="92">ROUND((L360/$E$1),0)</f>
        <v>2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>
        <v>3</v>
      </c>
      <c r="H361" s="42">
        <v>30</v>
      </c>
      <c r="I361" s="42"/>
      <c r="J361" s="42"/>
      <c r="K361" s="42"/>
      <c r="L361" s="35">
        <f t="shared" ref="L361:L368" si="93">SUM(G361:K361)</f>
        <v>33</v>
      </c>
      <c r="M361" s="35">
        <f t="shared" si="92"/>
        <v>8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>
        <v>15</v>
      </c>
      <c r="H362" s="42">
        <v>100</v>
      </c>
      <c r="I362" s="42"/>
      <c r="J362" s="42"/>
      <c r="K362" s="42"/>
      <c r="L362" s="35">
        <f t="shared" si="93"/>
        <v>115</v>
      </c>
      <c r="M362" s="35">
        <f t="shared" si="92"/>
        <v>29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>
        <v>9</v>
      </c>
      <c r="H363" s="43">
        <v>20</v>
      </c>
      <c r="I363" s="43"/>
      <c r="J363" s="43"/>
      <c r="K363" s="43"/>
      <c r="L363" s="31">
        <f t="shared" si="93"/>
        <v>29</v>
      </c>
      <c r="M363" s="31">
        <f t="shared" si="92"/>
        <v>7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/>
      <c r="H364" s="42">
        <v>30</v>
      </c>
      <c r="I364" s="42"/>
      <c r="J364" s="42"/>
      <c r="K364" s="42"/>
      <c r="L364" s="35">
        <f t="shared" si="93"/>
        <v>30</v>
      </c>
      <c r="M364" s="35">
        <f t="shared" si="92"/>
        <v>8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/>
      <c r="H365" s="42"/>
      <c r="I365" s="42"/>
      <c r="J365" s="42"/>
      <c r="K365" s="42"/>
      <c r="L365" s="35">
        <f t="shared" si="93"/>
        <v>0</v>
      </c>
      <c r="M365" s="35">
        <f t="shared" si="92"/>
        <v>0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>
        <v>7</v>
      </c>
      <c r="H366" s="42">
        <v>3</v>
      </c>
      <c r="I366" s="42"/>
      <c r="J366" s="42"/>
      <c r="K366" s="42"/>
      <c r="L366" s="35">
        <f t="shared" si="93"/>
        <v>10</v>
      </c>
      <c r="M366" s="35">
        <f t="shared" si="92"/>
        <v>3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/>
      <c r="H367" s="42">
        <v>360</v>
      </c>
      <c r="I367" s="42"/>
      <c r="J367" s="42"/>
      <c r="K367" s="42"/>
      <c r="L367" s="35">
        <f t="shared" si="93"/>
        <v>360</v>
      </c>
      <c r="M367" s="35">
        <f t="shared" si="92"/>
        <v>90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/>
      <c r="H368" s="42"/>
      <c r="I368" s="42"/>
      <c r="J368" s="42"/>
      <c r="K368" s="42"/>
      <c r="L368" s="35">
        <f t="shared" si="93"/>
        <v>0</v>
      </c>
      <c r="M368" s="35">
        <f t="shared" si="92"/>
        <v>0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2025</v>
      </c>
      <c r="H371" s="10">
        <f>+G371</f>
        <v>2025</v>
      </c>
      <c r="I371" s="10">
        <f t="shared" ref="I371:M372" si="94">+H371</f>
        <v>2025</v>
      </c>
      <c r="J371" s="10">
        <f t="shared" si="94"/>
        <v>2025</v>
      </c>
      <c r="K371" s="10">
        <f t="shared" si="94"/>
        <v>2025</v>
      </c>
      <c r="L371" s="10">
        <f t="shared" si="94"/>
        <v>2025</v>
      </c>
      <c r="M371" s="10">
        <f t="shared" si="94"/>
        <v>2025</v>
      </c>
      <c r="N371" s="11"/>
      <c r="P371" s="44"/>
      <c r="S371" s="12" t="str">
        <f>+C371</f>
        <v>Mbowane</v>
      </c>
      <c r="T371" s="13">
        <f>+L375</f>
        <v>21</v>
      </c>
      <c r="U371" s="13">
        <f>+L376+L377</f>
        <v>7</v>
      </c>
      <c r="V371" s="13">
        <f>+L378+L379</f>
        <v>14</v>
      </c>
      <c r="W371" s="13">
        <f>+L382</f>
        <v>1</v>
      </c>
      <c r="X371" s="13">
        <f>+L380</f>
        <v>0</v>
      </c>
    </row>
    <row r="372" spans="1:24" x14ac:dyDescent="0.25">
      <c r="A372" s="14"/>
      <c r="B372" s="15"/>
      <c r="C372" s="41" t="str">
        <f>+$C356</f>
        <v>December 2025</v>
      </c>
      <c r="D372" s="18"/>
      <c r="E372" s="18"/>
      <c r="F372" s="18"/>
      <c r="G372" s="20" t="str">
        <f>+$G$4</f>
        <v>December</v>
      </c>
      <c r="H372" s="20" t="str">
        <f>+G372</f>
        <v>December</v>
      </c>
      <c r="I372" s="20" t="str">
        <f t="shared" si="94"/>
        <v>December</v>
      </c>
      <c r="J372" s="20" t="str">
        <f t="shared" si="94"/>
        <v>December</v>
      </c>
      <c r="K372" s="20" t="str">
        <f t="shared" si="94"/>
        <v>December</v>
      </c>
      <c r="L372" s="20" t="str">
        <f t="shared" si="94"/>
        <v>December</v>
      </c>
      <c r="M372" s="20" t="str">
        <f t="shared" si="94"/>
        <v>December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7</v>
      </c>
      <c r="H373" s="25">
        <f>+$H$5</f>
        <v>14</v>
      </c>
      <c r="I373" s="25">
        <f>+$I$5</f>
        <v>21</v>
      </c>
      <c r="J373" s="25">
        <f>+$J$5</f>
        <v>28</v>
      </c>
      <c r="K373" s="25">
        <f>+$K$5</f>
        <v>0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>
        <f>SUM(G376:G379)</f>
        <v>0</v>
      </c>
      <c r="H375" s="31">
        <f t="shared" ref="H375:L375" si="95">SUM(H376:H379)</f>
        <v>21</v>
      </c>
      <c r="I375" s="31">
        <f t="shared" si="95"/>
        <v>0</v>
      </c>
      <c r="J375" s="31">
        <f t="shared" si="95"/>
        <v>0</v>
      </c>
      <c r="K375" s="31">
        <f t="shared" si="95"/>
        <v>0</v>
      </c>
      <c r="L375" s="31">
        <f t="shared" si="95"/>
        <v>21</v>
      </c>
      <c r="M375" s="31">
        <f>ROUND((L375/$E$1),0)</f>
        <v>5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/>
      <c r="H376" s="42">
        <v>1</v>
      </c>
      <c r="I376" s="42"/>
      <c r="J376" s="42"/>
      <c r="K376" s="42"/>
      <c r="L376" s="35">
        <f>SUM(G376:K376)</f>
        <v>1</v>
      </c>
      <c r="M376" s="35">
        <f t="shared" ref="M376:M384" si="96">ROUND((L376/$E$1),0)</f>
        <v>0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/>
      <c r="H377" s="42">
        <v>6</v>
      </c>
      <c r="I377" s="42"/>
      <c r="J377" s="42"/>
      <c r="K377" s="42"/>
      <c r="L377" s="35">
        <f t="shared" ref="L377:L384" si="97">SUM(G377:K377)</f>
        <v>6</v>
      </c>
      <c r="M377" s="35">
        <f t="shared" si="96"/>
        <v>2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/>
      <c r="H378" s="42">
        <v>6</v>
      </c>
      <c r="I378" s="42"/>
      <c r="J378" s="42"/>
      <c r="K378" s="42"/>
      <c r="L378" s="35">
        <f t="shared" si="97"/>
        <v>6</v>
      </c>
      <c r="M378" s="35">
        <f t="shared" si="96"/>
        <v>2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/>
      <c r="H379" s="43">
        <v>8</v>
      </c>
      <c r="I379" s="43"/>
      <c r="J379" s="43"/>
      <c r="K379" s="43"/>
      <c r="L379" s="31">
        <f t="shared" si="97"/>
        <v>8</v>
      </c>
      <c r="M379" s="31">
        <f t="shared" si="96"/>
        <v>2</v>
      </c>
      <c r="N379" s="32"/>
      <c r="O379" s="2" t="s">
        <v>113</v>
      </c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/>
      <c r="H380" s="42"/>
      <c r="I380" s="42"/>
      <c r="J380" s="42"/>
      <c r="K380" s="42"/>
      <c r="L380" s="35">
        <f t="shared" si="97"/>
        <v>0</v>
      </c>
      <c r="M380" s="35">
        <f t="shared" si="96"/>
        <v>0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/>
      <c r="H381" s="42"/>
      <c r="I381" s="42"/>
      <c r="J381" s="42"/>
      <c r="K381" s="42"/>
      <c r="L381" s="35">
        <f t="shared" si="97"/>
        <v>0</v>
      </c>
      <c r="M381" s="35">
        <f t="shared" si="96"/>
        <v>0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/>
      <c r="H382" s="42">
        <v>1</v>
      </c>
      <c r="I382" s="42"/>
      <c r="J382" s="42"/>
      <c r="K382" s="42"/>
      <c r="L382" s="35">
        <f t="shared" si="97"/>
        <v>1</v>
      </c>
      <c r="M382" s="35">
        <f t="shared" si="96"/>
        <v>0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/>
      <c r="H383" s="42">
        <v>25</v>
      </c>
      <c r="I383" s="42"/>
      <c r="J383" s="42"/>
      <c r="K383" s="42"/>
      <c r="L383" s="35">
        <f t="shared" si="97"/>
        <v>25</v>
      </c>
      <c r="M383" s="35">
        <f t="shared" si="96"/>
        <v>6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/>
      <c r="H384" s="42"/>
      <c r="I384" s="42"/>
      <c r="J384" s="42"/>
      <c r="K384" s="42"/>
      <c r="L384" s="35">
        <f t="shared" si="97"/>
        <v>0</v>
      </c>
      <c r="M384" s="35">
        <f t="shared" si="96"/>
        <v>0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2025</v>
      </c>
      <c r="H387" s="10">
        <f>+G387</f>
        <v>2025</v>
      </c>
      <c r="I387" s="10">
        <f t="shared" ref="I387:M388" si="98">+H387</f>
        <v>2025</v>
      </c>
      <c r="J387" s="10">
        <f t="shared" si="98"/>
        <v>2025</v>
      </c>
      <c r="K387" s="10">
        <f t="shared" si="98"/>
        <v>2025</v>
      </c>
      <c r="L387" s="10">
        <f t="shared" si="98"/>
        <v>2025</v>
      </c>
      <c r="M387" s="10">
        <f t="shared" si="98"/>
        <v>2025</v>
      </c>
      <c r="N387" s="11"/>
      <c r="P387" s="44"/>
      <c r="S387" s="12" t="str">
        <f>+C387</f>
        <v>Sibovini</v>
      </c>
      <c r="T387" s="13">
        <f>+L391</f>
        <v>117</v>
      </c>
      <c r="U387" s="13">
        <f>+L392+L393</f>
        <v>29</v>
      </c>
      <c r="V387" s="13">
        <f>+L394+L395</f>
        <v>88</v>
      </c>
      <c r="W387" s="13">
        <f>+L398</f>
        <v>0</v>
      </c>
      <c r="X387" s="13">
        <f>+L396</f>
        <v>0</v>
      </c>
    </row>
    <row r="388" spans="1:24" x14ac:dyDescent="0.25">
      <c r="A388" s="14"/>
      <c r="B388" s="15"/>
      <c r="C388" s="41" t="str">
        <f>+$C372</f>
        <v>December 2025</v>
      </c>
      <c r="D388" s="18"/>
      <c r="E388" s="18"/>
      <c r="F388" s="18"/>
      <c r="G388" s="20" t="str">
        <f>+$G$4</f>
        <v>December</v>
      </c>
      <c r="H388" s="20" t="str">
        <f>+G388</f>
        <v>December</v>
      </c>
      <c r="I388" s="20" t="str">
        <f t="shared" si="98"/>
        <v>December</v>
      </c>
      <c r="J388" s="20" t="str">
        <f t="shared" si="98"/>
        <v>December</v>
      </c>
      <c r="K388" s="20" t="str">
        <f t="shared" si="98"/>
        <v>December</v>
      </c>
      <c r="L388" s="20" t="str">
        <f t="shared" si="98"/>
        <v>December</v>
      </c>
      <c r="M388" s="20" t="str">
        <f t="shared" si="98"/>
        <v>December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7</v>
      </c>
      <c r="H389" s="25">
        <f>+$H$5</f>
        <v>14</v>
      </c>
      <c r="I389" s="25">
        <f>+$I$5</f>
        <v>21</v>
      </c>
      <c r="J389" s="25">
        <f>+$J$5</f>
        <v>28</v>
      </c>
      <c r="K389" s="25">
        <f>+$K$5</f>
        <v>0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>
        <f>SUM(G392:G395)</f>
        <v>80</v>
      </c>
      <c r="H391" s="31">
        <f t="shared" ref="H391:L391" si="99">SUM(H392:H395)</f>
        <v>37</v>
      </c>
      <c r="I391" s="31">
        <f t="shared" si="99"/>
        <v>0</v>
      </c>
      <c r="J391" s="31">
        <f t="shared" si="99"/>
        <v>0</v>
      </c>
      <c r="K391" s="31">
        <f t="shared" si="99"/>
        <v>0</v>
      </c>
      <c r="L391" s="31">
        <f t="shared" si="99"/>
        <v>117</v>
      </c>
      <c r="M391" s="31">
        <f>ROUND((L391/$E$1),0)</f>
        <v>29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>
        <v>3</v>
      </c>
      <c r="H392" s="42">
        <v>3</v>
      </c>
      <c r="I392" s="42"/>
      <c r="J392" s="42"/>
      <c r="K392" s="42"/>
      <c r="L392" s="35">
        <f>SUM(G392:K392)</f>
        <v>6</v>
      </c>
      <c r="M392" s="35">
        <f t="shared" ref="M392:M400" si="100">ROUND((L392/$E$1),0)</f>
        <v>2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>
        <v>17</v>
      </c>
      <c r="H393" s="42">
        <v>6</v>
      </c>
      <c r="I393" s="42"/>
      <c r="J393" s="42"/>
      <c r="K393" s="42"/>
      <c r="L393" s="35">
        <f t="shared" ref="L393:L400" si="101">SUM(G393:K393)</f>
        <v>23</v>
      </c>
      <c r="M393" s="35">
        <f t="shared" si="100"/>
        <v>6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>
        <v>17</v>
      </c>
      <c r="H394" s="42">
        <v>10</v>
      </c>
      <c r="I394" s="42"/>
      <c r="J394" s="42"/>
      <c r="K394" s="42"/>
      <c r="L394" s="35">
        <f t="shared" si="101"/>
        <v>27</v>
      </c>
      <c r="M394" s="35">
        <f t="shared" si="100"/>
        <v>7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>
        <v>43</v>
      </c>
      <c r="H395" s="43">
        <v>18</v>
      </c>
      <c r="I395" s="43"/>
      <c r="J395" s="43"/>
      <c r="K395" s="43"/>
      <c r="L395" s="31">
        <f t="shared" si="101"/>
        <v>61</v>
      </c>
      <c r="M395" s="31">
        <f t="shared" si="100"/>
        <v>15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/>
      <c r="H396" s="42"/>
      <c r="I396" s="42"/>
      <c r="J396" s="42"/>
      <c r="K396" s="42"/>
      <c r="L396" s="35">
        <f t="shared" si="101"/>
        <v>0</v>
      </c>
      <c r="M396" s="35">
        <f t="shared" si="100"/>
        <v>0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/>
      <c r="H397" s="42"/>
      <c r="I397" s="42"/>
      <c r="J397" s="42"/>
      <c r="K397" s="42"/>
      <c r="L397" s="35">
        <f t="shared" si="101"/>
        <v>0</v>
      </c>
      <c r="M397" s="35">
        <f t="shared" si="100"/>
        <v>0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/>
      <c r="H398" s="42"/>
      <c r="I398" s="42"/>
      <c r="J398" s="42"/>
      <c r="K398" s="42"/>
      <c r="L398" s="35">
        <f t="shared" si="101"/>
        <v>0</v>
      </c>
      <c r="M398" s="35">
        <f t="shared" si="100"/>
        <v>0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/>
      <c r="H399" s="42"/>
      <c r="I399" s="42"/>
      <c r="J399" s="42"/>
      <c r="K399" s="42"/>
      <c r="L399" s="35">
        <f t="shared" si="101"/>
        <v>0</v>
      </c>
      <c r="M399" s="35">
        <f t="shared" si="100"/>
        <v>0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/>
      <c r="H400" s="42"/>
      <c r="I400" s="42"/>
      <c r="J400" s="42"/>
      <c r="K400" s="42"/>
      <c r="L400" s="35">
        <f t="shared" si="101"/>
        <v>0</v>
      </c>
      <c r="M400" s="35">
        <f t="shared" si="100"/>
        <v>0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2025</v>
      </c>
      <c r="H403" s="10">
        <f>+G403</f>
        <v>2025</v>
      </c>
      <c r="I403" s="10">
        <f t="shared" ref="I403:M404" si="102">+H403</f>
        <v>2025</v>
      </c>
      <c r="J403" s="10">
        <f t="shared" si="102"/>
        <v>2025</v>
      </c>
      <c r="K403" s="10">
        <f t="shared" si="102"/>
        <v>2025</v>
      </c>
      <c r="L403" s="10">
        <f t="shared" si="102"/>
        <v>2025</v>
      </c>
      <c r="M403" s="10">
        <f t="shared" si="102"/>
        <v>2025</v>
      </c>
      <c r="N403" s="11"/>
      <c r="P403" s="44"/>
      <c r="S403" s="12" t="str">
        <f>+C403</f>
        <v>Nsubani</v>
      </c>
      <c r="T403" s="13">
        <f>+L407</f>
        <v>147</v>
      </c>
      <c r="U403" s="13">
        <f>+L408+L409</f>
        <v>25</v>
      </c>
      <c r="V403" s="13">
        <f>+L410+L411</f>
        <v>122</v>
      </c>
      <c r="W403" s="13">
        <f>+L414</f>
        <v>17</v>
      </c>
      <c r="X403" s="13">
        <f>+L412</f>
        <v>0</v>
      </c>
    </row>
    <row r="404" spans="1:24" x14ac:dyDescent="0.25">
      <c r="A404" s="14"/>
      <c r="B404" s="15"/>
      <c r="C404" s="41" t="str">
        <f>+$C388</f>
        <v>December 2025</v>
      </c>
      <c r="D404" s="18"/>
      <c r="E404" s="18"/>
      <c r="F404" s="18"/>
      <c r="G404" s="20" t="str">
        <f>+$G$4</f>
        <v>December</v>
      </c>
      <c r="H404" s="20" t="str">
        <f>+G404</f>
        <v>December</v>
      </c>
      <c r="I404" s="20" t="str">
        <f t="shared" si="102"/>
        <v>December</v>
      </c>
      <c r="J404" s="20" t="str">
        <f t="shared" si="102"/>
        <v>December</v>
      </c>
      <c r="K404" s="20" t="str">
        <f t="shared" si="102"/>
        <v>December</v>
      </c>
      <c r="L404" s="20" t="str">
        <f t="shared" si="102"/>
        <v>December</v>
      </c>
      <c r="M404" s="20" t="str">
        <f t="shared" si="102"/>
        <v>December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7</v>
      </c>
      <c r="H405" s="25">
        <f>+$H$5</f>
        <v>14</v>
      </c>
      <c r="I405" s="25">
        <f>+$I$5</f>
        <v>21</v>
      </c>
      <c r="J405" s="25">
        <f>+$J$5</f>
        <v>28</v>
      </c>
      <c r="K405" s="25">
        <f>+$K$5</f>
        <v>0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>
        <f>SUM(G408:G411)</f>
        <v>64</v>
      </c>
      <c r="H407" s="31">
        <f t="shared" ref="H407:L407" si="103">SUM(H408:H411)</f>
        <v>83</v>
      </c>
      <c r="I407" s="31">
        <f t="shared" si="103"/>
        <v>0</v>
      </c>
      <c r="J407" s="31">
        <f t="shared" si="103"/>
        <v>0</v>
      </c>
      <c r="K407" s="31">
        <f t="shared" si="103"/>
        <v>0</v>
      </c>
      <c r="L407" s="31">
        <f t="shared" si="103"/>
        <v>147</v>
      </c>
      <c r="M407" s="31">
        <f>ROUND((L407/$E$1),0)</f>
        <v>37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>
        <v>3</v>
      </c>
      <c r="H408" s="42">
        <v>2</v>
      </c>
      <c r="I408" s="42"/>
      <c r="J408" s="42"/>
      <c r="K408" s="42"/>
      <c r="L408" s="35">
        <f>SUM(G408:K408)</f>
        <v>5</v>
      </c>
      <c r="M408" s="35">
        <f t="shared" ref="M408:M416" si="104">ROUND((L408/$E$1),0)</f>
        <v>1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>
        <v>6</v>
      </c>
      <c r="H409" s="42">
        <v>14</v>
      </c>
      <c r="I409" s="42"/>
      <c r="J409" s="42"/>
      <c r="K409" s="42"/>
      <c r="L409" s="35">
        <f t="shared" ref="L409:L416" si="105">SUM(G409:K409)</f>
        <v>20</v>
      </c>
      <c r="M409" s="35">
        <f t="shared" si="104"/>
        <v>5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>
        <v>23</v>
      </c>
      <c r="H410" s="42">
        <v>25</v>
      </c>
      <c r="I410" s="42"/>
      <c r="J410" s="42"/>
      <c r="K410" s="42"/>
      <c r="L410" s="35">
        <f t="shared" si="105"/>
        <v>48</v>
      </c>
      <c r="M410" s="35">
        <f t="shared" si="104"/>
        <v>12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>
        <v>32</v>
      </c>
      <c r="H411" s="43">
        <v>42</v>
      </c>
      <c r="I411" s="43"/>
      <c r="J411" s="43"/>
      <c r="K411" s="43"/>
      <c r="L411" s="31">
        <f t="shared" si="105"/>
        <v>74</v>
      </c>
      <c r="M411" s="31">
        <f t="shared" si="104"/>
        <v>19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/>
      <c r="H412" s="42"/>
      <c r="I412" s="42"/>
      <c r="J412" s="42"/>
      <c r="K412" s="42"/>
      <c r="L412" s="35">
        <f t="shared" si="105"/>
        <v>0</v>
      </c>
      <c r="M412" s="35">
        <f t="shared" si="104"/>
        <v>0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/>
      <c r="H413" s="42"/>
      <c r="I413" s="42"/>
      <c r="J413" s="42"/>
      <c r="K413" s="42"/>
      <c r="L413" s="35">
        <f t="shared" si="105"/>
        <v>0</v>
      </c>
      <c r="M413" s="35">
        <f t="shared" si="104"/>
        <v>0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>
        <v>9</v>
      </c>
      <c r="H414" s="42">
        <v>8</v>
      </c>
      <c r="I414" s="42"/>
      <c r="J414" s="42"/>
      <c r="K414" s="42"/>
      <c r="L414" s="35">
        <f t="shared" si="105"/>
        <v>17</v>
      </c>
      <c r="M414" s="35">
        <f t="shared" si="104"/>
        <v>4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>
        <v>48</v>
      </c>
      <c r="H415" s="42">
        <v>96</v>
      </c>
      <c r="I415" s="42"/>
      <c r="J415" s="42"/>
      <c r="K415" s="42"/>
      <c r="L415" s="35">
        <f t="shared" si="105"/>
        <v>144</v>
      </c>
      <c r="M415" s="35">
        <f t="shared" si="104"/>
        <v>36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/>
      <c r="H416" s="42"/>
      <c r="I416" s="42"/>
      <c r="J416" s="42"/>
      <c r="K416" s="42"/>
      <c r="L416" s="35">
        <f t="shared" si="105"/>
        <v>0</v>
      </c>
      <c r="M416" s="35">
        <f t="shared" si="104"/>
        <v>0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2025</v>
      </c>
      <c r="H419" s="10">
        <f>+G419</f>
        <v>2025</v>
      </c>
      <c r="I419" s="10">
        <f t="shared" ref="I419:M420" si="106">+H419</f>
        <v>2025</v>
      </c>
      <c r="J419" s="10">
        <f t="shared" si="106"/>
        <v>2025</v>
      </c>
      <c r="K419" s="10">
        <f t="shared" si="106"/>
        <v>2025</v>
      </c>
      <c r="L419" s="10">
        <f t="shared" si="106"/>
        <v>2025</v>
      </c>
      <c r="M419" s="10">
        <f t="shared" si="106"/>
        <v>2025</v>
      </c>
      <c r="N419" s="11"/>
      <c r="P419" s="44"/>
      <c r="S419" s="12" t="str">
        <f>+C419</f>
        <v>Mhlabubovu</v>
      </c>
      <c r="T419" s="13">
        <f>+L423</f>
        <v>38</v>
      </c>
      <c r="U419" s="13">
        <f>+L424+L425</f>
        <v>13</v>
      </c>
      <c r="V419" s="13">
        <f>+L426+L427</f>
        <v>25</v>
      </c>
      <c r="W419" s="13">
        <f>+L430</f>
        <v>3</v>
      </c>
      <c r="X419" s="13">
        <f>+L428</f>
        <v>0</v>
      </c>
    </row>
    <row r="420" spans="1:33" x14ac:dyDescent="0.25">
      <c r="A420" s="14"/>
      <c r="B420" s="15"/>
      <c r="C420" s="41" t="str">
        <f>+$C404</f>
        <v>December 2025</v>
      </c>
      <c r="D420" s="18"/>
      <c r="E420" s="18"/>
      <c r="F420" s="18"/>
      <c r="G420" s="20" t="str">
        <f>+$G$4</f>
        <v>December</v>
      </c>
      <c r="H420" s="20" t="str">
        <f>+G420</f>
        <v>December</v>
      </c>
      <c r="I420" s="20" t="str">
        <f t="shared" si="106"/>
        <v>December</v>
      </c>
      <c r="J420" s="20" t="str">
        <f t="shared" si="106"/>
        <v>December</v>
      </c>
      <c r="K420" s="20" t="str">
        <f t="shared" si="106"/>
        <v>December</v>
      </c>
      <c r="L420" s="20" t="str">
        <f t="shared" si="106"/>
        <v>December</v>
      </c>
      <c r="M420" s="20" t="str">
        <f t="shared" si="106"/>
        <v>December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7</v>
      </c>
      <c r="H421" s="25">
        <f>+$H$5</f>
        <v>14</v>
      </c>
      <c r="I421" s="25">
        <f>+$I$5</f>
        <v>21</v>
      </c>
      <c r="J421" s="25">
        <f>+$J$5</f>
        <v>28</v>
      </c>
      <c r="K421" s="25">
        <f>+$K$5</f>
        <v>0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>
        <f>SUM(G424:G427)</f>
        <v>0</v>
      </c>
      <c r="H423" s="31">
        <f t="shared" ref="H423:L423" si="107">SUM(H424:H427)</f>
        <v>38</v>
      </c>
      <c r="I423" s="31">
        <f t="shared" si="107"/>
        <v>0</v>
      </c>
      <c r="J423" s="31">
        <f t="shared" si="107"/>
        <v>0</v>
      </c>
      <c r="K423" s="31">
        <f t="shared" si="107"/>
        <v>0</v>
      </c>
      <c r="L423" s="31">
        <f t="shared" si="107"/>
        <v>38</v>
      </c>
      <c r="M423" s="31">
        <f>ROUND((L423/$E$1),0)</f>
        <v>10</v>
      </c>
      <c r="N423" s="32"/>
      <c r="AA423" s="46"/>
      <c r="AB423" s="46"/>
      <c r="AC423" s="46"/>
      <c r="AD423" s="46"/>
      <c r="AE423" s="46"/>
      <c r="AF423" s="46"/>
      <c r="AG423" s="46"/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/>
      <c r="H424" s="42">
        <v>2</v>
      </c>
      <c r="I424" s="42"/>
      <c r="J424" s="42"/>
      <c r="K424" s="42"/>
      <c r="L424" s="35">
        <f>SUM(G424:K424)</f>
        <v>2</v>
      </c>
      <c r="M424" s="35">
        <f t="shared" ref="M424:M432" si="108">ROUND((L424/$E$1),0)</f>
        <v>1</v>
      </c>
      <c r="N424" s="32"/>
      <c r="AA424" s="46"/>
      <c r="AB424" s="46"/>
      <c r="AC424" s="46"/>
      <c r="AD424" s="46"/>
      <c r="AE424" s="46"/>
      <c r="AF424" s="46"/>
      <c r="AG424" s="46"/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/>
      <c r="H425" s="42">
        <v>11</v>
      </c>
      <c r="I425" s="42"/>
      <c r="J425" s="42"/>
      <c r="K425" s="42"/>
      <c r="L425" s="35">
        <f t="shared" ref="L425:L432" si="109">SUM(G425:K425)</f>
        <v>11</v>
      </c>
      <c r="M425" s="35">
        <f t="shared" si="108"/>
        <v>3</v>
      </c>
      <c r="N425" s="32"/>
      <c r="AA425" s="46"/>
      <c r="AB425" s="46"/>
      <c r="AC425" s="46"/>
      <c r="AD425" s="46"/>
      <c r="AE425" s="46"/>
      <c r="AF425" s="46"/>
      <c r="AG425" s="46"/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/>
      <c r="H426" s="42">
        <v>3</v>
      </c>
      <c r="I426" s="42"/>
      <c r="J426" s="42"/>
      <c r="K426" s="42"/>
      <c r="L426" s="35">
        <f t="shared" si="109"/>
        <v>3</v>
      </c>
      <c r="M426" s="35">
        <f t="shared" si="108"/>
        <v>1</v>
      </c>
      <c r="N426" s="32"/>
      <c r="AA426" s="46"/>
      <c r="AB426" s="46"/>
      <c r="AC426" s="46"/>
      <c r="AD426" s="46"/>
      <c r="AE426" s="46"/>
      <c r="AF426" s="46"/>
      <c r="AG426" s="46"/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/>
      <c r="H427" s="43">
        <v>22</v>
      </c>
      <c r="I427" s="43"/>
      <c r="J427" s="43"/>
      <c r="K427" s="43"/>
      <c r="L427" s="31">
        <f t="shared" si="109"/>
        <v>22</v>
      </c>
      <c r="M427" s="31">
        <f t="shared" si="108"/>
        <v>6</v>
      </c>
      <c r="N427" s="32"/>
      <c r="O427" s="2" t="s">
        <v>112</v>
      </c>
      <c r="AA427" s="46"/>
      <c r="AB427" s="46"/>
      <c r="AC427" s="46"/>
      <c r="AD427" s="46"/>
      <c r="AE427" s="46"/>
      <c r="AF427" s="46"/>
      <c r="AG427" s="46"/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/>
      <c r="H428" s="42"/>
      <c r="I428" s="42"/>
      <c r="J428" s="42"/>
      <c r="K428" s="42"/>
      <c r="L428" s="35">
        <f t="shared" si="109"/>
        <v>0</v>
      </c>
      <c r="M428" s="35">
        <f t="shared" si="108"/>
        <v>0</v>
      </c>
      <c r="N428" s="32"/>
      <c r="AA428" s="46"/>
      <c r="AB428" s="46"/>
      <c r="AC428" s="46"/>
      <c r="AD428" s="46"/>
      <c r="AE428" s="46"/>
      <c r="AF428" s="46"/>
      <c r="AG428" s="46"/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/>
      <c r="H429" s="42"/>
      <c r="I429" s="42"/>
      <c r="J429" s="42"/>
      <c r="K429" s="42"/>
      <c r="L429" s="35">
        <f t="shared" si="109"/>
        <v>0</v>
      </c>
      <c r="M429" s="35">
        <f t="shared" si="108"/>
        <v>0</v>
      </c>
      <c r="N429" s="32"/>
      <c r="AA429" s="46"/>
      <c r="AB429" s="46"/>
      <c r="AC429" s="46"/>
      <c r="AD429" s="46"/>
      <c r="AE429" s="46"/>
      <c r="AF429" s="46"/>
      <c r="AG429" s="46"/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/>
      <c r="H430" s="42">
        <v>3</v>
      </c>
      <c r="I430" s="42"/>
      <c r="J430" s="42"/>
      <c r="K430" s="42"/>
      <c r="L430" s="35">
        <f t="shared" si="109"/>
        <v>3</v>
      </c>
      <c r="M430" s="35">
        <f t="shared" si="108"/>
        <v>1</v>
      </c>
      <c r="N430" s="32"/>
      <c r="AA430" s="46"/>
      <c r="AB430" s="46"/>
      <c r="AC430" s="46"/>
      <c r="AD430" s="46"/>
      <c r="AE430" s="46"/>
      <c r="AF430" s="46"/>
      <c r="AG430" s="46"/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/>
      <c r="H431" s="42"/>
      <c r="I431" s="42"/>
      <c r="J431" s="42"/>
      <c r="K431" s="42"/>
      <c r="L431" s="35">
        <f t="shared" si="109"/>
        <v>0</v>
      </c>
      <c r="M431" s="35">
        <f t="shared" si="108"/>
        <v>0</v>
      </c>
      <c r="N431" s="32"/>
      <c r="AA431" s="46"/>
      <c r="AB431" s="46"/>
      <c r="AC431" s="46"/>
      <c r="AD431" s="46"/>
      <c r="AE431" s="46"/>
      <c r="AF431" s="46"/>
      <c r="AG431" s="46"/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/>
      <c r="H432" s="42"/>
      <c r="I432" s="42"/>
      <c r="J432" s="42"/>
      <c r="K432" s="42"/>
      <c r="L432" s="35">
        <f t="shared" si="109"/>
        <v>0</v>
      </c>
      <c r="M432" s="35">
        <f t="shared" si="108"/>
        <v>0</v>
      </c>
      <c r="N432" s="32"/>
      <c r="AA432" s="46"/>
      <c r="AB432" s="46"/>
      <c r="AC432" s="46"/>
      <c r="AD432" s="46"/>
      <c r="AE432" s="46"/>
      <c r="AF432" s="46"/>
      <c r="AG432" s="46"/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2025</v>
      </c>
      <c r="H435" s="10">
        <f>+G435</f>
        <v>2025</v>
      </c>
      <c r="I435" s="10">
        <f t="shared" ref="I435:M436" si="110">+H435</f>
        <v>2025</v>
      </c>
      <c r="J435" s="10">
        <f t="shared" si="110"/>
        <v>2025</v>
      </c>
      <c r="K435" s="10">
        <f t="shared" si="110"/>
        <v>2025</v>
      </c>
      <c r="L435" s="10">
        <f t="shared" si="110"/>
        <v>2025</v>
      </c>
      <c r="M435" s="10">
        <f t="shared" si="110"/>
        <v>2025</v>
      </c>
      <c r="N435" s="11"/>
      <c r="S435" s="12" t="str">
        <f>+C435</f>
        <v>Jubukweni</v>
      </c>
      <c r="T435" s="13">
        <f>+L439</f>
        <v>77</v>
      </c>
      <c r="U435" s="13">
        <f>+L440+L441</f>
        <v>22</v>
      </c>
      <c r="V435" s="13">
        <f>+L442+L443</f>
        <v>55</v>
      </c>
      <c r="W435" s="13">
        <f>+L446</f>
        <v>15</v>
      </c>
      <c r="X435" s="13">
        <f>+L444</f>
        <v>0</v>
      </c>
    </row>
    <row r="436" spans="1:24" x14ac:dyDescent="0.25">
      <c r="A436" s="14"/>
      <c r="B436" s="15"/>
      <c r="C436" s="41" t="str">
        <f>+$C420</f>
        <v>December 2025</v>
      </c>
      <c r="D436" s="18"/>
      <c r="E436" s="18"/>
      <c r="F436" s="18"/>
      <c r="G436" s="20" t="str">
        <f>+$G$4</f>
        <v>December</v>
      </c>
      <c r="H436" s="20" t="str">
        <f>+G436</f>
        <v>December</v>
      </c>
      <c r="I436" s="20" t="str">
        <f t="shared" si="110"/>
        <v>December</v>
      </c>
      <c r="J436" s="20" t="str">
        <f t="shared" si="110"/>
        <v>December</v>
      </c>
      <c r="K436" s="20" t="str">
        <f t="shared" si="110"/>
        <v>December</v>
      </c>
      <c r="L436" s="20" t="str">
        <f t="shared" si="110"/>
        <v>December</v>
      </c>
      <c r="M436" s="20" t="str">
        <f t="shared" si="110"/>
        <v>December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7</v>
      </c>
      <c r="H437" s="25">
        <f>+$H$5</f>
        <v>14</v>
      </c>
      <c r="I437" s="25">
        <f>+$I$5</f>
        <v>21</v>
      </c>
      <c r="J437" s="25">
        <f>+$J$5</f>
        <v>28</v>
      </c>
      <c r="K437" s="25">
        <f>+$K$5</f>
        <v>0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>
        <f>SUM(G440:G443)</f>
        <v>38</v>
      </c>
      <c r="H439" s="31">
        <f t="shared" ref="H439:L439" si="111">SUM(H440:H443)</f>
        <v>39</v>
      </c>
      <c r="I439" s="31">
        <f t="shared" si="111"/>
        <v>0</v>
      </c>
      <c r="J439" s="31">
        <f t="shared" si="111"/>
        <v>0</v>
      </c>
      <c r="K439" s="31">
        <f t="shared" si="111"/>
        <v>0</v>
      </c>
      <c r="L439" s="31">
        <f t="shared" si="111"/>
        <v>77</v>
      </c>
      <c r="M439" s="31">
        <f>ROUND((L439/$E$1),0)</f>
        <v>19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>
        <v>2</v>
      </c>
      <c r="H440" s="42">
        <v>4</v>
      </c>
      <c r="I440" s="42"/>
      <c r="J440" s="42"/>
      <c r="K440" s="42"/>
      <c r="L440" s="35">
        <f>SUM(G440:K440)</f>
        <v>6</v>
      </c>
      <c r="M440" s="35">
        <f t="shared" ref="M440:M448" si="112">ROUND((L440/$E$1),0)</f>
        <v>2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>
        <v>6</v>
      </c>
      <c r="H441" s="42">
        <v>10</v>
      </c>
      <c r="I441" s="42"/>
      <c r="J441" s="42"/>
      <c r="K441" s="42"/>
      <c r="L441" s="35">
        <f t="shared" ref="L441:L448" si="113">SUM(G441:K441)</f>
        <v>16</v>
      </c>
      <c r="M441" s="35">
        <f t="shared" si="112"/>
        <v>4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>
        <v>20</v>
      </c>
      <c r="H442" s="42">
        <v>15</v>
      </c>
      <c r="I442" s="42"/>
      <c r="J442" s="42"/>
      <c r="K442" s="42"/>
      <c r="L442" s="35">
        <f t="shared" si="113"/>
        <v>35</v>
      </c>
      <c r="M442" s="35">
        <f t="shared" si="112"/>
        <v>9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>
        <v>10</v>
      </c>
      <c r="H443" s="43">
        <v>10</v>
      </c>
      <c r="I443" s="43"/>
      <c r="J443" s="43"/>
      <c r="K443" s="43"/>
      <c r="L443" s="31">
        <f t="shared" si="113"/>
        <v>20</v>
      </c>
      <c r="M443" s="31">
        <f t="shared" si="112"/>
        <v>5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/>
      <c r="H444" s="42"/>
      <c r="I444" s="42"/>
      <c r="J444" s="42"/>
      <c r="K444" s="42"/>
      <c r="L444" s="35">
        <f t="shared" si="113"/>
        <v>0</v>
      </c>
      <c r="M444" s="35">
        <f t="shared" si="112"/>
        <v>0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/>
      <c r="H445" s="42"/>
      <c r="I445" s="42"/>
      <c r="J445" s="42"/>
      <c r="K445" s="42"/>
      <c r="L445" s="35">
        <f t="shared" si="113"/>
        <v>0</v>
      </c>
      <c r="M445" s="35">
        <f t="shared" si="112"/>
        <v>0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>
        <v>10</v>
      </c>
      <c r="H446" s="42">
        <v>5</v>
      </c>
      <c r="I446" s="42"/>
      <c r="J446" s="42"/>
      <c r="K446" s="42"/>
      <c r="L446" s="35">
        <f t="shared" si="113"/>
        <v>15</v>
      </c>
      <c r="M446" s="35">
        <f t="shared" si="112"/>
        <v>4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/>
      <c r="H447" s="42"/>
      <c r="I447" s="42"/>
      <c r="J447" s="42"/>
      <c r="K447" s="42"/>
      <c r="L447" s="35">
        <f t="shared" si="113"/>
        <v>0</v>
      </c>
      <c r="M447" s="35">
        <f t="shared" si="112"/>
        <v>0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/>
      <c r="H448" s="42"/>
      <c r="I448" s="42"/>
      <c r="J448" s="42"/>
      <c r="K448" s="42"/>
      <c r="L448" s="35">
        <f t="shared" si="113"/>
        <v>0</v>
      </c>
      <c r="M448" s="35">
        <f t="shared" si="112"/>
        <v>0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2025</v>
      </c>
      <c r="H451" s="10">
        <f>+G451</f>
        <v>2025</v>
      </c>
      <c r="I451" s="10">
        <f t="shared" ref="I451:M452" si="114">+H451</f>
        <v>2025</v>
      </c>
      <c r="J451" s="10">
        <f t="shared" si="114"/>
        <v>2025</v>
      </c>
      <c r="K451" s="10">
        <f t="shared" si="114"/>
        <v>2025</v>
      </c>
      <c r="L451" s="10">
        <f t="shared" si="114"/>
        <v>2025</v>
      </c>
      <c r="M451" s="10">
        <f t="shared" si="114"/>
        <v>2025</v>
      </c>
      <c r="N451" s="11"/>
      <c r="S451" s="12" t="str">
        <f>+C451</f>
        <v>Sigangeni</v>
      </c>
      <c r="T451" s="13">
        <f>+L455</f>
        <v>11</v>
      </c>
      <c r="U451" s="13">
        <f>+L456+L457</f>
        <v>8</v>
      </c>
      <c r="V451" s="13">
        <f>+L458+L459</f>
        <v>3</v>
      </c>
      <c r="W451" s="13">
        <f>+L462</f>
        <v>4</v>
      </c>
      <c r="X451" s="13">
        <f>+L460</f>
        <v>0</v>
      </c>
    </row>
    <row r="452" spans="1:24" x14ac:dyDescent="0.25">
      <c r="A452" s="14"/>
      <c r="B452" s="15"/>
      <c r="C452" s="41" t="str">
        <f>+$C436</f>
        <v>December 2025</v>
      </c>
      <c r="D452" s="18"/>
      <c r="E452" s="18"/>
      <c r="F452" s="18"/>
      <c r="G452" s="20" t="str">
        <f>+$G$4</f>
        <v>December</v>
      </c>
      <c r="H452" s="20" t="str">
        <f>+G452</f>
        <v>December</v>
      </c>
      <c r="I452" s="20" t="str">
        <f t="shared" si="114"/>
        <v>December</v>
      </c>
      <c r="J452" s="20" t="str">
        <f t="shared" si="114"/>
        <v>December</v>
      </c>
      <c r="K452" s="20" t="str">
        <f t="shared" si="114"/>
        <v>December</v>
      </c>
      <c r="L452" s="20" t="str">
        <f t="shared" si="114"/>
        <v>December</v>
      </c>
      <c r="M452" s="20" t="str">
        <f t="shared" si="114"/>
        <v>December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7</v>
      </c>
      <c r="H453" s="25">
        <f>+$H$5</f>
        <v>14</v>
      </c>
      <c r="I453" s="25">
        <f>+$I$5</f>
        <v>21</v>
      </c>
      <c r="J453" s="25">
        <f>+$J$5</f>
        <v>28</v>
      </c>
      <c r="K453" s="25">
        <f>+$K$5</f>
        <v>0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>
        <f>SUM(G456:G459)</f>
        <v>0</v>
      </c>
      <c r="H455" s="31">
        <f t="shared" ref="H455:L455" si="115">SUM(H456:H459)</f>
        <v>11</v>
      </c>
      <c r="I455" s="31">
        <f t="shared" si="115"/>
        <v>0</v>
      </c>
      <c r="J455" s="31">
        <f t="shared" si="115"/>
        <v>0</v>
      </c>
      <c r="K455" s="31">
        <f t="shared" si="115"/>
        <v>0</v>
      </c>
      <c r="L455" s="31">
        <f t="shared" si="115"/>
        <v>11</v>
      </c>
      <c r="M455" s="31">
        <f>ROUND((L455/$E$1),0)</f>
        <v>3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/>
      <c r="H456" s="42">
        <v>5</v>
      </c>
      <c r="I456" s="42"/>
      <c r="J456" s="42"/>
      <c r="K456" s="42"/>
      <c r="L456" s="35">
        <f>SUM(G456:K456)</f>
        <v>5</v>
      </c>
      <c r="M456" s="35">
        <f t="shared" ref="M456:M464" si="116">ROUND((L456/$E$1),0)</f>
        <v>1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/>
      <c r="H457" s="42">
        <v>3</v>
      </c>
      <c r="I457" s="42"/>
      <c r="J457" s="42"/>
      <c r="K457" s="42"/>
      <c r="L457" s="35">
        <f t="shared" ref="L457:L464" si="117">SUM(G457:K457)</f>
        <v>3</v>
      </c>
      <c r="M457" s="35">
        <f t="shared" si="116"/>
        <v>1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/>
      <c r="H458" s="42">
        <v>3</v>
      </c>
      <c r="I458" s="42"/>
      <c r="J458" s="42"/>
      <c r="K458" s="42"/>
      <c r="L458" s="35">
        <f t="shared" si="117"/>
        <v>3</v>
      </c>
      <c r="M458" s="35">
        <f t="shared" si="116"/>
        <v>1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/>
      <c r="H459" s="43"/>
      <c r="I459" s="43"/>
      <c r="J459" s="43"/>
      <c r="K459" s="43"/>
      <c r="L459" s="31">
        <f t="shared" si="117"/>
        <v>0</v>
      </c>
      <c r="M459" s="31">
        <f t="shared" si="116"/>
        <v>0</v>
      </c>
      <c r="N459" s="32"/>
      <c r="O459" s="2" t="s">
        <v>113</v>
      </c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/>
      <c r="H460" s="42"/>
      <c r="I460" s="42"/>
      <c r="J460" s="42"/>
      <c r="K460" s="42"/>
      <c r="L460" s="35">
        <f t="shared" si="117"/>
        <v>0</v>
      </c>
      <c r="M460" s="35">
        <f t="shared" si="116"/>
        <v>0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/>
      <c r="H461" s="42"/>
      <c r="I461" s="42"/>
      <c r="J461" s="42"/>
      <c r="K461" s="42"/>
      <c r="L461" s="35">
        <f t="shared" si="117"/>
        <v>0</v>
      </c>
      <c r="M461" s="35">
        <f t="shared" si="116"/>
        <v>0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/>
      <c r="H462" s="42">
        <v>4</v>
      </c>
      <c r="I462" s="42"/>
      <c r="J462" s="42"/>
      <c r="K462" s="42"/>
      <c r="L462" s="35">
        <f t="shared" si="117"/>
        <v>4</v>
      </c>
      <c r="M462" s="35">
        <f t="shared" si="116"/>
        <v>1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/>
      <c r="H463" s="42"/>
      <c r="I463" s="42"/>
      <c r="J463" s="42"/>
      <c r="K463" s="42"/>
      <c r="L463" s="35">
        <f t="shared" si="117"/>
        <v>0</v>
      </c>
      <c r="M463" s="35">
        <f t="shared" si="116"/>
        <v>0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/>
      <c r="H464" s="42"/>
      <c r="I464" s="42"/>
      <c r="J464" s="42"/>
      <c r="K464" s="42"/>
      <c r="L464" s="35">
        <f t="shared" si="117"/>
        <v>0</v>
      </c>
      <c r="M464" s="35">
        <f t="shared" si="116"/>
        <v>0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2025</v>
      </c>
      <c r="H467" s="10">
        <f>+G467</f>
        <v>2025</v>
      </c>
      <c r="I467" s="10">
        <f t="shared" ref="I467:M468" si="118">+H467</f>
        <v>2025</v>
      </c>
      <c r="J467" s="10">
        <f t="shared" si="118"/>
        <v>2025</v>
      </c>
      <c r="K467" s="10">
        <f t="shared" si="118"/>
        <v>2025</v>
      </c>
      <c r="L467" s="10">
        <f t="shared" si="118"/>
        <v>2025</v>
      </c>
      <c r="M467" s="10">
        <f t="shared" si="118"/>
        <v>2025</v>
      </c>
      <c r="N467" s="11"/>
      <c r="S467" s="12" t="str">
        <f>+C467</f>
        <v>Sgombeni</v>
      </c>
      <c r="T467" s="13">
        <f>+L471</f>
        <v>18</v>
      </c>
      <c r="U467" s="13">
        <f>+L472+L473</f>
        <v>8</v>
      </c>
      <c r="V467" s="13">
        <f>+L474+L475</f>
        <v>10</v>
      </c>
      <c r="W467" s="13">
        <f>+L478</f>
        <v>3</v>
      </c>
      <c r="X467" s="13">
        <f>+L476</f>
        <v>0</v>
      </c>
    </row>
    <row r="468" spans="1:24" x14ac:dyDescent="0.25">
      <c r="A468" s="14"/>
      <c r="B468" s="15"/>
      <c r="C468" s="41" t="str">
        <f>+$C452</f>
        <v>December 2025</v>
      </c>
      <c r="D468" s="18"/>
      <c r="E468" s="18"/>
      <c r="F468" s="18"/>
      <c r="G468" s="20" t="str">
        <f>+$G$4</f>
        <v>December</v>
      </c>
      <c r="H468" s="20" t="str">
        <f>+G468</f>
        <v>December</v>
      </c>
      <c r="I468" s="20" t="str">
        <f t="shared" si="118"/>
        <v>December</v>
      </c>
      <c r="J468" s="20" t="str">
        <f t="shared" si="118"/>
        <v>December</v>
      </c>
      <c r="K468" s="20" t="str">
        <f t="shared" si="118"/>
        <v>December</v>
      </c>
      <c r="L468" s="20" t="str">
        <f t="shared" si="118"/>
        <v>December</v>
      </c>
      <c r="M468" s="20" t="str">
        <f t="shared" si="118"/>
        <v>December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7</v>
      </c>
      <c r="H469" s="25">
        <f>+$H$5</f>
        <v>14</v>
      </c>
      <c r="I469" s="25">
        <f>+$I$5</f>
        <v>21</v>
      </c>
      <c r="J469" s="25">
        <f>+$J$5</f>
        <v>28</v>
      </c>
      <c r="K469" s="25">
        <f>+$K$5</f>
        <v>0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>
        <f>SUM(G472:G475)</f>
        <v>0</v>
      </c>
      <c r="H471" s="31">
        <f t="shared" ref="H471:L471" si="119">SUM(H472:H475)</f>
        <v>18</v>
      </c>
      <c r="I471" s="31">
        <f t="shared" si="119"/>
        <v>0</v>
      </c>
      <c r="J471" s="31">
        <f t="shared" si="119"/>
        <v>0</v>
      </c>
      <c r="K471" s="31">
        <f t="shared" si="119"/>
        <v>0</v>
      </c>
      <c r="L471" s="31">
        <f t="shared" si="119"/>
        <v>18</v>
      </c>
      <c r="M471" s="31">
        <f>ROUND((L471/$E$1),0)</f>
        <v>5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/>
      <c r="H472" s="42">
        <v>3</v>
      </c>
      <c r="I472" s="42"/>
      <c r="J472" s="42"/>
      <c r="K472" s="42"/>
      <c r="L472" s="35">
        <f>SUM(G472:K472)</f>
        <v>3</v>
      </c>
      <c r="M472" s="35">
        <f t="shared" ref="M472:M480" si="120">ROUND((L472/$E$1),0)</f>
        <v>1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/>
      <c r="H473" s="42">
        <v>5</v>
      </c>
      <c r="I473" s="42"/>
      <c r="J473" s="42"/>
      <c r="K473" s="42"/>
      <c r="L473" s="35">
        <f t="shared" ref="L473:L480" si="121">SUM(G473:K473)</f>
        <v>5</v>
      </c>
      <c r="M473" s="35">
        <f t="shared" si="120"/>
        <v>1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/>
      <c r="H474" s="42">
        <v>6</v>
      </c>
      <c r="I474" s="42"/>
      <c r="J474" s="42"/>
      <c r="K474" s="42"/>
      <c r="L474" s="35">
        <f t="shared" si="121"/>
        <v>6</v>
      </c>
      <c r="M474" s="35">
        <f t="shared" si="120"/>
        <v>2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/>
      <c r="H475" s="43">
        <v>4</v>
      </c>
      <c r="I475" s="43"/>
      <c r="J475" s="43"/>
      <c r="K475" s="43"/>
      <c r="L475" s="31">
        <f t="shared" si="121"/>
        <v>4</v>
      </c>
      <c r="M475" s="31">
        <f t="shared" si="120"/>
        <v>1</v>
      </c>
      <c r="N475" s="32"/>
      <c r="O475" s="2" t="s">
        <v>107</v>
      </c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/>
      <c r="H476" s="42"/>
      <c r="I476" s="42"/>
      <c r="J476" s="42"/>
      <c r="K476" s="42"/>
      <c r="L476" s="35">
        <f t="shared" si="121"/>
        <v>0</v>
      </c>
      <c r="M476" s="35">
        <f t="shared" si="120"/>
        <v>0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/>
      <c r="H477" s="42"/>
      <c r="I477" s="42"/>
      <c r="J477" s="42"/>
      <c r="K477" s="42"/>
      <c r="L477" s="35">
        <f t="shared" si="121"/>
        <v>0</v>
      </c>
      <c r="M477" s="35">
        <f t="shared" si="120"/>
        <v>0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/>
      <c r="H478" s="42">
        <v>3</v>
      </c>
      <c r="I478" s="42"/>
      <c r="J478" s="42"/>
      <c r="K478" s="42"/>
      <c r="L478" s="35">
        <f t="shared" si="121"/>
        <v>3</v>
      </c>
      <c r="M478" s="35">
        <f t="shared" si="120"/>
        <v>1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/>
      <c r="H479" s="42">
        <v>4</v>
      </c>
      <c r="I479" s="42"/>
      <c r="J479" s="42"/>
      <c r="K479" s="42"/>
      <c r="L479" s="35">
        <f t="shared" si="121"/>
        <v>4</v>
      </c>
      <c r="M479" s="35">
        <f t="shared" si="120"/>
        <v>1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/>
      <c r="H480" s="42"/>
      <c r="I480" s="42"/>
      <c r="J480" s="42"/>
      <c r="K480" s="42"/>
      <c r="L480" s="35">
        <f t="shared" si="121"/>
        <v>0</v>
      </c>
      <c r="M480" s="35">
        <f t="shared" si="120"/>
        <v>0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2025</v>
      </c>
      <c r="H483" s="10">
        <f>+G483</f>
        <v>2025</v>
      </c>
      <c r="I483" s="10">
        <f t="shared" ref="I483:M484" si="122">+H483</f>
        <v>2025</v>
      </c>
      <c r="J483" s="10">
        <f t="shared" si="122"/>
        <v>2025</v>
      </c>
      <c r="K483" s="10">
        <f t="shared" si="122"/>
        <v>2025</v>
      </c>
      <c r="L483" s="10">
        <f t="shared" si="122"/>
        <v>2025</v>
      </c>
      <c r="M483" s="10">
        <f t="shared" si="122"/>
        <v>2025</v>
      </c>
      <c r="N483" s="11"/>
      <c r="S483" s="12" t="str">
        <f>+C483</f>
        <v>Lushikishini</v>
      </c>
      <c r="T483" s="13">
        <f>+L487</f>
        <v>91</v>
      </c>
      <c r="U483" s="13">
        <f>+L488+L489</f>
        <v>28</v>
      </c>
      <c r="V483" s="13">
        <f>+L490+L491</f>
        <v>63</v>
      </c>
      <c r="W483" s="13">
        <f>+L494</f>
        <v>48</v>
      </c>
      <c r="X483" s="13">
        <f>+L492</f>
        <v>7</v>
      </c>
    </row>
    <row r="484" spans="1:24" x14ac:dyDescent="0.25">
      <c r="A484" s="14"/>
      <c r="B484" s="15"/>
      <c r="C484" s="41" t="str">
        <f>+$C468</f>
        <v>December 2025</v>
      </c>
      <c r="D484" s="18"/>
      <c r="E484" s="18"/>
      <c r="F484" s="18"/>
      <c r="G484" s="20" t="str">
        <f>+$G$4</f>
        <v>December</v>
      </c>
      <c r="H484" s="20" t="str">
        <f>+G484</f>
        <v>December</v>
      </c>
      <c r="I484" s="20" t="str">
        <f t="shared" si="122"/>
        <v>December</v>
      </c>
      <c r="J484" s="20" t="str">
        <f t="shared" si="122"/>
        <v>December</v>
      </c>
      <c r="K484" s="20" t="str">
        <f t="shared" si="122"/>
        <v>December</v>
      </c>
      <c r="L484" s="20" t="str">
        <f t="shared" si="122"/>
        <v>December</v>
      </c>
      <c r="M484" s="20" t="str">
        <f t="shared" si="122"/>
        <v>December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7</v>
      </c>
      <c r="H485" s="25">
        <f>+$H$5</f>
        <v>14</v>
      </c>
      <c r="I485" s="25">
        <f>+$I$5</f>
        <v>21</v>
      </c>
      <c r="J485" s="25">
        <f>+$J$5</f>
        <v>28</v>
      </c>
      <c r="K485" s="25">
        <f>+$K$5</f>
        <v>0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>
        <f>SUM(G488:G491)</f>
        <v>52</v>
      </c>
      <c r="H487" s="31">
        <f t="shared" ref="H487:L487" si="123">SUM(H488:H491)</f>
        <v>39</v>
      </c>
      <c r="I487" s="31">
        <f t="shared" si="123"/>
        <v>0</v>
      </c>
      <c r="J487" s="31">
        <f t="shared" si="123"/>
        <v>0</v>
      </c>
      <c r="K487" s="31">
        <f t="shared" si="123"/>
        <v>0</v>
      </c>
      <c r="L487" s="31">
        <f t="shared" si="123"/>
        <v>91</v>
      </c>
      <c r="M487" s="31">
        <f>ROUND((L487/$E$1),0)</f>
        <v>23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>
        <v>3</v>
      </c>
      <c r="H488" s="42">
        <v>1</v>
      </c>
      <c r="I488" s="42"/>
      <c r="J488" s="42"/>
      <c r="K488" s="42"/>
      <c r="L488" s="35">
        <f>SUM(G488:K488)</f>
        <v>4</v>
      </c>
      <c r="M488" s="35">
        <f t="shared" ref="M488:M496" si="124">ROUND((L488/$E$1),0)</f>
        <v>1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>
        <v>11</v>
      </c>
      <c r="H489" s="42">
        <v>13</v>
      </c>
      <c r="I489" s="42"/>
      <c r="J489" s="42"/>
      <c r="K489" s="42"/>
      <c r="L489" s="35">
        <f t="shared" ref="L489:L496" si="125">SUM(G489:K489)</f>
        <v>24</v>
      </c>
      <c r="M489" s="35">
        <f t="shared" si="124"/>
        <v>6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>
        <v>7</v>
      </c>
      <c r="H490" s="42">
        <v>3</v>
      </c>
      <c r="I490" s="42"/>
      <c r="J490" s="42"/>
      <c r="K490" s="42"/>
      <c r="L490" s="35">
        <f t="shared" si="125"/>
        <v>10</v>
      </c>
      <c r="M490" s="35">
        <f t="shared" si="124"/>
        <v>3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>
        <v>31</v>
      </c>
      <c r="H491" s="43">
        <v>22</v>
      </c>
      <c r="I491" s="43"/>
      <c r="J491" s="43"/>
      <c r="K491" s="43"/>
      <c r="L491" s="31">
        <f t="shared" si="125"/>
        <v>53</v>
      </c>
      <c r="M491" s="31">
        <f t="shared" si="124"/>
        <v>13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/>
      <c r="H492" s="42">
        <v>7</v>
      </c>
      <c r="I492" s="42"/>
      <c r="J492" s="42"/>
      <c r="K492" s="42"/>
      <c r="L492" s="35">
        <f t="shared" si="125"/>
        <v>7</v>
      </c>
      <c r="M492" s="35">
        <f t="shared" si="124"/>
        <v>2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/>
      <c r="H493" s="42"/>
      <c r="I493" s="42"/>
      <c r="J493" s="42"/>
      <c r="K493" s="42"/>
      <c r="L493" s="35">
        <f t="shared" si="125"/>
        <v>0</v>
      </c>
      <c r="M493" s="35">
        <f t="shared" si="124"/>
        <v>0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/>
      <c r="H494" s="42">
        <v>48</v>
      </c>
      <c r="I494" s="42"/>
      <c r="J494" s="42"/>
      <c r="K494" s="42"/>
      <c r="L494" s="35">
        <f t="shared" si="125"/>
        <v>48</v>
      </c>
      <c r="M494" s="35">
        <f t="shared" si="124"/>
        <v>12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/>
      <c r="H495" s="42"/>
      <c r="I495" s="42"/>
      <c r="J495" s="42"/>
      <c r="K495" s="42"/>
      <c r="L495" s="35">
        <f t="shared" si="125"/>
        <v>0</v>
      </c>
      <c r="M495" s="35">
        <f t="shared" si="124"/>
        <v>0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/>
      <c r="H496" s="42"/>
      <c r="I496" s="42"/>
      <c r="J496" s="42"/>
      <c r="K496" s="42"/>
      <c r="L496" s="35">
        <f t="shared" si="125"/>
        <v>0</v>
      </c>
      <c r="M496" s="35">
        <f t="shared" si="124"/>
        <v>0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2025</v>
      </c>
      <c r="H499" s="10">
        <f>+G499</f>
        <v>2025</v>
      </c>
      <c r="I499" s="10">
        <f t="shared" ref="I499:M500" si="126">+H499</f>
        <v>2025</v>
      </c>
      <c r="J499" s="10">
        <f t="shared" si="126"/>
        <v>2025</v>
      </c>
      <c r="K499" s="10">
        <f t="shared" si="126"/>
        <v>2025</v>
      </c>
      <c r="L499" s="10">
        <f t="shared" si="126"/>
        <v>2025</v>
      </c>
      <c r="M499" s="10">
        <f t="shared" si="126"/>
        <v>2025</v>
      </c>
      <c r="N499" s="11"/>
      <c r="S499" s="12" t="str">
        <f>+C499</f>
        <v>Sigengeni (Shiselweni)</v>
      </c>
      <c r="T499" s="13">
        <f>+L503</f>
        <v>98</v>
      </c>
      <c r="U499" s="13">
        <f>+L504+L505</f>
        <v>16</v>
      </c>
      <c r="V499" s="13">
        <f>+L506+L507</f>
        <v>82</v>
      </c>
      <c r="W499" s="13">
        <f>+L510</f>
        <v>5</v>
      </c>
      <c r="X499" s="13">
        <f>+L508</f>
        <v>0</v>
      </c>
    </row>
    <row r="500" spans="1:24" x14ac:dyDescent="0.25">
      <c r="A500" s="14"/>
      <c r="B500" s="15"/>
      <c r="C500" s="41" t="str">
        <f>+$C484</f>
        <v>December 2025</v>
      </c>
      <c r="D500" s="18"/>
      <c r="E500" s="18"/>
      <c r="F500" s="18"/>
      <c r="G500" s="20" t="str">
        <f>+$G$4</f>
        <v>December</v>
      </c>
      <c r="H500" s="20" t="str">
        <f>+G500</f>
        <v>December</v>
      </c>
      <c r="I500" s="20" t="str">
        <f t="shared" si="126"/>
        <v>December</v>
      </c>
      <c r="J500" s="20" t="str">
        <f t="shared" si="126"/>
        <v>December</v>
      </c>
      <c r="K500" s="20" t="str">
        <f t="shared" si="126"/>
        <v>December</v>
      </c>
      <c r="L500" s="20" t="str">
        <f t="shared" si="126"/>
        <v>December</v>
      </c>
      <c r="M500" s="20" t="str">
        <f t="shared" si="126"/>
        <v>December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7</v>
      </c>
      <c r="H501" s="25">
        <f>+$H$5</f>
        <v>14</v>
      </c>
      <c r="I501" s="25">
        <f>+$I$5</f>
        <v>21</v>
      </c>
      <c r="J501" s="25">
        <f>+$J$5</f>
        <v>28</v>
      </c>
      <c r="K501" s="25">
        <f>+$K$5</f>
        <v>0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>
        <f>SUM(G504:G507)</f>
        <v>78</v>
      </c>
      <c r="H503" s="31">
        <f t="shared" ref="H503:L503" si="127">SUM(H504:H507)</f>
        <v>20</v>
      </c>
      <c r="I503" s="31">
        <f t="shared" si="127"/>
        <v>0</v>
      </c>
      <c r="J503" s="31">
        <f t="shared" si="127"/>
        <v>0</v>
      </c>
      <c r="K503" s="31">
        <f t="shared" si="127"/>
        <v>0</v>
      </c>
      <c r="L503" s="31">
        <f t="shared" si="127"/>
        <v>98</v>
      </c>
      <c r="M503" s="31">
        <f>ROUND((L503/$E$1),0)</f>
        <v>25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>
        <v>2</v>
      </c>
      <c r="H504" s="42">
        <v>2</v>
      </c>
      <c r="I504" s="42"/>
      <c r="J504" s="42"/>
      <c r="K504" s="42"/>
      <c r="L504" s="35">
        <f>SUM(G504:K504)</f>
        <v>4</v>
      </c>
      <c r="M504" s="35">
        <f t="shared" ref="M504:M512" si="128">ROUND((L504/$E$1),0)</f>
        <v>1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>
        <v>8</v>
      </c>
      <c r="H505" s="42">
        <v>4</v>
      </c>
      <c r="I505" s="42"/>
      <c r="J505" s="42"/>
      <c r="K505" s="42"/>
      <c r="L505" s="35">
        <f t="shared" ref="L505:L512" si="129">SUM(G505:K505)</f>
        <v>12</v>
      </c>
      <c r="M505" s="35">
        <f t="shared" si="128"/>
        <v>3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>
        <v>11</v>
      </c>
      <c r="H506" s="42">
        <v>5</v>
      </c>
      <c r="I506" s="42"/>
      <c r="J506" s="42"/>
      <c r="K506" s="42"/>
      <c r="L506" s="35">
        <f t="shared" si="129"/>
        <v>16</v>
      </c>
      <c r="M506" s="35">
        <f t="shared" si="128"/>
        <v>4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>
        <v>57</v>
      </c>
      <c r="H507" s="43">
        <v>9</v>
      </c>
      <c r="I507" s="43"/>
      <c r="J507" s="43"/>
      <c r="K507" s="43"/>
      <c r="L507" s="31">
        <f t="shared" si="129"/>
        <v>66</v>
      </c>
      <c r="M507" s="31">
        <f t="shared" si="128"/>
        <v>17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/>
      <c r="H508" s="42"/>
      <c r="I508" s="42"/>
      <c r="J508" s="42"/>
      <c r="K508" s="42"/>
      <c r="L508" s="35">
        <f t="shared" si="129"/>
        <v>0</v>
      </c>
      <c r="M508" s="35">
        <f t="shared" si="128"/>
        <v>0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/>
      <c r="H509" s="42"/>
      <c r="I509" s="42"/>
      <c r="J509" s="42"/>
      <c r="K509" s="42"/>
      <c r="L509" s="35">
        <f t="shared" si="129"/>
        <v>0</v>
      </c>
      <c r="M509" s="35">
        <f t="shared" si="128"/>
        <v>0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>
        <v>3</v>
      </c>
      <c r="H510" s="42">
        <v>2</v>
      </c>
      <c r="I510" s="42"/>
      <c r="J510" s="42"/>
      <c r="K510" s="42"/>
      <c r="L510" s="35">
        <f t="shared" si="129"/>
        <v>5</v>
      </c>
      <c r="M510" s="35">
        <f t="shared" si="128"/>
        <v>1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/>
      <c r="H511" s="42"/>
      <c r="I511" s="42"/>
      <c r="J511" s="42"/>
      <c r="K511" s="42"/>
      <c r="L511" s="35">
        <f t="shared" si="129"/>
        <v>0</v>
      </c>
      <c r="M511" s="35">
        <f t="shared" si="128"/>
        <v>0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/>
      <c r="H512" s="42"/>
      <c r="I512" s="42"/>
      <c r="J512" s="42"/>
      <c r="K512" s="42"/>
      <c r="L512" s="35">
        <f t="shared" si="129"/>
        <v>0</v>
      </c>
      <c r="M512" s="35">
        <f t="shared" si="128"/>
        <v>0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2025</v>
      </c>
      <c r="H515" s="10">
        <f>+G515</f>
        <v>2025</v>
      </c>
      <c r="I515" s="10">
        <f t="shared" ref="I515:M516" si="130">+H515</f>
        <v>2025</v>
      </c>
      <c r="J515" s="10">
        <f t="shared" si="130"/>
        <v>2025</v>
      </c>
      <c r="K515" s="10">
        <f t="shared" si="130"/>
        <v>2025</v>
      </c>
      <c r="L515" s="10">
        <f t="shared" si="130"/>
        <v>2025</v>
      </c>
      <c r="M515" s="10">
        <f t="shared" si="130"/>
        <v>2025</v>
      </c>
      <c r="N515" s="11"/>
      <c r="S515" s="12" t="str">
        <f>+C515</f>
        <v>Gundviwini</v>
      </c>
      <c r="T515" s="13">
        <f>+L519</f>
        <v>285</v>
      </c>
      <c r="U515" s="13">
        <f>+L520+L521</f>
        <v>53</v>
      </c>
      <c r="V515" s="13">
        <f>+L522+L523</f>
        <v>232</v>
      </c>
      <c r="W515" s="13">
        <f>+L526</f>
        <v>0</v>
      </c>
      <c r="X515" s="13">
        <f>+L524</f>
        <v>0</v>
      </c>
    </row>
    <row r="516" spans="1:24" x14ac:dyDescent="0.25">
      <c r="A516" s="14"/>
      <c r="B516" s="15"/>
      <c r="C516" s="41" t="str">
        <f>+$C500</f>
        <v>December 2025</v>
      </c>
      <c r="D516" s="18"/>
      <c r="E516" s="18"/>
      <c r="F516" s="18"/>
      <c r="G516" s="20" t="str">
        <f>+$G$4</f>
        <v>December</v>
      </c>
      <c r="H516" s="20" t="str">
        <f>+G516</f>
        <v>December</v>
      </c>
      <c r="I516" s="20" t="str">
        <f t="shared" si="130"/>
        <v>December</v>
      </c>
      <c r="J516" s="20" t="str">
        <f t="shared" si="130"/>
        <v>December</v>
      </c>
      <c r="K516" s="20" t="str">
        <f t="shared" si="130"/>
        <v>December</v>
      </c>
      <c r="L516" s="20" t="str">
        <f t="shared" si="130"/>
        <v>December</v>
      </c>
      <c r="M516" s="20" t="str">
        <f t="shared" si="130"/>
        <v>December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7</v>
      </c>
      <c r="H517" s="25">
        <f>+$H$5</f>
        <v>14</v>
      </c>
      <c r="I517" s="25">
        <f>+$I$5</f>
        <v>21</v>
      </c>
      <c r="J517" s="25">
        <f>+$J$5</f>
        <v>28</v>
      </c>
      <c r="K517" s="25">
        <f>+$K$5</f>
        <v>0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>
        <f>SUM(G520:G523)</f>
        <v>77</v>
      </c>
      <c r="H519" s="31">
        <f t="shared" ref="H519:L519" si="131">SUM(H520:H523)</f>
        <v>208</v>
      </c>
      <c r="I519" s="31">
        <f t="shared" si="131"/>
        <v>0</v>
      </c>
      <c r="J519" s="31">
        <f t="shared" si="131"/>
        <v>0</v>
      </c>
      <c r="K519" s="31">
        <f t="shared" si="131"/>
        <v>0</v>
      </c>
      <c r="L519" s="31">
        <f t="shared" si="131"/>
        <v>285</v>
      </c>
      <c r="M519" s="31">
        <f>ROUND((L519/$E$1),0)</f>
        <v>71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>
        <v>7</v>
      </c>
      <c r="H520" s="42">
        <v>8</v>
      </c>
      <c r="I520" s="42"/>
      <c r="J520" s="42"/>
      <c r="K520" s="42"/>
      <c r="L520" s="35">
        <f>SUM(G520:K520)</f>
        <v>15</v>
      </c>
      <c r="M520" s="35">
        <f t="shared" ref="M520:M528" si="132">ROUND((L520/$E$1),0)</f>
        <v>4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>
        <v>18</v>
      </c>
      <c r="H521" s="42">
        <v>20</v>
      </c>
      <c r="I521" s="42"/>
      <c r="J521" s="42"/>
      <c r="K521" s="42"/>
      <c r="L521" s="35">
        <f t="shared" ref="L521:L528" si="133">SUM(G521:K521)</f>
        <v>38</v>
      </c>
      <c r="M521" s="35">
        <f t="shared" si="132"/>
        <v>10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>
        <v>16</v>
      </c>
      <c r="H522" s="42">
        <v>100</v>
      </c>
      <c r="I522" s="42"/>
      <c r="J522" s="42"/>
      <c r="K522" s="42"/>
      <c r="L522" s="35">
        <f t="shared" si="133"/>
        <v>116</v>
      </c>
      <c r="M522" s="35">
        <f t="shared" si="132"/>
        <v>29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>
        <v>36</v>
      </c>
      <c r="H523" s="43">
        <v>80</v>
      </c>
      <c r="I523" s="43"/>
      <c r="J523" s="43"/>
      <c r="K523" s="43"/>
      <c r="L523" s="31">
        <f t="shared" si="133"/>
        <v>116</v>
      </c>
      <c r="M523" s="31">
        <f t="shared" si="132"/>
        <v>29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/>
      <c r="H524" s="42"/>
      <c r="I524" s="42"/>
      <c r="J524" s="42"/>
      <c r="K524" s="42"/>
      <c r="L524" s="35">
        <f t="shared" si="133"/>
        <v>0</v>
      </c>
      <c r="M524" s="35">
        <f t="shared" si="132"/>
        <v>0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/>
      <c r="H525" s="42"/>
      <c r="I525" s="42"/>
      <c r="J525" s="42"/>
      <c r="K525" s="42"/>
      <c r="L525" s="35">
        <f t="shared" si="133"/>
        <v>0</v>
      </c>
      <c r="M525" s="35">
        <f t="shared" si="132"/>
        <v>0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/>
      <c r="H526" s="42"/>
      <c r="I526" s="42"/>
      <c r="J526" s="42"/>
      <c r="K526" s="42"/>
      <c r="L526" s="35">
        <f t="shared" si="133"/>
        <v>0</v>
      </c>
      <c r="M526" s="35">
        <f t="shared" si="132"/>
        <v>0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/>
      <c r="H527" s="42"/>
      <c r="I527" s="42"/>
      <c r="J527" s="42"/>
      <c r="K527" s="42"/>
      <c r="L527" s="35">
        <f t="shared" si="133"/>
        <v>0</v>
      </c>
      <c r="M527" s="35">
        <f t="shared" si="132"/>
        <v>0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/>
      <c r="H528" s="42"/>
      <c r="I528" s="42"/>
      <c r="J528" s="42"/>
      <c r="K528" s="42"/>
      <c r="L528" s="35">
        <f t="shared" si="133"/>
        <v>0</v>
      </c>
      <c r="M528" s="35">
        <f t="shared" si="132"/>
        <v>0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2025</v>
      </c>
      <c r="H531" s="10">
        <f>+G531</f>
        <v>2025</v>
      </c>
      <c r="I531" s="10">
        <f t="shared" ref="I531:M532" si="134">+H531</f>
        <v>2025</v>
      </c>
      <c r="J531" s="10">
        <f t="shared" si="134"/>
        <v>2025</v>
      </c>
      <c r="K531" s="10">
        <f t="shared" si="134"/>
        <v>2025</v>
      </c>
      <c r="L531" s="10">
        <f t="shared" si="134"/>
        <v>2025</v>
      </c>
      <c r="M531" s="10">
        <f t="shared" si="134"/>
        <v>2025</v>
      </c>
      <c r="N531" s="11"/>
      <c r="P531" s="44"/>
      <c r="S531" s="12" t="str">
        <f>+C531</f>
        <v>Mcuba</v>
      </c>
      <c r="T531" s="13">
        <f>+L535</f>
        <v>85</v>
      </c>
      <c r="U531" s="13">
        <f>+L536+L537</f>
        <v>24</v>
      </c>
      <c r="V531" s="13">
        <f>+L538+L539</f>
        <v>61</v>
      </c>
      <c r="W531" s="13">
        <f>+L542</f>
        <v>0</v>
      </c>
      <c r="X531" s="13">
        <f>+L540</f>
        <v>0</v>
      </c>
    </row>
    <row r="532" spans="1:24" x14ac:dyDescent="0.25">
      <c r="A532" s="14"/>
      <c r="B532" s="15"/>
      <c r="C532" s="41" t="str">
        <f>+$C516</f>
        <v>December 2025</v>
      </c>
      <c r="D532" s="18"/>
      <c r="E532" s="18"/>
      <c r="F532" s="18"/>
      <c r="G532" s="20" t="str">
        <f>+$G$4</f>
        <v>December</v>
      </c>
      <c r="H532" s="20" t="str">
        <f>+G532</f>
        <v>December</v>
      </c>
      <c r="I532" s="20" t="str">
        <f t="shared" si="134"/>
        <v>December</v>
      </c>
      <c r="J532" s="20" t="str">
        <f t="shared" si="134"/>
        <v>December</v>
      </c>
      <c r="K532" s="20" t="str">
        <f t="shared" si="134"/>
        <v>December</v>
      </c>
      <c r="L532" s="20" t="str">
        <f t="shared" si="134"/>
        <v>December</v>
      </c>
      <c r="M532" s="20" t="str">
        <f t="shared" si="134"/>
        <v>December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7</v>
      </c>
      <c r="H533" s="25">
        <f>+$H$5</f>
        <v>14</v>
      </c>
      <c r="I533" s="25">
        <f>+$I$5</f>
        <v>21</v>
      </c>
      <c r="J533" s="25">
        <f>+$J$5</f>
        <v>28</v>
      </c>
      <c r="K533" s="25">
        <f>+$K$5</f>
        <v>0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>
        <f>SUM(G536:G539)</f>
        <v>59</v>
      </c>
      <c r="H535" s="31">
        <f t="shared" ref="H535:L535" si="135">SUM(H536:H539)</f>
        <v>26</v>
      </c>
      <c r="I535" s="31">
        <f t="shared" si="135"/>
        <v>0</v>
      </c>
      <c r="J535" s="31">
        <f t="shared" si="135"/>
        <v>0</v>
      </c>
      <c r="K535" s="31">
        <f t="shared" si="135"/>
        <v>0</v>
      </c>
      <c r="L535" s="31">
        <f t="shared" si="135"/>
        <v>85</v>
      </c>
      <c r="M535" s="31">
        <f>ROUND((L535/$E$1),0)</f>
        <v>21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>
        <v>3</v>
      </c>
      <c r="H536" s="42">
        <v>2</v>
      </c>
      <c r="I536" s="42"/>
      <c r="J536" s="42"/>
      <c r="K536" s="42"/>
      <c r="L536" s="35">
        <f>SUM(G536:K536)</f>
        <v>5</v>
      </c>
      <c r="M536" s="35">
        <f t="shared" ref="M536:M544" si="136">ROUND((L536/$E$1),0)</f>
        <v>1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>
        <v>13</v>
      </c>
      <c r="H537" s="42">
        <v>6</v>
      </c>
      <c r="I537" s="42"/>
      <c r="J537" s="42"/>
      <c r="K537" s="42"/>
      <c r="L537" s="35">
        <f t="shared" ref="L537:L544" si="137">SUM(G537:K537)</f>
        <v>19</v>
      </c>
      <c r="M537" s="35">
        <f t="shared" si="136"/>
        <v>5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>
        <v>11</v>
      </c>
      <c r="H538" s="42">
        <v>8</v>
      </c>
      <c r="I538" s="42"/>
      <c r="J538" s="42"/>
      <c r="K538" s="42"/>
      <c r="L538" s="35">
        <f t="shared" si="137"/>
        <v>19</v>
      </c>
      <c r="M538" s="35">
        <f t="shared" si="136"/>
        <v>5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>
        <v>32</v>
      </c>
      <c r="H539" s="43">
        <v>10</v>
      </c>
      <c r="I539" s="43"/>
      <c r="J539" s="43"/>
      <c r="K539" s="43"/>
      <c r="L539" s="31">
        <f t="shared" si="137"/>
        <v>42</v>
      </c>
      <c r="M539" s="31">
        <f t="shared" si="136"/>
        <v>11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/>
      <c r="H540" s="42"/>
      <c r="I540" s="42"/>
      <c r="J540" s="42"/>
      <c r="K540" s="42"/>
      <c r="L540" s="35">
        <f t="shared" si="137"/>
        <v>0</v>
      </c>
      <c r="M540" s="35">
        <f t="shared" si="136"/>
        <v>0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/>
      <c r="H541" s="42"/>
      <c r="I541" s="42"/>
      <c r="J541" s="42"/>
      <c r="K541" s="42"/>
      <c r="L541" s="35">
        <f t="shared" si="137"/>
        <v>0</v>
      </c>
      <c r="M541" s="35">
        <f t="shared" si="136"/>
        <v>0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/>
      <c r="H542" s="42"/>
      <c r="I542" s="42"/>
      <c r="J542" s="42"/>
      <c r="K542" s="42"/>
      <c r="L542" s="35">
        <f t="shared" si="137"/>
        <v>0</v>
      </c>
      <c r="M542" s="35">
        <f t="shared" si="136"/>
        <v>0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/>
      <c r="H543" s="42"/>
      <c r="I543" s="42"/>
      <c r="J543" s="42"/>
      <c r="K543" s="42"/>
      <c r="L543" s="35">
        <f t="shared" si="137"/>
        <v>0</v>
      </c>
      <c r="M543" s="35">
        <f t="shared" si="136"/>
        <v>0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/>
      <c r="H544" s="42"/>
      <c r="I544" s="42"/>
      <c r="J544" s="42"/>
      <c r="K544" s="42"/>
      <c r="L544" s="35">
        <f t="shared" si="137"/>
        <v>0</v>
      </c>
      <c r="M544" s="35">
        <f t="shared" si="136"/>
        <v>0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2025</v>
      </c>
      <c r="H547" s="10">
        <f>+G547</f>
        <v>2025</v>
      </c>
      <c r="I547" s="10">
        <f t="shared" ref="I547:M548" si="138">+H547</f>
        <v>2025</v>
      </c>
      <c r="J547" s="10">
        <f t="shared" si="138"/>
        <v>2025</v>
      </c>
      <c r="K547" s="10">
        <f t="shared" si="138"/>
        <v>2025</v>
      </c>
      <c r="L547" s="10">
        <f t="shared" si="138"/>
        <v>2025</v>
      </c>
      <c r="M547" s="10">
        <f t="shared" si="138"/>
        <v>2025</v>
      </c>
      <c r="N547" s="11"/>
      <c r="P547" s="44"/>
      <c r="S547" s="12" t="str">
        <f>+C547</f>
        <v>Phonjwane</v>
      </c>
      <c r="T547" s="13">
        <f>+L551</f>
        <v>77</v>
      </c>
      <c r="U547" s="13">
        <f>+L552+L553</f>
        <v>16</v>
      </c>
      <c r="V547" s="13">
        <f>+L554+L555</f>
        <v>61</v>
      </c>
      <c r="W547" s="13">
        <f>+L558</f>
        <v>0</v>
      </c>
      <c r="X547" s="13">
        <f>+L556</f>
        <v>0</v>
      </c>
    </row>
    <row r="548" spans="1:24" x14ac:dyDescent="0.25">
      <c r="A548" s="14"/>
      <c r="B548" s="15"/>
      <c r="C548" s="41" t="str">
        <f>+$C532</f>
        <v>December 2025</v>
      </c>
      <c r="D548" s="18"/>
      <c r="E548" s="18"/>
      <c r="F548" s="18"/>
      <c r="G548" s="20" t="str">
        <f>+$G$4</f>
        <v>December</v>
      </c>
      <c r="H548" s="20" t="str">
        <f>+G548</f>
        <v>December</v>
      </c>
      <c r="I548" s="20" t="str">
        <f t="shared" si="138"/>
        <v>December</v>
      </c>
      <c r="J548" s="20" t="str">
        <f t="shared" si="138"/>
        <v>December</v>
      </c>
      <c r="K548" s="20" t="str">
        <f t="shared" si="138"/>
        <v>December</v>
      </c>
      <c r="L548" s="20" t="str">
        <f t="shared" si="138"/>
        <v>December</v>
      </c>
      <c r="M548" s="20" t="str">
        <f t="shared" si="138"/>
        <v>December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7</v>
      </c>
      <c r="H549" s="25">
        <f>+$H$5</f>
        <v>14</v>
      </c>
      <c r="I549" s="25">
        <f>+$I$5</f>
        <v>21</v>
      </c>
      <c r="J549" s="25">
        <f>+$J$5</f>
        <v>28</v>
      </c>
      <c r="K549" s="25">
        <f>+$K$5</f>
        <v>0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>
        <f>SUM(G552:G555)</f>
        <v>0</v>
      </c>
      <c r="H551" s="31">
        <f t="shared" ref="H551:L551" si="139">SUM(H552:H555)</f>
        <v>77</v>
      </c>
      <c r="I551" s="31">
        <f t="shared" si="139"/>
        <v>0</v>
      </c>
      <c r="J551" s="31">
        <f t="shared" si="139"/>
        <v>0</v>
      </c>
      <c r="K551" s="31">
        <f t="shared" si="139"/>
        <v>0</v>
      </c>
      <c r="L551" s="31">
        <f t="shared" si="139"/>
        <v>77</v>
      </c>
      <c r="M551" s="31">
        <f>ROUND((L551/$E$1),0)</f>
        <v>19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/>
      <c r="H552" s="42">
        <v>1</v>
      </c>
      <c r="I552" s="42"/>
      <c r="J552" s="42"/>
      <c r="K552" s="42"/>
      <c r="L552" s="35">
        <f>SUM(G552:K552)</f>
        <v>1</v>
      </c>
      <c r="M552" s="35">
        <f t="shared" ref="M552:M560" si="140">ROUND((L552/$E$1),0)</f>
        <v>0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/>
      <c r="H553" s="42">
        <v>15</v>
      </c>
      <c r="I553" s="42"/>
      <c r="J553" s="42"/>
      <c r="K553" s="42"/>
      <c r="L553" s="35">
        <f t="shared" ref="L553:L560" si="141">SUM(G553:K553)</f>
        <v>15</v>
      </c>
      <c r="M553" s="35">
        <f t="shared" si="140"/>
        <v>4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/>
      <c r="H554" s="42">
        <v>26</v>
      </c>
      <c r="I554" s="42"/>
      <c r="J554" s="42"/>
      <c r="K554" s="42"/>
      <c r="L554" s="35">
        <f t="shared" si="141"/>
        <v>26</v>
      </c>
      <c r="M554" s="35">
        <f t="shared" si="140"/>
        <v>7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/>
      <c r="H555" s="43">
        <v>35</v>
      </c>
      <c r="I555" s="43"/>
      <c r="J555" s="43"/>
      <c r="K555" s="43"/>
      <c r="L555" s="31">
        <f t="shared" si="141"/>
        <v>35</v>
      </c>
      <c r="M555" s="31">
        <f t="shared" si="140"/>
        <v>9</v>
      </c>
      <c r="N555" s="32"/>
      <c r="O555" s="2" t="s">
        <v>107</v>
      </c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/>
      <c r="H556" s="42"/>
      <c r="I556" s="42"/>
      <c r="J556" s="42"/>
      <c r="K556" s="42"/>
      <c r="L556" s="35">
        <f t="shared" si="141"/>
        <v>0</v>
      </c>
      <c r="M556" s="35">
        <f t="shared" si="140"/>
        <v>0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/>
      <c r="H557" s="42"/>
      <c r="I557" s="42"/>
      <c r="J557" s="42"/>
      <c r="K557" s="42"/>
      <c r="L557" s="35">
        <f t="shared" si="141"/>
        <v>0</v>
      </c>
      <c r="M557" s="35">
        <f t="shared" si="140"/>
        <v>0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/>
      <c r="H558" s="42"/>
      <c r="I558" s="42"/>
      <c r="J558" s="42"/>
      <c r="K558" s="42"/>
      <c r="L558" s="35">
        <f t="shared" si="141"/>
        <v>0</v>
      </c>
      <c r="M558" s="35">
        <f t="shared" si="140"/>
        <v>0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/>
      <c r="H559" s="42"/>
      <c r="I559" s="42"/>
      <c r="J559" s="42"/>
      <c r="K559" s="42"/>
      <c r="L559" s="35">
        <f t="shared" si="141"/>
        <v>0</v>
      </c>
      <c r="M559" s="35">
        <f t="shared" si="140"/>
        <v>0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/>
      <c r="H560" s="42"/>
      <c r="I560" s="42"/>
      <c r="J560" s="42"/>
      <c r="K560" s="42"/>
      <c r="L560" s="35">
        <f t="shared" si="141"/>
        <v>0</v>
      </c>
      <c r="M560" s="35">
        <f t="shared" si="140"/>
        <v>0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2025</v>
      </c>
      <c r="H563" s="10">
        <f>+G563</f>
        <v>2025</v>
      </c>
      <c r="I563" s="10">
        <f t="shared" ref="I563:M564" si="142">+H563</f>
        <v>2025</v>
      </c>
      <c r="J563" s="10">
        <f t="shared" si="142"/>
        <v>2025</v>
      </c>
      <c r="K563" s="10">
        <f t="shared" si="142"/>
        <v>2025</v>
      </c>
      <c r="L563" s="10">
        <f t="shared" si="142"/>
        <v>2025</v>
      </c>
      <c r="M563" s="10">
        <f t="shared" si="142"/>
        <v>2025</v>
      </c>
      <c r="N563" s="11"/>
      <c r="P563" s="44"/>
      <c r="S563" s="12" t="str">
        <f>+C563</f>
        <v>Njakeni</v>
      </c>
      <c r="T563" s="13">
        <f>+L567</f>
        <v>37</v>
      </c>
      <c r="U563" s="13">
        <f>+L568+L569</f>
        <v>16</v>
      </c>
      <c r="V563" s="13">
        <f>+L570+L571</f>
        <v>21</v>
      </c>
      <c r="W563" s="13">
        <f>+L574</f>
        <v>8</v>
      </c>
      <c r="X563" s="13">
        <f>+L572</f>
        <v>0</v>
      </c>
    </row>
    <row r="564" spans="1:24" x14ac:dyDescent="0.25">
      <c r="A564" s="14"/>
      <c r="B564" s="15"/>
      <c r="C564" s="41" t="str">
        <f>+$C548</f>
        <v>December 2025</v>
      </c>
      <c r="D564" s="18"/>
      <c r="E564" s="18"/>
      <c r="F564" s="18"/>
      <c r="G564" s="20" t="str">
        <f>+$G$4</f>
        <v>December</v>
      </c>
      <c r="H564" s="20" t="str">
        <f>+G564</f>
        <v>December</v>
      </c>
      <c r="I564" s="20" t="str">
        <f t="shared" si="142"/>
        <v>December</v>
      </c>
      <c r="J564" s="20" t="str">
        <f t="shared" si="142"/>
        <v>December</v>
      </c>
      <c r="K564" s="20" t="str">
        <f t="shared" si="142"/>
        <v>December</v>
      </c>
      <c r="L564" s="20" t="str">
        <f t="shared" si="142"/>
        <v>December</v>
      </c>
      <c r="M564" s="20" t="str">
        <f t="shared" si="142"/>
        <v>December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7</v>
      </c>
      <c r="H565" s="25">
        <f>+$H$5</f>
        <v>14</v>
      </c>
      <c r="I565" s="25">
        <f>+$I$5</f>
        <v>21</v>
      </c>
      <c r="J565" s="25">
        <f>+$J$5</f>
        <v>28</v>
      </c>
      <c r="K565" s="25">
        <f>+$K$5</f>
        <v>0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>
        <f>SUM(G568:G571)</f>
        <v>23</v>
      </c>
      <c r="H567" s="31">
        <f t="shared" ref="H567:L567" si="143">SUM(H568:H571)</f>
        <v>14</v>
      </c>
      <c r="I567" s="31">
        <f t="shared" si="143"/>
        <v>0</v>
      </c>
      <c r="J567" s="31">
        <f t="shared" si="143"/>
        <v>0</v>
      </c>
      <c r="K567" s="31">
        <f t="shared" si="143"/>
        <v>0</v>
      </c>
      <c r="L567" s="31">
        <f t="shared" si="143"/>
        <v>37</v>
      </c>
      <c r="M567" s="31">
        <f>ROUND((L567/$E$1),0)</f>
        <v>9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>
        <v>3</v>
      </c>
      <c r="H568" s="42">
        <v>2</v>
      </c>
      <c r="I568" s="42"/>
      <c r="J568" s="42"/>
      <c r="K568" s="42"/>
      <c r="L568" s="35">
        <f>SUM(G568:K568)</f>
        <v>5</v>
      </c>
      <c r="M568" s="35">
        <f t="shared" ref="M568:M576" si="144">ROUND((L568/$E$1),0)</f>
        <v>1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>
        <v>7</v>
      </c>
      <c r="H569" s="42">
        <v>4</v>
      </c>
      <c r="I569" s="42"/>
      <c r="J569" s="42"/>
      <c r="K569" s="42"/>
      <c r="L569" s="35">
        <f t="shared" ref="L569:L576" si="145">SUM(G569:K569)</f>
        <v>11</v>
      </c>
      <c r="M569" s="35">
        <f t="shared" si="144"/>
        <v>3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>
        <v>5</v>
      </c>
      <c r="H570" s="42">
        <v>6</v>
      </c>
      <c r="I570" s="42"/>
      <c r="J570" s="42"/>
      <c r="K570" s="42"/>
      <c r="L570" s="35">
        <f t="shared" si="145"/>
        <v>11</v>
      </c>
      <c r="M570" s="35">
        <f t="shared" si="144"/>
        <v>3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>
        <v>8</v>
      </c>
      <c r="H571" s="43">
        <v>2</v>
      </c>
      <c r="I571" s="43"/>
      <c r="J571" s="43"/>
      <c r="K571" s="43"/>
      <c r="L571" s="31">
        <f t="shared" si="145"/>
        <v>10</v>
      </c>
      <c r="M571" s="31">
        <f t="shared" si="144"/>
        <v>3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/>
      <c r="H572" s="42"/>
      <c r="I572" s="42"/>
      <c r="J572" s="42"/>
      <c r="K572" s="42"/>
      <c r="L572" s="35">
        <f t="shared" si="145"/>
        <v>0</v>
      </c>
      <c r="M572" s="35">
        <f t="shared" si="144"/>
        <v>0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/>
      <c r="H573" s="42"/>
      <c r="I573" s="42"/>
      <c r="J573" s="42"/>
      <c r="K573" s="42"/>
      <c r="L573" s="35">
        <f t="shared" si="145"/>
        <v>0</v>
      </c>
      <c r="M573" s="35">
        <f t="shared" si="144"/>
        <v>0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>
        <v>4</v>
      </c>
      <c r="H574" s="42">
        <v>4</v>
      </c>
      <c r="I574" s="42"/>
      <c r="J574" s="42"/>
      <c r="K574" s="42"/>
      <c r="L574" s="35">
        <f t="shared" si="145"/>
        <v>8</v>
      </c>
      <c r="M574" s="35">
        <f t="shared" si="144"/>
        <v>2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/>
      <c r="H575" s="42">
        <v>522</v>
      </c>
      <c r="I575" s="42"/>
      <c r="J575" s="42"/>
      <c r="K575" s="42"/>
      <c r="L575" s="35">
        <f t="shared" si="145"/>
        <v>522</v>
      </c>
      <c r="M575" s="35">
        <f t="shared" si="144"/>
        <v>131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/>
      <c r="H576" s="42"/>
      <c r="I576" s="42"/>
      <c r="J576" s="42"/>
      <c r="K576" s="42"/>
      <c r="L576" s="35">
        <f t="shared" si="145"/>
        <v>0</v>
      </c>
      <c r="M576" s="35">
        <f t="shared" si="144"/>
        <v>0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2025</v>
      </c>
      <c r="H579" s="10">
        <f>+G579</f>
        <v>2025</v>
      </c>
      <c r="I579" s="10">
        <f t="shared" ref="I579:M580" si="146">+H579</f>
        <v>2025</v>
      </c>
      <c r="J579" s="10">
        <f t="shared" si="146"/>
        <v>2025</v>
      </c>
      <c r="K579" s="10">
        <f t="shared" si="146"/>
        <v>2025</v>
      </c>
      <c r="L579" s="10">
        <f t="shared" si="146"/>
        <v>2025</v>
      </c>
      <c r="M579" s="10">
        <f t="shared" si="146"/>
        <v>2025</v>
      </c>
      <c r="N579" s="11"/>
      <c r="P579" s="44"/>
      <c r="S579" s="12" t="str">
        <f>+C579</f>
        <v>Mantabeni</v>
      </c>
      <c r="T579" s="13">
        <f>+L583</f>
        <v>64</v>
      </c>
      <c r="U579" s="13">
        <f>+L584+L585</f>
        <v>22</v>
      </c>
      <c r="V579" s="13">
        <f>+L586+L587</f>
        <v>42</v>
      </c>
      <c r="W579" s="13">
        <f>+L590</f>
        <v>1</v>
      </c>
      <c r="X579" s="13">
        <f>+L588</f>
        <v>0</v>
      </c>
    </row>
    <row r="580" spans="1:24" x14ac:dyDescent="0.25">
      <c r="A580" s="14"/>
      <c r="B580" s="15"/>
      <c r="C580" s="41" t="str">
        <f>+$C564</f>
        <v>December 2025</v>
      </c>
      <c r="D580" s="18"/>
      <c r="E580" s="18"/>
      <c r="F580" s="18"/>
      <c r="G580" s="20" t="str">
        <f>+$G$4</f>
        <v>December</v>
      </c>
      <c r="H580" s="20" t="str">
        <f>+G580</f>
        <v>December</v>
      </c>
      <c r="I580" s="20" t="str">
        <f t="shared" si="146"/>
        <v>December</v>
      </c>
      <c r="J580" s="20" t="str">
        <f t="shared" si="146"/>
        <v>December</v>
      </c>
      <c r="K580" s="20" t="str">
        <f t="shared" si="146"/>
        <v>December</v>
      </c>
      <c r="L580" s="20" t="str">
        <f t="shared" si="146"/>
        <v>December</v>
      </c>
      <c r="M580" s="20" t="str">
        <f t="shared" si="146"/>
        <v>December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7</v>
      </c>
      <c r="H581" s="25">
        <f>+$H$5</f>
        <v>14</v>
      </c>
      <c r="I581" s="25">
        <f>+$I$5</f>
        <v>21</v>
      </c>
      <c r="J581" s="25">
        <f>+$J$5</f>
        <v>28</v>
      </c>
      <c r="K581" s="25">
        <f>+$K$5</f>
        <v>0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>
        <f>SUM(G584:G587)</f>
        <v>40</v>
      </c>
      <c r="H583" s="31">
        <f t="shared" ref="H583:L583" si="147">SUM(H584:H587)</f>
        <v>24</v>
      </c>
      <c r="I583" s="31">
        <f t="shared" si="147"/>
        <v>0</v>
      </c>
      <c r="J583" s="31">
        <f t="shared" si="147"/>
        <v>0</v>
      </c>
      <c r="K583" s="31">
        <f t="shared" si="147"/>
        <v>0</v>
      </c>
      <c r="L583" s="31">
        <f t="shared" si="147"/>
        <v>64</v>
      </c>
      <c r="M583" s="31">
        <f>ROUND((L583/$E$1),0)</f>
        <v>16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>
        <v>3</v>
      </c>
      <c r="H584" s="42">
        <v>2</v>
      </c>
      <c r="I584" s="42"/>
      <c r="J584" s="42"/>
      <c r="K584" s="42"/>
      <c r="L584" s="35">
        <f>SUM(G584:K584)</f>
        <v>5</v>
      </c>
      <c r="M584" s="35">
        <f t="shared" ref="M584:M592" si="148">ROUND((L584/$E$1),0)</f>
        <v>1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>
        <v>11</v>
      </c>
      <c r="H585" s="42">
        <v>6</v>
      </c>
      <c r="I585" s="42"/>
      <c r="J585" s="42"/>
      <c r="K585" s="42"/>
      <c r="L585" s="35">
        <f t="shared" ref="L585:L592" si="149">SUM(G585:K585)</f>
        <v>17</v>
      </c>
      <c r="M585" s="35">
        <f t="shared" si="148"/>
        <v>4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>
        <v>9</v>
      </c>
      <c r="H586" s="42">
        <v>5</v>
      </c>
      <c r="I586" s="42"/>
      <c r="J586" s="42"/>
      <c r="K586" s="42"/>
      <c r="L586" s="35">
        <f t="shared" si="149"/>
        <v>14</v>
      </c>
      <c r="M586" s="35">
        <f t="shared" si="148"/>
        <v>4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>
        <v>17</v>
      </c>
      <c r="H587" s="43">
        <v>11</v>
      </c>
      <c r="I587" s="43"/>
      <c r="J587" s="43"/>
      <c r="K587" s="43"/>
      <c r="L587" s="31">
        <f t="shared" si="149"/>
        <v>28</v>
      </c>
      <c r="M587" s="31">
        <f t="shared" si="148"/>
        <v>7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/>
      <c r="H588" s="42"/>
      <c r="I588" s="42"/>
      <c r="J588" s="42"/>
      <c r="K588" s="42"/>
      <c r="L588" s="35">
        <f t="shared" si="149"/>
        <v>0</v>
      </c>
      <c r="M588" s="35">
        <f t="shared" si="148"/>
        <v>0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/>
      <c r="H589" s="42"/>
      <c r="I589" s="42"/>
      <c r="J589" s="42"/>
      <c r="K589" s="42"/>
      <c r="L589" s="35">
        <f t="shared" si="149"/>
        <v>0</v>
      </c>
      <c r="M589" s="35">
        <f t="shared" si="148"/>
        <v>0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>
        <v>1</v>
      </c>
      <c r="H590" s="42"/>
      <c r="I590" s="42"/>
      <c r="J590" s="42"/>
      <c r="K590" s="42"/>
      <c r="L590" s="35">
        <f t="shared" si="149"/>
        <v>1</v>
      </c>
      <c r="M590" s="35">
        <f t="shared" si="148"/>
        <v>0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/>
      <c r="H591" s="42"/>
      <c r="I591" s="42"/>
      <c r="J591" s="42"/>
      <c r="K591" s="42"/>
      <c r="L591" s="35">
        <f t="shared" si="149"/>
        <v>0</v>
      </c>
      <c r="M591" s="35">
        <f t="shared" si="148"/>
        <v>0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/>
      <c r="H592" s="42"/>
      <c r="I592" s="42"/>
      <c r="J592" s="42"/>
      <c r="K592" s="42"/>
      <c r="L592" s="35">
        <f t="shared" si="149"/>
        <v>0</v>
      </c>
      <c r="M592" s="35">
        <f t="shared" si="148"/>
        <v>0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2025</v>
      </c>
      <c r="H595" s="10">
        <f>+G595</f>
        <v>2025</v>
      </c>
      <c r="I595" s="10">
        <f t="shared" ref="I595:M596" si="150">+H595</f>
        <v>2025</v>
      </c>
      <c r="J595" s="10">
        <f t="shared" si="150"/>
        <v>2025</v>
      </c>
      <c r="K595" s="10">
        <f t="shared" si="150"/>
        <v>2025</v>
      </c>
      <c r="L595" s="10">
        <f t="shared" si="150"/>
        <v>2025</v>
      </c>
      <c r="M595" s="10">
        <f t="shared" si="150"/>
        <v>2025</v>
      </c>
      <c r="N595" s="11"/>
      <c r="S595" s="12" t="str">
        <f>+C595</f>
        <v>Makhungutja</v>
      </c>
      <c r="T595" s="13">
        <f>+L599</f>
        <v>36</v>
      </c>
      <c r="U595" s="13">
        <f>+L600+L601</f>
        <v>9</v>
      </c>
      <c r="V595" s="13">
        <f>+L602+L603</f>
        <v>27</v>
      </c>
      <c r="W595" s="13">
        <f>+L606</f>
        <v>0</v>
      </c>
      <c r="X595" s="13">
        <f>+L604</f>
        <v>0</v>
      </c>
    </row>
    <row r="596" spans="1:24" x14ac:dyDescent="0.25">
      <c r="A596" s="14"/>
      <c r="B596" s="15"/>
      <c r="C596" s="41" t="str">
        <f>+$C580</f>
        <v>December 2025</v>
      </c>
      <c r="D596" s="18"/>
      <c r="E596" s="18"/>
      <c r="F596" s="18"/>
      <c r="G596" s="20" t="str">
        <f>+$G$4</f>
        <v>December</v>
      </c>
      <c r="H596" s="20" t="str">
        <f>+G596</f>
        <v>December</v>
      </c>
      <c r="I596" s="20" t="str">
        <f t="shared" si="150"/>
        <v>December</v>
      </c>
      <c r="J596" s="20" t="str">
        <f t="shared" si="150"/>
        <v>December</v>
      </c>
      <c r="K596" s="20" t="str">
        <f t="shared" si="150"/>
        <v>December</v>
      </c>
      <c r="L596" s="20" t="str">
        <f t="shared" si="150"/>
        <v>December</v>
      </c>
      <c r="M596" s="20" t="str">
        <f t="shared" si="150"/>
        <v>December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7</v>
      </c>
      <c r="H597" s="25">
        <f>+$H$5</f>
        <v>14</v>
      </c>
      <c r="I597" s="25">
        <f>+$I$5</f>
        <v>21</v>
      </c>
      <c r="J597" s="25">
        <f>+$J$5</f>
        <v>28</v>
      </c>
      <c r="K597" s="25">
        <f>+$K$5</f>
        <v>0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>
        <f>SUM(G600:G603)</f>
        <v>0</v>
      </c>
      <c r="H599" s="31">
        <f t="shared" ref="H599:L599" si="151">SUM(H600:H603)</f>
        <v>36</v>
      </c>
      <c r="I599" s="31">
        <f t="shared" si="151"/>
        <v>0</v>
      </c>
      <c r="J599" s="31">
        <f t="shared" si="151"/>
        <v>0</v>
      </c>
      <c r="K599" s="31">
        <f t="shared" si="151"/>
        <v>0</v>
      </c>
      <c r="L599" s="31">
        <f t="shared" si="151"/>
        <v>36</v>
      </c>
      <c r="M599" s="31">
        <f>ROUND((L599/$E$1),0)</f>
        <v>9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/>
      <c r="H600" s="42">
        <v>2</v>
      </c>
      <c r="I600" s="42"/>
      <c r="J600" s="42"/>
      <c r="K600" s="42"/>
      <c r="L600" s="35">
        <f>SUM(G600:K600)</f>
        <v>2</v>
      </c>
      <c r="M600" s="35">
        <f t="shared" ref="M600:M608" si="152">ROUND((L600/$E$1),0)</f>
        <v>1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/>
      <c r="H601" s="42">
        <v>7</v>
      </c>
      <c r="I601" s="42"/>
      <c r="J601" s="42"/>
      <c r="K601" s="42"/>
      <c r="L601" s="35">
        <f t="shared" ref="L601:L608" si="153">SUM(G601:K601)</f>
        <v>7</v>
      </c>
      <c r="M601" s="35">
        <f t="shared" si="152"/>
        <v>2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/>
      <c r="H602" s="42">
        <v>5</v>
      </c>
      <c r="I602" s="42"/>
      <c r="J602" s="42"/>
      <c r="K602" s="42"/>
      <c r="L602" s="35">
        <f t="shared" si="153"/>
        <v>5</v>
      </c>
      <c r="M602" s="35">
        <f t="shared" si="152"/>
        <v>1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/>
      <c r="H603" s="43">
        <v>22</v>
      </c>
      <c r="I603" s="43"/>
      <c r="J603" s="43"/>
      <c r="K603" s="43"/>
      <c r="L603" s="31">
        <f t="shared" si="153"/>
        <v>22</v>
      </c>
      <c r="M603" s="31">
        <f t="shared" si="152"/>
        <v>6</v>
      </c>
      <c r="N603" s="32"/>
      <c r="O603" s="2" t="s">
        <v>107</v>
      </c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/>
      <c r="H604" s="42"/>
      <c r="I604" s="42"/>
      <c r="J604" s="42"/>
      <c r="K604" s="42"/>
      <c r="L604" s="35">
        <f t="shared" si="153"/>
        <v>0</v>
      </c>
      <c r="M604" s="35">
        <f t="shared" si="152"/>
        <v>0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/>
      <c r="H605" s="42"/>
      <c r="I605" s="42"/>
      <c r="J605" s="42"/>
      <c r="K605" s="42"/>
      <c r="L605" s="35">
        <f t="shared" si="153"/>
        <v>0</v>
      </c>
      <c r="M605" s="35">
        <f t="shared" si="152"/>
        <v>0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/>
      <c r="H606" s="42"/>
      <c r="I606" s="42"/>
      <c r="J606" s="42"/>
      <c r="K606" s="42"/>
      <c r="L606" s="35">
        <f t="shared" si="153"/>
        <v>0</v>
      </c>
      <c r="M606" s="35">
        <f t="shared" si="152"/>
        <v>0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/>
      <c r="H607" s="42"/>
      <c r="I607" s="42"/>
      <c r="J607" s="42"/>
      <c r="K607" s="42"/>
      <c r="L607" s="35">
        <f t="shared" si="153"/>
        <v>0</v>
      </c>
      <c r="M607" s="35">
        <f t="shared" si="152"/>
        <v>0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/>
      <c r="H608" s="42"/>
      <c r="I608" s="42"/>
      <c r="J608" s="42"/>
      <c r="K608" s="42"/>
      <c r="L608" s="35">
        <f t="shared" si="153"/>
        <v>0</v>
      </c>
      <c r="M608" s="35">
        <f t="shared" si="152"/>
        <v>0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2025</v>
      </c>
      <c r="H611" s="10">
        <f>+G611</f>
        <v>2025</v>
      </c>
      <c r="I611" s="10">
        <f t="shared" ref="I611:M612" si="154">+H611</f>
        <v>2025</v>
      </c>
      <c r="J611" s="10">
        <f t="shared" si="154"/>
        <v>2025</v>
      </c>
      <c r="K611" s="10">
        <f t="shared" si="154"/>
        <v>2025</v>
      </c>
      <c r="L611" s="10">
        <f t="shared" si="154"/>
        <v>2025</v>
      </c>
      <c r="M611" s="10">
        <f t="shared" si="154"/>
        <v>2025</v>
      </c>
      <c r="N611" s="11"/>
      <c r="S611" s="12" t="str">
        <f>+C611</f>
        <v>Moneni</v>
      </c>
      <c r="T611" s="13">
        <f>+L615</f>
        <v>220</v>
      </c>
      <c r="U611" s="13">
        <f>+L616+L617</f>
        <v>45</v>
      </c>
      <c r="V611" s="13">
        <f>+L618+L619</f>
        <v>175</v>
      </c>
      <c r="W611" s="13">
        <f>+L622</f>
        <v>10</v>
      </c>
      <c r="X611" s="13">
        <f>+L620</f>
        <v>0</v>
      </c>
    </row>
    <row r="612" spans="1:24" x14ac:dyDescent="0.25">
      <c r="A612" s="14"/>
      <c r="B612" s="15"/>
      <c r="C612" s="41" t="str">
        <f>+$C596</f>
        <v>December 2025</v>
      </c>
      <c r="D612" s="18"/>
      <c r="E612" s="18"/>
      <c r="F612" s="18"/>
      <c r="G612" s="20" t="str">
        <f>+$G$4</f>
        <v>December</v>
      </c>
      <c r="H612" s="20" t="str">
        <f>+G612</f>
        <v>December</v>
      </c>
      <c r="I612" s="20" t="str">
        <f t="shared" si="154"/>
        <v>December</v>
      </c>
      <c r="J612" s="20" t="str">
        <f t="shared" si="154"/>
        <v>December</v>
      </c>
      <c r="K612" s="20" t="str">
        <f t="shared" si="154"/>
        <v>December</v>
      </c>
      <c r="L612" s="20" t="str">
        <f t="shared" si="154"/>
        <v>December</v>
      </c>
      <c r="M612" s="20" t="str">
        <f t="shared" si="154"/>
        <v>December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7</v>
      </c>
      <c r="H613" s="25">
        <f>+$H$5</f>
        <v>14</v>
      </c>
      <c r="I613" s="25">
        <f>+$I$5</f>
        <v>21</v>
      </c>
      <c r="J613" s="25">
        <f>+$J$5</f>
        <v>28</v>
      </c>
      <c r="K613" s="25">
        <f>+$K$5</f>
        <v>0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>
        <f>SUM(G616:G619)</f>
        <v>75</v>
      </c>
      <c r="H615" s="31">
        <f t="shared" ref="H615:L615" si="155">SUM(H616:H619)</f>
        <v>145</v>
      </c>
      <c r="I615" s="31">
        <f t="shared" si="155"/>
        <v>0</v>
      </c>
      <c r="J615" s="31">
        <f t="shared" si="155"/>
        <v>0</v>
      </c>
      <c r="K615" s="31">
        <f t="shared" si="155"/>
        <v>0</v>
      </c>
      <c r="L615" s="31">
        <f t="shared" si="155"/>
        <v>220</v>
      </c>
      <c r="M615" s="31">
        <f>ROUND((L615/$E$1),0)</f>
        <v>55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>
        <v>3</v>
      </c>
      <c r="H616" s="42">
        <v>5</v>
      </c>
      <c r="I616" s="42"/>
      <c r="J616" s="42"/>
      <c r="K616" s="42"/>
      <c r="L616" s="35">
        <f>SUM(G616:K616)</f>
        <v>8</v>
      </c>
      <c r="M616" s="35">
        <f t="shared" ref="M616:M624" si="156">ROUND((L616/$E$1),0)</f>
        <v>2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>
        <v>16</v>
      </c>
      <c r="H617" s="42">
        <v>21</v>
      </c>
      <c r="I617" s="42"/>
      <c r="J617" s="42"/>
      <c r="K617" s="42"/>
      <c r="L617" s="35">
        <f t="shared" ref="L617:L624" si="157">SUM(G617:K617)</f>
        <v>37</v>
      </c>
      <c r="M617" s="35">
        <f t="shared" si="156"/>
        <v>9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>
        <v>21</v>
      </c>
      <c r="H618" s="42">
        <v>59</v>
      </c>
      <c r="I618" s="42"/>
      <c r="J618" s="42"/>
      <c r="K618" s="42"/>
      <c r="L618" s="35">
        <f t="shared" si="157"/>
        <v>80</v>
      </c>
      <c r="M618" s="35">
        <f t="shared" si="156"/>
        <v>20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>
        <v>35</v>
      </c>
      <c r="H619" s="43">
        <v>60</v>
      </c>
      <c r="I619" s="43"/>
      <c r="J619" s="43"/>
      <c r="K619" s="43"/>
      <c r="L619" s="31">
        <f t="shared" si="157"/>
        <v>95</v>
      </c>
      <c r="M619" s="31">
        <f t="shared" si="156"/>
        <v>24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/>
      <c r="H620" s="42"/>
      <c r="I620" s="42"/>
      <c r="J620" s="42"/>
      <c r="K620" s="42"/>
      <c r="L620" s="35">
        <f t="shared" si="157"/>
        <v>0</v>
      </c>
      <c r="M620" s="35">
        <f t="shared" si="156"/>
        <v>0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/>
      <c r="H621" s="42"/>
      <c r="I621" s="42"/>
      <c r="J621" s="42"/>
      <c r="K621" s="42"/>
      <c r="L621" s="35">
        <f t="shared" si="157"/>
        <v>0</v>
      </c>
      <c r="M621" s="35">
        <f t="shared" si="156"/>
        <v>0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>
        <v>4</v>
      </c>
      <c r="H622" s="42">
        <v>6</v>
      </c>
      <c r="I622" s="42"/>
      <c r="J622" s="42"/>
      <c r="K622" s="42"/>
      <c r="L622" s="35">
        <f t="shared" si="157"/>
        <v>10</v>
      </c>
      <c r="M622" s="35">
        <f t="shared" si="156"/>
        <v>3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/>
      <c r="H623" s="42">
        <v>47</v>
      </c>
      <c r="I623" s="42"/>
      <c r="J623" s="42"/>
      <c r="K623" s="42"/>
      <c r="L623" s="35">
        <f t="shared" si="157"/>
        <v>47</v>
      </c>
      <c r="M623" s="35">
        <f t="shared" si="156"/>
        <v>12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/>
      <c r="H624" s="42"/>
      <c r="I624" s="42"/>
      <c r="J624" s="42"/>
      <c r="K624" s="42"/>
      <c r="L624" s="35">
        <f t="shared" si="157"/>
        <v>0</v>
      </c>
      <c r="M624" s="35">
        <f t="shared" si="156"/>
        <v>0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2025</v>
      </c>
      <c r="H627" s="10">
        <f>+G627</f>
        <v>2025</v>
      </c>
      <c r="I627" s="10">
        <f t="shared" ref="I627:M628" si="158">+H627</f>
        <v>2025</v>
      </c>
      <c r="J627" s="10">
        <f t="shared" si="158"/>
        <v>2025</v>
      </c>
      <c r="K627" s="10">
        <f t="shared" si="158"/>
        <v>2025</v>
      </c>
      <c r="L627" s="10">
        <f t="shared" si="158"/>
        <v>2025</v>
      </c>
      <c r="M627" s="10">
        <f t="shared" si="158"/>
        <v>2025</v>
      </c>
      <c r="N627" s="11"/>
      <c r="S627" s="12" t="str">
        <f>+C627</f>
        <v>Mabhukwini</v>
      </c>
      <c r="T627" s="13">
        <f>+L631</f>
        <v>71</v>
      </c>
      <c r="U627" s="13">
        <f>+L632+L633</f>
        <v>20</v>
      </c>
      <c r="V627" s="13">
        <f>+L634+L635</f>
        <v>51</v>
      </c>
      <c r="W627" s="13">
        <f>+L638</f>
        <v>0</v>
      </c>
      <c r="X627" s="13">
        <f>+L636</f>
        <v>0</v>
      </c>
    </row>
    <row r="628" spans="1:24" x14ac:dyDescent="0.25">
      <c r="A628" s="14"/>
      <c r="B628" s="15"/>
      <c r="C628" s="41" t="str">
        <f>+$C612</f>
        <v>December 2025</v>
      </c>
      <c r="D628" s="18"/>
      <c r="E628" s="18"/>
      <c r="F628" s="18"/>
      <c r="G628" s="20" t="str">
        <f>+$G$4</f>
        <v>December</v>
      </c>
      <c r="H628" s="20" t="str">
        <f>+G628</f>
        <v>December</v>
      </c>
      <c r="I628" s="20" t="str">
        <f t="shared" si="158"/>
        <v>December</v>
      </c>
      <c r="J628" s="20" t="str">
        <f t="shared" si="158"/>
        <v>December</v>
      </c>
      <c r="K628" s="20" t="str">
        <f t="shared" si="158"/>
        <v>December</v>
      </c>
      <c r="L628" s="20" t="str">
        <f t="shared" si="158"/>
        <v>December</v>
      </c>
      <c r="M628" s="20" t="str">
        <f t="shared" si="158"/>
        <v>December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7</v>
      </c>
      <c r="H629" s="25">
        <f>+$H$5</f>
        <v>14</v>
      </c>
      <c r="I629" s="25">
        <f>+$I$5</f>
        <v>21</v>
      </c>
      <c r="J629" s="25">
        <f>+$J$5</f>
        <v>28</v>
      </c>
      <c r="K629" s="25">
        <f>+$K$5</f>
        <v>0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>
        <f>SUM(G632:G635)</f>
        <v>30</v>
      </c>
      <c r="H631" s="31">
        <f t="shared" ref="H631:L631" si="159">SUM(H632:H635)</f>
        <v>41</v>
      </c>
      <c r="I631" s="31">
        <f t="shared" si="159"/>
        <v>0</v>
      </c>
      <c r="J631" s="31">
        <f t="shared" si="159"/>
        <v>0</v>
      </c>
      <c r="K631" s="31">
        <f t="shared" si="159"/>
        <v>0</v>
      </c>
      <c r="L631" s="31">
        <f t="shared" si="159"/>
        <v>71</v>
      </c>
      <c r="M631" s="31">
        <f>ROUND((L631/$E$1),0)</f>
        <v>18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>
        <v>2</v>
      </c>
      <c r="H632" s="42">
        <v>3</v>
      </c>
      <c r="I632" s="42"/>
      <c r="J632" s="42"/>
      <c r="K632" s="42"/>
      <c r="L632" s="35">
        <f>SUM(G632:K632)</f>
        <v>5</v>
      </c>
      <c r="M632" s="35">
        <f t="shared" ref="M632:M640" si="160">ROUND((L632/$E$1),0)</f>
        <v>1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>
        <v>7</v>
      </c>
      <c r="H633" s="42">
        <v>8</v>
      </c>
      <c r="I633" s="42"/>
      <c r="J633" s="42"/>
      <c r="K633" s="42"/>
      <c r="L633" s="35">
        <f t="shared" ref="L633:L640" si="161">SUM(G633:K633)</f>
        <v>15</v>
      </c>
      <c r="M633" s="35">
        <f t="shared" si="160"/>
        <v>4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>
        <v>5</v>
      </c>
      <c r="H634" s="42">
        <v>5</v>
      </c>
      <c r="I634" s="42"/>
      <c r="J634" s="42"/>
      <c r="K634" s="42"/>
      <c r="L634" s="35">
        <f t="shared" si="161"/>
        <v>10</v>
      </c>
      <c r="M634" s="35">
        <f t="shared" si="160"/>
        <v>3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>
        <v>16</v>
      </c>
      <c r="H635" s="43">
        <v>25</v>
      </c>
      <c r="I635" s="43"/>
      <c r="J635" s="43"/>
      <c r="K635" s="43"/>
      <c r="L635" s="31">
        <f t="shared" si="161"/>
        <v>41</v>
      </c>
      <c r="M635" s="31">
        <f t="shared" si="160"/>
        <v>10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/>
      <c r="H636" s="42"/>
      <c r="I636" s="42"/>
      <c r="J636" s="42"/>
      <c r="K636" s="42"/>
      <c r="L636" s="35">
        <f t="shared" si="161"/>
        <v>0</v>
      </c>
      <c r="M636" s="35">
        <f t="shared" si="160"/>
        <v>0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/>
      <c r="H637" s="42"/>
      <c r="I637" s="42"/>
      <c r="J637" s="42"/>
      <c r="K637" s="42"/>
      <c r="L637" s="35">
        <f t="shared" si="161"/>
        <v>0</v>
      </c>
      <c r="M637" s="35">
        <f t="shared" si="160"/>
        <v>0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/>
      <c r="H638" s="42"/>
      <c r="I638" s="42"/>
      <c r="J638" s="42"/>
      <c r="K638" s="42"/>
      <c r="L638" s="35">
        <f t="shared" si="161"/>
        <v>0</v>
      </c>
      <c r="M638" s="35">
        <f t="shared" si="160"/>
        <v>0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/>
      <c r="H639" s="42"/>
      <c r="I639" s="42"/>
      <c r="J639" s="42"/>
      <c r="K639" s="42"/>
      <c r="L639" s="35">
        <f t="shared" si="161"/>
        <v>0</v>
      </c>
      <c r="M639" s="35">
        <f t="shared" si="160"/>
        <v>0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/>
      <c r="H640" s="42"/>
      <c r="I640" s="42"/>
      <c r="J640" s="42"/>
      <c r="K640" s="42"/>
      <c r="L640" s="35">
        <f t="shared" si="161"/>
        <v>0</v>
      </c>
      <c r="M640" s="35">
        <f t="shared" si="160"/>
        <v>0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98</v>
      </c>
      <c r="D643" s="7"/>
      <c r="E643" s="8"/>
      <c r="F643" s="8"/>
      <c r="G643" s="10">
        <f>+$G$3</f>
        <v>2025</v>
      </c>
      <c r="H643" s="10">
        <f>+G643</f>
        <v>2025</v>
      </c>
      <c r="I643" s="10">
        <f t="shared" ref="I643:M644" si="162">+H643</f>
        <v>2025</v>
      </c>
      <c r="J643" s="10">
        <f t="shared" si="162"/>
        <v>2025</v>
      </c>
      <c r="K643" s="10">
        <f t="shared" si="162"/>
        <v>2025</v>
      </c>
      <c r="L643" s="10">
        <f t="shared" si="162"/>
        <v>2025</v>
      </c>
      <c r="M643" s="10">
        <f t="shared" si="162"/>
        <v>2025</v>
      </c>
      <c r="N643" s="11"/>
      <c r="S643" s="12" t="str">
        <f>+C643</f>
        <v>Phuzweni</v>
      </c>
      <c r="T643" s="13">
        <f>+L647</f>
        <v>41</v>
      </c>
      <c r="U643" s="13">
        <f>+L648+L649</f>
        <v>14</v>
      </c>
      <c r="V643" s="13">
        <f>+L650+L651</f>
        <v>27</v>
      </c>
      <c r="W643" s="13">
        <f>+L654</f>
        <v>4</v>
      </c>
      <c r="X643" s="13">
        <f>+L652</f>
        <v>0</v>
      </c>
    </row>
    <row r="644" spans="1:24" x14ac:dyDescent="0.25">
      <c r="A644" s="14"/>
      <c r="B644" s="15"/>
      <c r="C644" s="41" t="str">
        <f>+$C628</f>
        <v>December 2025</v>
      </c>
      <c r="D644" s="18"/>
      <c r="E644" s="18"/>
      <c r="F644" s="18"/>
      <c r="G644" s="20" t="str">
        <f>+$G$4</f>
        <v>December</v>
      </c>
      <c r="H644" s="20" t="str">
        <f>+G644</f>
        <v>December</v>
      </c>
      <c r="I644" s="20" t="str">
        <f t="shared" si="162"/>
        <v>December</v>
      </c>
      <c r="J644" s="20" t="str">
        <f t="shared" si="162"/>
        <v>December</v>
      </c>
      <c r="K644" s="20" t="str">
        <f t="shared" si="162"/>
        <v>December</v>
      </c>
      <c r="L644" s="20" t="str">
        <f t="shared" si="162"/>
        <v>December</v>
      </c>
      <c r="M644" s="20" t="str">
        <f t="shared" si="162"/>
        <v>December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7</v>
      </c>
      <c r="H645" s="25">
        <f>+$H$5</f>
        <v>14</v>
      </c>
      <c r="I645" s="25">
        <f>+$I$5</f>
        <v>21</v>
      </c>
      <c r="J645" s="25">
        <f>+$J$5</f>
        <v>28</v>
      </c>
      <c r="K645" s="25">
        <f>+$K$5</f>
        <v>0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>
        <f>SUM(G648:G651)</f>
        <v>35</v>
      </c>
      <c r="H647" s="31">
        <f t="shared" ref="H647:L647" si="163">SUM(H648:H651)</f>
        <v>6</v>
      </c>
      <c r="I647" s="31">
        <f t="shared" si="163"/>
        <v>0</v>
      </c>
      <c r="J647" s="31">
        <f t="shared" si="163"/>
        <v>0</v>
      </c>
      <c r="K647" s="31">
        <f t="shared" si="163"/>
        <v>0</v>
      </c>
      <c r="L647" s="31">
        <f t="shared" si="163"/>
        <v>41</v>
      </c>
      <c r="M647" s="31">
        <f>ROUND((L647/$E$1),0)</f>
        <v>10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>
        <v>3</v>
      </c>
      <c r="H648" s="42">
        <v>2</v>
      </c>
      <c r="I648" s="42"/>
      <c r="J648" s="42"/>
      <c r="K648" s="42"/>
      <c r="L648" s="35">
        <f>SUM(G648:K648)</f>
        <v>5</v>
      </c>
      <c r="M648" s="35">
        <f t="shared" ref="M648:M656" si="164">ROUND((L648/$E$1),0)</f>
        <v>1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>
        <v>8</v>
      </c>
      <c r="H649" s="42">
        <v>1</v>
      </c>
      <c r="I649" s="42"/>
      <c r="J649" s="42"/>
      <c r="K649" s="42"/>
      <c r="L649" s="35">
        <f t="shared" ref="L649:L656" si="165">SUM(G649:K649)</f>
        <v>9</v>
      </c>
      <c r="M649" s="35">
        <f t="shared" si="164"/>
        <v>2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>
        <v>5</v>
      </c>
      <c r="H650" s="42">
        <v>1</v>
      </c>
      <c r="I650" s="42"/>
      <c r="J650" s="42"/>
      <c r="K650" s="42"/>
      <c r="L650" s="35">
        <f t="shared" si="165"/>
        <v>6</v>
      </c>
      <c r="M650" s="35">
        <f t="shared" si="164"/>
        <v>2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>
        <v>19</v>
      </c>
      <c r="H651" s="43">
        <v>2</v>
      </c>
      <c r="I651" s="43"/>
      <c r="J651" s="43"/>
      <c r="K651" s="43"/>
      <c r="L651" s="31">
        <f t="shared" si="165"/>
        <v>21</v>
      </c>
      <c r="M651" s="31">
        <f t="shared" si="164"/>
        <v>5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/>
      <c r="H652" s="42"/>
      <c r="I652" s="42"/>
      <c r="J652" s="42"/>
      <c r="K652" s="42"/>
      <c r="L652" s="35">
        <f t="shared" si="165"/>
        <v>0</v>
      </c>
      <c r="M652" s="35">
        <f t="shared" si="164"/>
        <v>0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/>
      <c r="H653" s="42"/>
      <c r="I653" s="42"/>
      <c r="J653" s="42"/>
      <c r="K653" s="42"/>
      <c r="L653" s="35">
        <f t="shared" si="165"/>
        <v>0</v>
      </c>
      <c r="M653" s="35">
        <f t="shared" si="164"/>
        <v>0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>
        <v>1</v>
      </c>
      <c r="H654" s="42">
        <v>3</v>
      </c>
      <c r="I654" s="42"/>
      <c r="J654" s="42"/>
      <c r="K654" s="42"/>
      <c r="L654" s="35">
        <f t="shared" si="165"/>
        <v>4</v>
      </c>
      <c r="M654" s="35">
        <f t="shared" si="164"/>
        <v>1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/>
      <c r="H655" s="42"/>
      <c r="I655" s="42"/>
      <c r="J655" s="42"/>
      <c r="K655" s="42"/>
      <c r="L655" s="35">
        <f t="shared" si="165"/>
        <v>0</v>
      </c>
      <c r="M655" s="35">
        <f t="shared" si="164"/>
        <v>0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/>
      <c r="H656" s="42"/>
      <c r="I656" s="42"/>
      <c r="J656" s="42"/>
      <c r="K656" s="42"/>
      <c r="L656" s="35">
        <f t="shared" si="165"/>
        <v>0</v>
      </c>
      <c r="M656" s="35">
        <f t="shared" si="164"/>
        <v>0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108</v>
      </c>
      <c r="D659" s="7"/>
      <c r="E659" s="8"/>
      <c r="F659" s="8"/>
      <c r="G659" s="10">
        <f>+$G$3</f>
        <v>2025</v>
      </c>
      <c r="H659" s="10">
        <f>+G659</f>
        <v>2025</v>
      </c>
      <c r="I659" s="10">
        <f t="shared" ref="I659:M660" si="166">+H659</f>
        <v>2025</v>
      </c>
      <c r="J659" s="10">
        <f t="shared" si="166"/>
        <v>2025</v>
      </c>
      <c r="K659" s="10">
        <f t="shared" si="166"/>
        <v>2025</v>
      </c>
      <c r="L659" s="10">
        <f t="shared" si="166"/>
        <v>2025</v>
      </c>
      <c r="M659" s="10">
        <f t="shared" si="166"/>
        <v>2025</v>
      </c>
      <c r="N659" s="11"/>
      <c r="P659" s="50"/>
      <c r="S659" s="12" t="str">
        <f>+C659</f>
        <v>Nsingweni</v>
      </c>
      <c r="T659" s="13">
        <f>+L663</f>
        <v>85</v>
      </c>
      <c r="U659" s="13">
        <f>+L664+L665</f>
        <v>3</v>
      </c>
      <c r="V659" s="13">
        <f>+L666+L667</f>
        <v>82</v>
      </c>
      <c r="W659" s="13">
        <f>+L670</f>
        <v>0</v>
      </c>
      <c r="X659" s="13">
        <f>+L668</f>
        <v>0</v>
      </c>
    </row>
    <row r="660" spans="1:24" x14ac:dyDescent="0.25">
      <c r="A660" s="14"/>
      <c r="B660" s="15"/>
      <c r="C660" s="41" t="str">
        <f>+$C644</f>
        <v>December 2025</v>
      </c>
      <c r="D660" s="18"/>
      <c r="E660" s="18"/>
      <c r="F660" s="18"/>
      <c r="G660" s="20" t="str">
        <f>+$G$4</f>
        <v>December</v>
      </c>
      <c r="H660" s="20" t="str">
        <f>+G660</f>
        <v>December</v>
      </c>
      <c r="I660" s="20" t="str">
        <f t="shared" si="166"/>
        <v>December</v>
      </c>
      <c r="J660" s="20" t="str">
        <f t="shared" si="166"/>
        <v>December</v>
      </c>
      <c r="K660" s="20" t="str">
        <f t="shared" si="166"/>
        <v>December</v>
      </c>
      <c r="L660" s="20" t="str">
        <f t="shared" si="166"/>
        <v>December</v>
      </c>
      <c r="M660" s="20" t="str">
        <f t="shared" si="166"/>
        <v>December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7</v>
      </c>
      <c r="H661" s="25">
        <f>+$H$5</f>
        <v>14</v>
      </c>
      <c r="I661" s="25">
        <f>+$I$5</f>
        <v>21</v>
      </c>
      <c r="J661" s="25">
        <f>+$J$5</f>
        <v>28</v>
      </c>
      <c r="K661" s="25">
        <f>+$K$5</f>
        <v>0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>
        <f>SUM(G664:G667)</f>
        <v>49</v>
      </c>
      <c r="H663" s="31">
        <f t="shared" ref="H663:L663" si="167">SUM(H664:H667)</f>
        <v>36</v>
      </c>
      <c r="I663" s="31">
        <f t="shared" si="167"/>
        <v>0</v>
      </c>
      <c r="J663" s="31">
        <f t="shared" si="167"/>
        <v>0</v>
      </c>
      <c r="K663" s="31">
        <f t="shared" si="167"/>
        <v>0</v>
      </c>
      <c r="L663" s="31">
        <f t="shared" si="167"/>
        <v>85</v>
      </c>
      <c r="M663" s="31">
        <f>ROUND((L663/$E$1),0)</f>
        <v>21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/>
      <c r="H664" s="42"/>
      <c r="I664" s="42"/>
      <c r="J664" s="42"/>
      <c r="K664" s="42"/>
      <c r="L664" s="35">
        <f>SUM(G664:K664)</f>
        <v>0</v>
      </c>
      <c r="M664" s="35">
        <f t="shared" ref="M664:M672" si="168">ROUND((L664/$E$1),0)</f>
        <v>0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>
        <v>2</v>
      </c>
      <c r="H665" s="42">
        <v>1</v>
      </c>
      <c r="I665" s="42"/>
      <c r="J665" s="42"/>
      <c r="K665" s="42"/>
      <c r="L665" s="35">
        <f t="shared" ref="L665:L672" si="169">SUM(G665:K665)</f>
        <v>3</v>
      </c>
      <c r="M665" s="35">
        <f t="shared" si="168"/>
        <v>1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>
        <v>20</v>
      </c>
      <c r="H666" s="42">
        <v>10</v>
      </c>
      <c r="I666" s="42"/>
      <c r="J666" s="42"/>
      <c r="K666" s="42"/>
      <c r="L666" s="35">
        <f t="shared" si="169"/>
        <v>30</v>
      </c>
      <c r="M666" s="35">
        <f t="shared" si="168"/>
        <v>8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>
        <v>27</v>
      </c>
      <c r="H667" s="43">
        <v>25</v>
      </c>
      <c r="I667" s="43"/>
      <c r="J667" s="43"/>
      <c r="K667" s="43"/>
      <c r="L667" s="31">
        <f t="shared" si="169"/>
        <v>52</v>
      </c>
      <c r="M667" s="31">
        <f t="shared" si="168"/>
        <v>13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/>
      <c r="H668" s="42"/>
      <c r="I668" s="42"/>
      <c r="J668" s="42"/>
      <c r="K668" s="42"/>
      <c r="L668" s="35">
        <f t="shared" si="169"/>
        <v>0</v>
      </c>
      <c r="M668" s="35">
        <f t="shared" si="168"/>
        <v>0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/>
      <c r="H669" s="42"/>
      <c r="I669" s="42"/>
      <c r="J669" s="42"/>
      <c r="K669" s="42"/>
      <c r="L669" s="35">
        <f t="shared" si="169"/>
        <v>0</v>
      </c>
      <c r="M669" s="35">
        <f t="shared" si="168"/>
        <v>0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/>
      <c r="H670" s="42"/>
      <c r="I670" s="42"/>
      <c r="J670" s="42"/>
      <c r="K670" s="42"/>
      <c r="L670" s="35">
        <f t="shared" si="169"/>
        <v>0</v>
      </c>
      <c r="M670" s="35">
        <f t="shared" si="168"/>
        <v>0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/>
      <c r="H671" s="42">
        <v>35</v>
      </c>
      <c r="I671" s="42"/>
      <c r="J671" s="42"/>
      <c r="K671" s="42"/>
      <c r="L671" s="35">
        <f t="shared" si="169"/>
        <v>35</v>
      </c>
      <c r="M671" s="35">
        <f t="shared" si="168"/>
        <v>9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/>
      <c r="H672" s="42"/>
      <c r="I672" s="42"/>
      <c r="J672" s="42"/>
      <c r="K672" s="42"/>
      <c r="L672" s="35">
        <f t="shared" si="169"/>
        <v>0</v>
      </c>
      <c r="M672" s="35">
        <f t="shared" si="168"/>
        <v>0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109</v>
      </c>
      <c r="D675" s="7"/>
      <c r="E675" s="8"/>
      <c r="F675" s="8"/>
      <c r="G675" s="10">
        <f>+$G$3</f>
        <v>2025</v>
      </c>
      <c r="H675" s="10">
        <f>+G675</f>
        <v>2025</v>
      </c>
      <c r="I675" s="10">
        <f t="shared" ref="I675:M676" si="170">+H675</f>
        <v>2025</v>
      </c>
      <c r="J675" s="10">
        <f t="shared" si="170"/>
        <v>2025</v>
      </c>
      <c r="K675" s="10">
        <f t="shared" si="170"/>
        <v>2025</v>
      </c>
      <c r="L675" s="10">
        <f t="shared" si="170"/>
        <v>2025</v>
      </c>
      <c r="M675" s="10">
        <f t="shared" si="170"/>
        <v>2025</v>
      </c>
      <c r="N675" s="11"/>
      <c r="P675" s="50"/>
      <c r="S675" s="12" t="str">
        <f>+C675</f>
        <v>Ntontozi</v>
      </c>
      <c r="T675" s="13">
        <f>+L679</f>
        <v>150</v>
      </c>
      <c r="U675" s="13">
        <f>+L680+L681</f>
        <v>22</v>
      </c>
      <c r="V675" s="13">
        <f>+L682+L683</f>
        <v>128</v>
      </c>
      <c r="W675" s="13">
        <f>+L686</f>
        <v>0</v>
      </c>
      <c r="X675" s="13">
        <f>+L684</f>
        <v>0</v>
      </c>
    </row>
    <row r="676" spans="1:24" x14ac:dyDescent="0.25">
      <c r="A676" s="14"/>
      <c r="B676" s="15"/>
      <c r="C676" s="41" t="str">
        <f>+$C660</f>
        <v>December 2025</v>
      </c>
      <c r="D676" s="18"/>
      <c r="E676" s="18"/>
      <c r="F676" s="18"/>
      <c r="G676" s="20" t="str">
        <f>+$G$4</f>
        <v>December</v>
      </c>
      <c r="H676" s="20" t="str">
        <f>+G676</f>
        <v>December</v>
      </c>
      <c r="I676" s="20" t="str">
        <f t="shared" si="170"/>
        <v>December</v>
      </c>
      <c r="J676" s="20" t="str">
        <f t="shared" si="170"/>
        <v>December</v>
      </c>
      <c r="K676" s="20" t="str">
        <f t="shared" si="170"/>
        <v>December</v>
      </c>
      <c r="L676" s="20" t="str">
        <f t="shared" si="170"/>
        <v>December</v>
      </c>
      <c r="M676" s="20" t="str">
        <f t="shared" si="170"/>
        <v>December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7</v>
      </c>
      <c r="H677" s="25">
        <f>+$H$5</f>
        <v>14</v>
      </c>
      <c r="I677" s="25">
        <f>+$I$5</f>
        <v>21</v>
      </c>
      <c r="J677" s="25">
        <f>+$J$5</f>
        <v>28</v>
      </c>
      <c r="K677" s="25">
        <f>+$K$5</f>
        <v>0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>
        <f>SUM(G680:G683)</f>
        <v>93</v>
      </c>
      <c r="H679" s="31">
        <f t="shared" ref="H679:L679" si="171">SUM(H680:H683)</f>
        <v>57</v>
      </c>
      <c r="I679" s="31">
        <f t="shared" si="171"/>
        <v>0</v>
      </c>
      <c r="J679" s="31">
        <f t="shared" si="171"/>
        <v>0</v>
      </c>
      <c r="K679" s="31">
        <f t="shared" si="171"/>
        <v>0</v>
      </c>
      <c r="L679" s="31">
        <f t="shared" si="171"/>
        <v>150</v>
      </c>
      <c r="M679" s="31">
        <f>ROUND((L679/$E$1),0)</f>
        <v>38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>
        <v>3</v>
      </c>
      <c r="H680" s="42">
        <v>1</v>
      </c>
      <c r="I680" s="42"/>
      <c r="J680" s="42"/>
      <c r="K680" s="42"/>
      <c r="L680" s="35">
        <f>SUM(G680:K680)</f>
        <v>4</v>
      </c>
      <c r="M680" s="35">
        <f t="shared" ref="M680:M688" si="172">ROUND((L680/$E$1),0)</f>
        <v>1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>
        <v>9</v>
      </c>
      <c r="H681" s="42">
        <v>9</v>
      </c>
      <c r="I681" s="42"/>
      <c r="J681" s="42"/>
      <c r="K681" s="42"/>
      <c r="L681" s="35">
        <f t="shared" ref="L681:L688" si="173">SUM(G681:K681)</f>
        <v>18</v>
      </c>
      <c r="M681" s="35">
        <f t="shared" si="172"/>
        <v>5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>
        <v>32</v>
      </c>
      <c r="H682" s="42">
        <v>21</v>
      </c>
      <c r="I682" s="42"/>
      <c r="J682" s="42"/>
      <c r="K682" s="42"/>
      <c r="L682" s="35">
        <f t="shared" si="173"/>
        <v>53</v>
      </c>
      <c r="M682" s="35">
        <f t="shared" si="172"/>
        <v>13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>
        <v>49</v>
      </c>
      <c r="H683" s="43">
        <v>26</v>
      </c>
      <c r="I683" s="43"/>
      <c r="J683" s="43"/>
      <c r="K683" s="43"/>
      <c r="L683" s="31">
        <f t="shared" si="173"/>
        <v>75</v>
      </c>
      <c r="M683" s="31">
        <f t="shared" si="172"/>
        <v>19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/>
      <c r="H684" s="42"/>
      <c r="I684" s="42"/>
      <c r="J684" s="42"/>
      <c r="K684" s="42"/>
      <c r="L684" s="35">
        <f t="shared" si="173"/>
        <v>0</v>
      </c>
      <c r="M684" s="35">
        <f t="shared" si="172"/>
        <v>0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/>
      <c r="H685" s="42"/>
      <c r="I685" s="42"/>
      <c r="J685" s="42"/>
      <c r="K685" s="42"/>
      <c r="L685" s="35">
        <f t="shared" si="173"/>
        <v>0</v>
      </c>
      <c r="M685" s="35">
        <f t="shared" si="172"/>
        <v>0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/>
      <c r="H686" s="42"/>
      <c r="I686" s="42"/>
      <c r="J686" s="42"/>
      <c r="K686" s="42"/>
      <c r="L686" s="35">
        <f t="shared" si="173"/>
        <v>0</v>
      </c>
      <c r="M686" s="35">
        <f t="shared" si="172"/>
        <v>0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/>
      <c r="H687" s="42"/>
      <c r="I687" s="42"/>
      <c r="J687" s="42"/>
      <c r="K687" s="42"/>
      <c r="L687" s="35">
        <f t="shared" si="173"/>
        <v>0</v>
      </c>
      <c r="M687" s="35">
        <f t="shared" si="172"/>
        <v>0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/>
      <c r="H688" s="42"/>
      <c r="I688" s="42"/>
      <c r="J688" s="42"/>
      <c r="K688" s="42"/>
      <c r="L688" s="35">
        <f t="shared" si="173"/>
        <v>0</v>
      </c>
      <c r="M688" s="35">
        <f t="shared" si="172"/>
        <v>0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110</v>
      </c>
      <c r="D691" s="7"/>
      <c r="E691" s="8"/>
      <c r="F691" s="8"/>
      <c r="G691" s="10">
        <f>+$G$3</f>
        <v>2025</v>
      </c>
      <c r="H691" s="10">
        <f>+G691</f>
        <v>2025</v>
      </c>
      <c r="I691" s="10">
        <f t="shared" ref="I691:M692" si="174">+H691</f>
        <v>2025</v>
      </c>
      <c r="J691" s="10">
        <f t="shared" si="174"/>
        <v>2025</v>
      </c>
      <c r="K691" s="10">
        <f t="shared" si="174"/>
        <v>2025</v>
      </c>
      <c r="L691" s="10">
        <f t="shared" si="174"/>
        <v>2025</v>
      </c>
      <c r="M691" s="10">
        <f t="shared" si="174"/>
        <v>2025</v>
      </c>
      <c r="N691" s="11"/>
      <c r="P691" s="51"/>
      <c r="S691" s="12" t="str">
        <f>+C691</f>
        <v>Nyamane</v>
      </c>
      <c r="T691" s="13">
        <f>+L695</f>
        <v>131</v>
      </c>
      <c r="U691" s="13">
        <f>+L696+L697</f>
        <v>54</v>
      </c>
      <c r="V691" s="13">
        <f>+L698+L699</f>
        <v>77</v>
      </c>
      <c r="W691" s="13">
        <f>+L702</f>
        <v>0</v>
      </c>
      <c r="X691" s="13">
        <f>+L700</f>
        <v>7</v>
      </c>
    </row>
    <row r="692" spans="1:24" x14ac:dyDescent="0.25">
      <c r="A692" s="14"/>
      <c r="B692" s="15"/>
      <c r="C692" s="41" t="str">
        <f>+$C676</f>
        <v>December 2025</v>
      </c>
      <c r="D692" s="18"/>
      <c r="E692" s="18"/>
      <c r="F692" s="18"/>
      <c r="G692" s="20" t="str">
        <f>+$G$4</f>
        <v>December</v>
      </c>
      <c r="H692" s="20" t="str">
        <f>+G692</f>
        <v>December</v>
      </c>
      <c r="I692" s="20" t="str">
        <f t="shared" si="174"/>
        <v>December</v>
      </c>
      <c r="J692" s="20" t="str">
        <f t="shared" si="174"/>
        <v>December</v>
      </c>
      <c r="K692" s="20" t="str">
        <f t="shared" si="174"/>
        <v>December</v>
      </c>
      <c r="L692" s="20" t="str">
        <f t="shared" si="174"/>
        <v>December</v>
      </c>
      <c r="M692" s="20" t="str">
        <f t="shared" si="174"/>
        <v>December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7</v>
      </c>
      <c r="H693" s="25">
        <f>+$H$5</f>
        <v>14</v>
      </c>
      <c r="I693" s="25">
        <f>+$I$5</f>
        <v>21</v>
      </c>
      <c r="J693" s="25">
        <f>+$J$5</f>
        <v>28</v>
      </c>
      <c r="K693" s="25">
        <f>+$K$5</f>
        <v>0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>
        <f>SUM(G696:G699)</f>
        <v>65</v>
      </c>
      <c r="H695" s="31">
        <f t="shared" ref="H695:L695" si="175">SUM(H696:H699)</f>
        <v>66</v>
      </c>
      <c r="I695" s="31">
        <f t="shared" si="175"/>
        <v>0</v>
      </c>
      <c r="J695" s="31">
        <f t="shared" si="175"/>
        <v>0</v>
      </c>
      <c r="K695" s="31">
        <f t="shared" si="175"/>
        <v>0</v>
      </c>
      <c r="L695" s="31">
        <f t="shared" si="175"/>
        <v>131</v>
      </c>
      <c r="M695" s="31">
        <f>ROUND((L695/$E$1),0)</f>
        <v>33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>
        <v>4</v>
      </c>
      <c r="H696" s="42">
        <v>4</v>
      </c>
      <c r="I696" s="42"/>
      <c r="J696" s="42"/>
      <c r="K696" s="42"/>
      <c r="L696" s="35">
        <f>SUM(G696:K696)</f>
        <v>8</v>
      </c>
      <c r="M696" s="35">
        <f t="shared" ref="M696:M704" si="176">ROUND((L696/$E$1),0)</f>
        <v>2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>
        <v>20</v>
      </c>
      <c r="H697" s="42">
        <v>26</v>
      </c>
      <c r="I697" s="42"/>
      <c r="J697" s="42"/>
      <c r="K697" s="42"/>
      <c r="L697" s="35">
        <f t="shared" ref="L697:L704" si="177">SUM(G697:K697)</f>
        <v>46</v>
      </c>
      <c r="M697" s="35">
        <f t="shared" si="176"/>
        <v>12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>
        <v>9</v>
      </c>
      <c r="H698" s="42">
        <v>10</v>
      </c>
      <c r="I698" s="42"/>
      <c r="J698" s="42"/>
      <c r="K698" s="42"/>
      <c r="L698" s="35">
        <f t="shared" si="177"/>
        <v>19</v>
      </c>
      <c r="M698" s="35">
        <f t="shared" si="176"/>
        <v>5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>
        <v>32</v>
      </c>
      <c r="H699" s="43">
        <v>26</v>
      </c>
      <c r="I699" s="43"/>
      <c r="J699" s="43"/>
      <c r="K699" s="43"/>
      <c r="L699" s="31">
        <f t="shared" si="177"/>
        <v>58</v>
      </c>
      <c r="M699" s="31">
        <f t="shared" si="176"/>
        <v>15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>
        <v>5</v>
      </c>
      <c r="H700" s="42">
        <v>2</v>
      </c>
      <c r="I700" s="42"/>
      <c r="J700" s="42"/>
      <c r="K700" s="42"/>
      <c r="L700" s="35">
        <f t="shared" si="177"/>
        <v>7</v>
      </c>
      <c r="M700" s="35">
        <f t="shared" si="176"/>
        <v>2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/>
      <c r="H701" s="42"/>
      <c r="I701" s="42"/>
      <c r="J701" s="42"/>
      <c r="K701" s="42"/>
      <c r="L701" s="35">
        <f t="shared" si="177"/>
        <v>0</v>
      </c>
      <c r="M701" s="35">
        <f t="shared" si="176"/>
        <v>0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/>
      <c r="H702" s="42"/>
      <c r="I702" s="42"/>
      <c r="J702" s="42"/>
      <c r="K702" s="42"/>
      <c r="L702" s="35">
        <f t="shared" si="177"/>
        <v>0</v>
      </c>
      <c r="M702" s="35">
        <f t="shared" si="176"/>
        <v>0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/>
      <c r="H703" s="42"/>
      <c r="I703" s="42"/>
      <c r="J703" s="42"/>
      <c r="K703" s="42"/>
      <c r="L703" s="35">
        <f t="shared" si="177"/>
        <v>0</v>
      </c>
      <c r="M703" s="35">
        <f t="shared" si="176"/>
        <v>0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/>
      <c r="H704" s="42"/>
      <c r="I704" s="42"/>
      <c r="J704" s="42"/>
      <c r="K704" s="42"/>
      <c r="L704" s="35">
        <f t="shared" si="177"/>
        <v>0</v>
      </c>
      <c r="M704" s="35">
        <f t="shared" si="176"/>
        <v>0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111</v>
      </c>
      <c r="D707" s="7"/>
      <c r="E707" s="8"/>
      <c r="F707" s="8"/>
      <c r="G707" s="10">
        <f>+$G$3</f>
        <v>2025</v>
      </c>
      <c r="H707" s="10">
        <f>+G707</f>
        <v>2025</v>
      </c>
      <c r="I707" s="10">
        <f t="shared" ref="I707:M708" si="178">+H707</f>
        <v>2025</v>
      </c>
      <c r="J707" s="10">
        <f t="shared" si="178"/>
        <v>2025</v>
      </c>
      <c r="K707" s="10">
        <f t="shared" si="178"/>
        <v>2025</v>
      </c>
      <c r="L707" s="10">
        <f t="shared" si="178"/>
        <v>2025</v>
      </c>
      <c r="M707" s="10">
        <f t="shared" si="178"/>
        <v>2025</v>
      </c>
      <c r="N707" s="11"/>
      <c r="P707" s="51"/>
      <c r="S707" s="12" t="str">
        <f>+C707</f>
        <v>Nyakeni</v>
      </c>
      <c r="T707" s="13">
        <f>+L711</f>
        <v>52</v>
      </c>
      <c r="U707" s="13">
        <f>+L712+L713</f>
        <v>14</v>
      </c>
      <c r="V707" s="13">
        <f>+L714+L715</f>
        <v>38</v>
      </c>
      <c r="W707" s="13">
        <f>+L718</f>
        <v>6</v>
      </c>
      <c r="X707" s="13">
        <f>+L716</f>
        <v>0</v>
      </c>
    </row>
    <row r="708" spans="1:24" x14ac:dyDescent="0.25">
      <c r="A708" s="14"/>
      <c r="B708" s="15"/>
      <c r="C708" s="41" t="str">
        <f>+$C692</f>
        <v>December 2025</v>
      </c>
      <c r="D708" s="18"/>
      <c r="E708" s="18"/>
      <c r="F708" s="18"/>
      <c r="G708" s="20" t="str">
        <f>+$G$4</f>
        <v>December</v>
      </c>
      <c r="H708" s="20" t="str">
        <f>+G708</f>
        <v>December</v>
      </c>
      <c r="I708" s="20" t="str">
        <f t="shared" si="178"/>
        <v>December</v>
      </c>
      <c r="J708" s="20" t="str">
        <f t="shared" si="178"/>
        <v>December</v>
      </c>
      <c r="K708" s="20" t="str">
        <f t="shared" si="178"/>
        <v>December</v>
      </c>
      <c r="L708" s="20" t="str">
        <f t="shared" si="178"/>
        <v>December</v>
      </c>
      <c r="M708" s="20" t="str">
        <f t="shared" si="178"/>
        <v>December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7</v>
      </c>
      <c r="H709" s="25">
        <f>+$H$5</f>
        <v>14</v>
      </c>
      <c r="I709" s="25">
        <f>+$I$5</f>
        <v>21</v>
      </c>
      <c r="J709" s="25">
        <f>+$J$5</f>
        <v>28</v>
      </c>
      <c r="K709" s="25">
        <f>+$K$5</f>
        <v>0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>
        <f>SUM(G712:G715)</f>
        <v>17</v>
      </c>
      <c r="H711" s="31">
        <f t="shared" ref="H711:L711" si="179">SUM(H712:H715)</f>
        <v>35</v>
      </c>
      <c r="I711" s="31">
        <f t="shared" si="179"/>
        <v>0</v>
      </c>
      <c r="J711" s="31">
        <f t="shared" si="179"/>
        <v>0</v>
      </c>
      <c r="K711" s="31">
        <f t="shared" si="179"/>
        <v>0</v>
      </c>
      <c r="L711" s="31">
        <f t="shared" si="179"/>
        <v>52</v>
      </c>
      <c r="M711" s="31">
        <f>ROUND((L711/$E$1),0)</f>
        <v>13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>
        <v>3</v>
      </c>
      <c r="H712" s="42">
        <v>2</v>
      </c>
      <c r="I712" s="42"/>
      <c r="J712" s="42"/>
      <c r="K712" s="42"/>
      <c r="L712" s="35">
        <f>SUM(G712:K712)</f>
        <v>5</v>
      </c>
      <c r="M712" s="35">
        <f t="shared" ref="M712:M720" si="180">ROUND((L712/$E$1),0)</f>
        <v>1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>
        <v>4</v>
      </c>
      <c r="H713" s="42">
        <v>5</v>
      </c>
      <c r="I713" s="42"/>
      <c r="J713" s="42"/>
      <c r="K713" s="42"/>
      <c r="L713" s="35">
        <f t="shared" ref="L713:L720" si="181">SUM(G713:K713)</f>
        <v>9</v>
      </c>
      <c r="M713" s="35">
        <f t="shared" si="180"/>
        <v>2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>
        <v>4</v>
      </c>
      <c r="H714" s="42">
        <v>15</v>
      </c>
      <c r="I714" s="42"/>
      <c r="J714" s="42"/>
      <c r="K714" s="42"/>
      <c r="L714" s="35">
        <f t="shared" si="181"/>
        <v>19</v>
      </c>
      <c r="M714" s="35">
        <f t="shared" si="180"/>
        <v>5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>
        <v>6</v>
      </c>
      <c r="H715" s="43">
        <v>13</v>
      </c>
      <c r="I715" s="43"/>
      <c r="J715" s="43"/>
      <c r="K715" s="43"/>
      <c r="L715" s="31">
        <f t="shared" si="181"/>
        <v>19</v>
      </c>
      <c r="M715" s="31">
        <f t="shared" si="180"/>
        <v>5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/>
      <c r="H716" s="42"/>
      <c r="I716" s="42"/>
      <c r="J716" s="42"/>
      <c r="K716" s="42"/>
      <c r="L716" s="35">
        <f t="shared" si="181"/>
        <v>0</v>
      </c>
      <c r="M716" s="35">
        <f t="shared" si="180"/>
        <v>0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/>
      <c r="H717" s="42"/>
      <c r="I717" s="42"/>
      <c r="J717" s="42"/>
      <c r="K717" s="42"/>
      <c r="L717" s="35">
        <f t="shared" si="181"/>
        <v>0</v>
      </c>
      <c r="M717" s="35">
        <f t="shared" si="180"/>
        <v>0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>
        <v>2</v>
      </c>
      <c r="H718" s="42">
        <v>4</v>
      </c>
      <c r="I718" s="42"/>
      <c r="J718" s="42"/>
      <c r="K718" s="42"/>
      <c r="L718" s="35">
        <f t="shared" si="181"/>
        <v>6</v>
      </c>
      <c r="M718" s="35">
        <f t="shared" si="180"/>
        <v>2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/>
      <c r="H719" s="42">
        <v>216</v>
      </c>
      <c r="I719" s="42"/>
      <c r="J719" s="42"/>
      <c r="K719" s="42"/>
      <c r="L719" s="35">
        <f t="shared" si="181"/>
        <v>216</v>
      </c>
      <c r="M719" s="35">
        <f t="shared" si="180"/>
        <v>54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/>
      <c r="H720" s="42"/>
      <c r="I720" s="42"/>
      <c r="J720" s="42"/>
      <c r="K720" s="42"/>
      <c r="L720" s="35">
        <f t="shared" si="181"/>
        <v>0</v>
      </c>
      <c r="M720" s="35">
        <f t="shared" si="180"/>
        <v>0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2025</v>
      </c>
      <c r="H723" s="10">
        <f>+G723</f>
        <v>2025</v>
      </c>
      <c r="I723" s="10">
        <f t="shared" ref="I723:M724" si="182">+H723</f>
        <v>2025</v>
      </c>
      <c r="J723" s="10">
        <f t="shared" si="182"/>
        <v>2025</v>
      </c>
      <c r="K723" s="10">
        <f t="shared" si="182"/>
        <v>2025</v>
      </c>
      <c r="L723" s="10">
        <f t="shared" si="182"/>
        <v>2025</v>
      </c>
      <c r="M723" s="10">
        <f t="shared" si="182"/>
        <v>2025</v>
      </c>
      <c r="N723" s="11"/>
      <c r="P723" s="51"/>
      <c r="S723" s="12" t="str">
        <f>+C723</f>
        <v>ICBC Details</v>
      </c>
      <c r="T723" s="13">
        <f>+L727</f>
        <v>0</v>
      </c>
      <c r="U723" s="13">
        <f>+L728+L729</f>
        <v>0</v>
      </c>
      <c r="V723" s="13">
        <f>+L730+L731</f>
        <v>0</v>
      </c>
      <c r="W723" s="13">
        <f>+L734</f>
        <v>0</v>
      </c>
      <c r="X723" s="13">
        <f>+L732</f>
        <v>0</v>
      </c>
    </row>
    <row r="724" spans="1:24" x14ac:dyDescent="0.25">
      <c r="A724" s="14"/>
      <c r="B724" s="15"/>
      <c r="C724" s="41" t="str">
        <f>+$C708</f>
        <v>December 2025</v>
      </c>
      <c r="D724" s="18"/>
      <c r="E724" s="18"/>
      <c r="F724" s="18"/>
      <c r="G724" s="20" t="str">
        <f>+$G$4</f>
        <v>December</v>
      </c>
      <c r="H724" s="20" t="str">
        <f>+G724</f>
        <v>December</v>
      </c>
      <c r="I724" s="20" t="str">
        <f t="shared" si="182"/>
        <v>December</v>
      </c>
      <c r="J724" s="20" t="str">
        <f t="shared" si="182"/>
        <v>December</v>
      </c>
      <c r="K724" s="20" t="str">
        <f t="shared" si="182"/>
        <v>December</v>
      </c>
      <c r="L724" s="20" t="str">
        <f t="shared" si="182"/>
        <v>December</v>
      </c>
      <c r="M724" s="20" t="str">
        <f t="shared" si="182"/>
        <v>December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7</v>
      </c>
      <c r="H725" s="25">
        <f>+$H$5</f>
        <v>14</v>
      </c>
      <c r="I725" s="25">
        <f>+$I$5</f>
        <v>21</v>
      </c>
      <c r="J725" s="25">
        <f>+$J$5</f>
        <v>28</v>
      </c>
      <c r="K725" s="25">
        <f>+$K$5</f>
        <v>0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>
        <f>SUM(G728:G731)</f>
        <v>0</v>
      </c>
      <c r="H727" s="31">
        <f t="shared" ref="H727:L727" si="183">SUM(H728:H731)</f>
        <v>0</v>
      </c>
      <c r="I727" s="31">
        <f t="shared" si="183"/>
        <v>0</v>
      </c>
      <c r="J727" s="31">
        <f t="shared" si="183"/>
        <v>0</v>
      </c>
      <c r="K727" s="31">
        <f t="shared" si="183"/>
        <v>0</v>
      </c>
      <c r="L727" s="31">
        <f t="shared" si="183"/>
        <v>0</v>
      </c>
      <c r="M727" s="31">
        <f>ROUND((L727/$E$1),0)</f>
        <v>0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/>
      <c r="H728" s="42"/>
      <c r="I728" s="42"/>
      <c r="J728" s="42"/>
      <c r="K728" s="42"/>
      <c r="L728" s="35">
        <f>SUM(G728:K728)</f>
        <v>0</v>
      </c>
      <c r="M728" s="35">
        <f t="shared" ref="M728:M736" si="184">ROUND((L728/$E$1),0)</f>
        <v>0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/>
      <c r="H729" s="42"/>
      <c r="I729" s="42"/>
      <c r="J729" s="42"/>
      <c r="K729" s="42"/>
      <c r="L729" s="35">
        <f t="shared" ref="L729:L736" si="185">SUM(G729:K729)</f>
        <v>0</v>
      </c>
      <c r="M729" s="35">
        <f t="shared" si="184"/>
        <v>0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/>
      <c r="H730" s="42"/>
      <c r="I730" s="42"/>
      <c r="J730" s="42"/>
      <c r="K730" s="42"/>
      <c r="L730" s="35">
        <f t="shared" si="185"/>
        <v>0</v>
      </c>
      <c r="M730" s="35">
        <f t="shared" si="184"/>
        <v>0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/>
      <c r="H731" s="43"/>
      <c r="I731" s="43"/>
      <c r="J731" s="43"/>
      <c r="K731" s="43"/>
      <c r="L731" s="31">
        <f t="shared" si="185"/>
        <v>0</v>
      </c>
      <c r="M731" s="31">
        <f t="shared" si="184"/>
        <v>0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/>
      <c r="H732" s="42"/>
      <c r="I732" s="42"/>
      <c r="J732" s="42"/>
      <c r="K732" s="42"/>
      <c r="L732" s="35">
        <f t="shared" si="185"/>
        <v>0</v>
      </c>
      <c r="M732" s="35">
        <f t="shared" si="184"/>
        <v>0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/>
      <c r="H733" s="42"/>
      <c r="I733" s="42"/>
      <c r="J733" s="42"/>
      <c r="K733" s="42"/>
      <c r="L733" s="35">
        <f t="shared" si="185"/>
        <v>0</v>
      </c>
      <c r="M733" s="35">
        <f t="shared" si="184"/>
        <v>0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/>
      <c r="H734" s="42"/>
      <c r="I734" s="42"/>
      <c r="J734" s="42"/>
      <c r="K734" s="42"/>
      <c r="L734" s="35">
        <f t="shared" si="185"/>
        <v>0</v>
      </c>
      <c r="M734" s="35">
        <f t="shared" si="184"/>
        <v>0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/>
      <c r="H735" s="42"/>
      <c r="I735" s="42"/>
      <c r="J735" s="42"/>
      <c r="K735" s="42"/>
      <c r="L735" s="35">
        <f t="shared" si="185"/>
        <v>0</v>
      </c>
      <c r="M735" s="35">
        <f t="shared" si="184"/>
        <v>0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/>
      <c r="H736" s="42"/>
      <c r="I736" s="42"/>
      <c r="J736" s="42"/>
      <c r="K736" s="42"/>
      <c r="L736" s="35">
        <f t="shared" si="185"/>
        <v>0</v>
      </c>
      <c r="M736" s="35">
        <f t="shared" si="184"/>
        <v>0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2025</v>
      </c>
      <c r="H739" s="10">
        <f>+G739</f>
        <v>2025</v>
      </c>
      <c r="I739" s="10">
        <f t="shared" ref="I739:M740" si="186">+H739</f>
        <v>2025</v>
      </c>
      <c r="J739" s="10">
        <f t="shared" si="186"/>
        <v>2025</v>
      </c>
      <c r="K739" s="10">
        <f t="shared" si="186"/>
        <v>2025</v>
      </c>
      <c r="L739" s="10">
        <f t="shared" si="186"/>
        <v>2025</v>
      </c>
      <c r="M739" s="10">
        <f t="shared" si="186"/>
        <v>2025</v>
      </c>
      <c r="N739" s="11"/>
      <c r="P739" s="51"/>
      <c r="S739" s="12" t="str">
        <f>+C739</f>
        <v>ICBC Details</v>
      </c>
      <c r="T739" s="13">
        <f>+L743</f>
        <v>0</v>
      </c>
      <c r="U739" s="13">
        <f>+L744+L745</f>
        <v>0</v>
      </c>
      <c r="V739" s="13">
        <f>+L746+L747</f>
        <v>0</v>
      </c>
      <c r="W739" s="13">
        <f>+L750</f>
        <v>0</v>
      </c>
      <c r="X739" s="13">
        <f>+L748</f>
        <v>0</v>
      </c>
    </row>
    <row r="740" spans="1:24" x14ac:dyDescent="0.25">
      <c r="A740" s="14"/>
      <c r="B740" s="15"/>
      <c r="C740" s="41" t="str">
        <f>+$C724</f>
        <v>December 2025</v>
      </c>
      <c r="D740" s="18"/>
      <c r="E740" s="18"/>
      <c r="F740" s="18"/>
      <c r="G740" s="20" t="str">
        <f>+$G$4</f>
        <v>December</v>
      </c>
      <c r="H740" s="20" t="str">
        <f>+G740</f>
        <v>December</v>
      </c>
      <c r="I740" s="20" t="str">
        <f t="shared" si="186"/>
        <v>December</v>
      </c>
      <c r="J740" s="20" t="str">
        <f t="shared" si="186"/>
        <v>December</v>
      </c>
      <c r="K740" s="20" t="str">
        <f t="shared" si="186"/>
        <v>December</v>
      </c>
      <c r="L740" s="20" t="str">
        <f t="shared" si="186"/>
        <v>December</v>
      </c>
      <c r="M740" s="20" t="str">
        <f t="shared" si="186"/>
        <v>December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7</v>
      </c>
      <c r="H741" s="25">
        <f>+$H$5</f>
        <v>14</v>
      </c>
      <c r="I741" s="25">
        <f>+$I$5</f>
        <v>21</v>
      </c>
      <c r="J741" s="25">
        <f>+$J$5</f>
        <v>28</v>
      </c>
      <c r="K741" s="25">
        <f>+$K$5</f>
        <v>0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>
        <f>SUM(G744:G747)</f>
        <v>0</v>
      </c>
      <c r="H743" s="31">
        <f t="shared" ref="H743:L743" si="187">SUM(H744:H747)</f>
        <v>0</v>
      </c>
      <c r="I743" s="31">
        <f t="shared" si="187"/>
        <v>0</v>
      </c>
      <c r="J743" s="31">
        <f t="shared" si="187"/>
        <v>0</v>
      </c>
      <c r="K743" s="31">
        <f t="shared" si="187"/>
        <v>0</v>
      </c>
      <c r="L743" s="31">
        <f t="shared" si="187"/>
        <v>0</v>
      </c>
      <c r="M743" s="31">
        <f>ROUND((L743/$E$1),0)</f>
        <v>0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/>
      <c r="H744" s="42"/>
      <c r="I744" s="42"/>
      <c r="J744" s="42"/>
      <c r="K744" s="42"/>
      <c r="L744" s="35">
        <f>SUM(G744:K744)</f>
        <v>0</v>
      </c>
      <c r="M744" s="35">
        <f t="shared" ref="M744:M752" si="188">ROUND((L744/$E$1),0)</f>
        <v>0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/>
      <c r="H745" s="42"/>
      <c r="I745" s="42"/>
      <c r="J745" s="42"/>
      <c r="K745" s="42"/>
      <c r="L745" s="35">
        <f t="shared" ref="L745:L752" si="189">SUM(G745:K745)</f>
        <v>0</v>
      </c>
      <c r="M745" s="35">
        <f t="shared" si="188"/>
        <v>0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/>
      <c r="H746" s="42"/>
      <c r="I746" s="42"/>
      <c r="J746" s="42"/>
      <c r="K746" s="42"/>
      <c r="L746" s="35">
        <f t="shared" si="189"/>
        <v>0</v>
      </c>
      <c r="M746" s="35">
        <f t="shared" si="188"/>
        <v>0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/>
      <c r="H747" s="43"/>
      <c r="I747" s="43"/>
      <c r="J747" s="43"/>
      <c r="K747" s="43"/>
      <c r="L747" s="31">
        <f t="shared" si="189"/>
        <v>0</v>
      </c>
      <c r="M747" s="31">
        <f t="shared" si="188"/>
        <v>0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/>
      <c r="H748" s="42"/>
      <c r="I748" s="42"/>
      <c r="J748" s="42"/>
      <c r="K748" s="42"/>
      <c r="L748" s="35">
        <f t="shared" si="189"/>
        <v>0</v>
      </c>
      <c r="M748" s="35">
        <f t="shared" si="188"/>
        <v>0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/>
      <c r="H749" s="42"/>
      <c r="I749" s="42"/>
      <c r="J749" s="42"/>
      <c r="K749" s="42"/>
      <c r="L749" s="35">
        <f t="shared" si="189"/>
        <v>0</v>
      </c>
      <c r="M749" s="35">
        <f t="shared" si="188"/>
        <v>0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/>
      <c r="H750" s="42"/>
      <c r="I750" s="42"/>
      <c r="J750" s="42"/>
      <c r="K750" s="42"/>
      <c r="L750" s="35">
        <f t="shared" si="189"/>
        <v>0</v>
      </c>
      <c r="M750" s="35">
        <f t="shared" si="188"/>
        <v>0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/>
      <c r="H751" s="42"/>
      <c r="I751" s="42"/>
      <c r="J751" s="42"/>
      <c r="K751" s="42"/>
      <c r="L751" s="35">
        <f t="shared" si="189"/>
        <v>0</v>
      </c>
      <c r="M751" s="35">
        <f t="shared" si="188"/>
        <v>0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/>
      <c r="H752" s="42"/>
      <c r="I752" s="42"/>
      <c r="J752" s="42"/>
      <c r="K752" s="42"/>
      <c r="L752" s="35">
        <f t="shared" si="189"/>
        <v>0</v>
      </c>
      <c r="M752" s="35">
        <f t="shared" si="188"/>
        <v>0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2025</v>
      </c>
      <c r="H755" s="10">
        <f>+G755</f>
        <v>2025</v>
      </c>
      <c r="I755" s="10">
        <f t="shared" ref="I755:M756" si="190">+H755</f>
        <v>2025</v>
      </c>
      <c r="J755" s="10">
        <f t="shared" si="190"/>
        <v>2025</v>
      </c>
      <c r="K755" s="10">
        <f t="shared" si="190"/>
        <v>2025</v>
      </c>
      <c r="L755" s="10">
        <f t="shared" si="190"/>
        <v>2025</v>
      </c>
      <c r="M755" s="10">
        <f t="shared" si="190"/>
        <v>2025</v>
      </c>
      <c r="N755" s="11"/>
      <c r="P755" s="50"/>
      <c r="S755" s="12" t="str">
        <f>+C755</f>
        <v>ICBC Details</v>
      </c>
      <c r="T755" s="13">
        <f>+L759</f>
        <v>0</v>
      </c>
      <c r="U755" s="13">
        <f>+L760+L761</f>
        <v>0</v>
      </c>
      <c r="V755" s="13">
        <f>+L762+L763</f>
        <v>0</v>
      </c>
      <c r="W755" s="13">
        <f>+L766</f>
        <v>0</v>
      </c>
      <c r="X755" s="13">
        <f>+L764</f>
        <v>0</v>
      </c>
    </row>
    <row r="756" spans="1:24" x14ac:dyDescent="0.25">
      <c r="A756" s="14"/>
      <c r="B756" s="15"/>
      <c r="C756" s="41" t="str">
        <f>+$C740</f>
        <v>December 2025</v>
      </c>
      <c r="D756" s="18"/>
      <c r="E756" s="18"/>
      <c r="F756" s="18"/>
      <c r="G756" s="20" t="str">
        <f>+$G$4</f>
        <v>December</v>
      </c>
      <c r="H756" s="20" t="str">
        <f>+G756</f>
        <v>December</v>
      </c>
      <c r="I756" s="20" t="str">
        <f t="shared" si="190"/>
        <v>December</v>
      </c>
      <c r="J756" s="20" t="str">
        <f t="shared" si="190"/>
        <v>December</v>
      </c>
      <c r="K756" s="20" t="str">
        <f t="shared" si="190"/>
        <v>December</v>
      </c>
      <c r="L756" s="20" t="str">
        <f t="shared" si="190"/>
        <v>December</v>
      </c>
      <c r="M756" s="20" t="str">
        <f t="shared" si="190"/>
        <v>December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7</v>
      </c>
      <c r="H757" s="25">
        <f>+$H$5</f>
        <v>14</v>
      </c>
      <c r="I757" s="25">
        <f>+$I$5</f>
        <v>21</v>
      </c>
      <c r="J757" s="25">
        <f>+$J$5</f>
        <v>28</v>
      </c>
      <c r="K757" s="25">
        <f>+$K$5</f>
        <v>0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>
        <f>SUM(G760:G763)</f>
        <v>0</v>
      </c>
      <c r="H759" s="31">
        <f t="shared" ref="H759:L759" si="191">SUM(H760:H763)</f>
        <v>0</v>
      </c>
      <c r="I759" s="31">
        <f t="shared" si="191"/>
        <v>0</v>
      </c>
      <c r="J759" s="31">
        <f t="shared" si="191"/>
        <v>0</v>
      </c>
      <c r="K759" s="31">
        <f t="shared" si="191"/>
        <v>0</v>
      </c>
      <c r="L759" s="31">
        <f t="shared" si="191"/>
        <v>0</v>
      </c>
      <c r="M759" s="31">
        <f>ROUND((L759/$E$1),0)</f>
        <v>0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/>
      <c r="H760" s="42"/>
      <c r="I760" s="42"/>
      <c r="J760" s="42"/>
      <c r="K760" s="42"/>
      <c r="L760" s="35">
        <f>SUM(G760:K760)</f>
        <v>0</v>
      </c>
      <c r="M760" s="35">
        <f t="shared" ref="M760:M768" si="192">ROUND((L760/$E$1),0)</f>
        <v>0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/>
      <c r="H761" s="42"/>
      <c r="I761" s="42"/>
      <c r="J761" s="42"/>
      <c r="K761" s="42"/>
      <c r="L761" s="35">
        <f t="shared" ref="L761:L768" si="193">SUM(G761:K761)</f>
        <v>0</v>
      </c>
      <c r="M761" s="35">
        <f t="shared" si="192"/>
        <v>0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/>
      <c r="H762" s="42"/>
      <c r="I762" s="42"/>
      <c r="J762" s="42"/>
      <c r="K762" s="42"/>
      <c r="L762" s="35">
        <f t="shared" si="193"/>
        <v>0</v>
      </c>
      <c r="M762" s="35">
        <f t="shared" si="192"/>
        <v>0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/>
      <c r="H763" s="43"/>
      <c r="I763" s="43"/>
      <c r="J763" s="43"/>
      <c r="K763" s="43"/>
      <c r="L763" s="31">
        <f t="shared" si="193"/>
        <v>0</v>
      </c>
      <c r="M763" s="31">
        <f t="shared" si="192"/>
        <v>0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/>
      <c r="H764" s="42"/>
      <c r="I764" s="42"/>
      <c r="J764" s="42"/>
      <c r="K764" s="42"/>
      <c r="L764" s="35">
        <f t="shared" si="193"/>
        <v>0</v>
      </c>
      <c r="M764" s="35">
        <f t="shared" si="192"/>
        <v>0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/>
      <c r="H765" s="42"/>
      <c r="I765" s="42"/>
      <c r="J765" s="42"/>
      <c r="K765" s="42"/>
      <c r="L765" s="35">
        <f t="shared" si="193"/>
        <v>0</v>
      </c>
      <c r="M765" s="35">
        <f t="shared" si="192"/>
        <v>0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/>
      <c r="H766" s="42"/>
      <c r="I766" s="42"/>
      <c r="J766" s="42"/>
      <c r="K766" s="42"/>
      <c r="L766" s="35">
        <f t="shared" si="193"/>
        <v>0</v>
      </c>
      <c r="M766" s="35">
        <f t="shared" si="192"/>
        <v>0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/>
      <c r="H767" s="42"/>
      <c r="I767" s="42"/>
      <c r="J767" s="42"/>
      <c r="K767" s="42"/>
      <c r="L767" s="35">
        <f t="shared" si="193"/>
        <v>0</v>
      </c>
      <c r="M767" s="35">
        <f t="shared" si="192"/>
        <v>0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/>
      <c r="H768" s="42"/>
      <c r="I768" s="42"/>
      <c r="J768" s="42"/>
      <c r="K768" s="42"/>
      <c r="L768" s="35">
        <f t="shared" si="193"/>
        <v>0</v>
      </c>
      <c r="M768" s="35">
        <f t="shared" si="192"/>
        <v>0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2025</v>
      </c>
      <c r="H771" s="10">
        <f>+G771</f>
        <v>2025</v>
      </c>
      <c r="I771" s="10">
        <f t="shared" ref="I771:M772" si="194">+H771</f>
        <v>2025</v>
      </c>
      <c r="J771" s="10">
        <f t="shared" si="194"/>
        <v>2025</v>
      </c>
      <c r="K771" s="10">
        <f t="shared" si="194"/>
        <v>2025</v>
      </c>
      <c r="L771" s="10">
        <f t="shared" si="194"/>
        <v>2025</v>
      </c>
      <c r="M771" s="10">
        <f t="shared" si="194"/>
        <v>2025</v>
      </c>
      <c r="N771" s="11"/>
      <c r="P771" s="50"/>
      <c r="S771" s="12" t="str">
        <f>+C771</f>
        <v>ICBC Details</v>
      </c>
      <c r="T771" s="13">
        <f>+L775</f>
        <v>0</v>
      </c>
      <c r="U771" s="13">
        <f>+L776+L777</f>
        <v>0</v>
      </c>
      <c r="V771" s="13">
        <f>+L778+L779</f>
        <v>0</v>
      </c>
      <c r="W771" s="13">
        <f>+L782</f>
        <v>0</v>
      </c>
      <c r="X771" s="13">
        <f>+L780</f>
        <v>0</v>
      </c>
    </row>
    <row r="772" spans="1:24" x14ac:dyDescent="0.25">
      <c r="A772" s="14"/>
      <c r="B772" s="15"/>
      <c r="C772" s="41" t="str">
        <f>+$C756</f>
        <v>December 2025</v>
      </c>
      <c r="D772" s="18"/>
      <c r="E772" s="18"/>
      <c r="F772" s="18"/>
      <c r="G772" s="20" t="str">
        <f>+$G$4</f>
        <v>December</v>
      </c>
      <c r="H772" s="20" t="str">
        <f>+G772</f>
        <v>December</v>
      </c>
      <c r="I772" s="20" t="str">
        <f t="shared" si="194"/>
        <v>December</v>
      </c>
      <c r="J772" s="20" t="str">
        <f t="shared" si="194"/>
        <v>December</v>
      </c>
      <c r="K772" s="20" t="str">
        <f t="shared" si="194"/>
        <v>December</v>
      </c>
      <c r="L772" s="20" t="str">
        <f t="shared" si="194"/>
        <v>December</v>
      </c>
      <c r="M772" s="20" t="str">
        <f t="shared" si="194"/>
        <v>December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7</v>
      </c>
      <c r="H773" s="25">
        <f>+$H$5</f>
        <v>14</v>
      </c>
      <c r="I773" s="25">
        <f>+$I$5</f>
        <v>21</v>
      </c>
      <c r="J773" s="25">
        <f>+$J$5</f>
        <v>28</v>
      </c>
      <c r="K773" s="25">
        <f>+$K$5</f>
        <v>0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>
        <f>SUM(G776:G779)</f>
        <v>0</v>
      </c>
      <c r="H775" s="31">
        <f t="shared" ref="H775:L775" si="195">SUM(H776:H779)</f>
        <v>0</v>
      </c>
      <c r="I775" s="31">
        <f t="shared" si="195"/>
        <v>0</v>
      </c>
      <c r="J775" s="31">
        <f t="shared" si="195"/>
        <v>0</v>
      </c>
      <c r="K775" s="31">
        <f t="shared" si="195"/>
        <v>0</v>
      </c>
      <c r="L775" s="31">
        <f t="shared" si="195"/>
        <v>0</v>
      </c>
      <c r="M775" s="31">
        <f>ROUND((L775/$E$1),0)</f>
        <v>0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/>
      <c r="H776" s="42"/>
      <c r="I776" s="42"/>
      <c r="J776" s="42"/>
      <c r="K776" s="42"/>
      <c r="L776" s="35">
        <f>SUM(G776:K776)</f>
        <v>0</v>
      </c>
      <c r="M776" s="35">
        <f t="shared" ref="M776:M784" si="196">ROUND((L776/$E$1),0)</f>
        <v>0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/>
      <c r="H777" s="42"/>
      <c r="I777" s="42"/>
      <c r="J777" s="42"/>
      <c r="K777" s="42"/>
      <c r="L777" s="35">
        <f t="shared" ref="L777:L784" si="197">SUM(G777:K777)</f>
        <v>0</v>
      </c>
      <c r="M777" s="35">
        <f t="shared" si="196"/>
        <v>0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/>
      <c r="H778" s="42"/>
      <c r="I778" s="42"/>
      <c r="J778" s="42"/>
      <c r="K778" s="42"/>
      <c r="L778" s="35">
        <f t="shared" si="197"/>
        <v>0</v>
      </c>
      <c r="M778" s="35">
        <f t="shared" si="196"/>
        <v>0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/>
      <c r="H779" s="43"/>
      <c r="I779" s="43"/>
      <c r="J779" s="43"/>
      <c r="K779" s="43"/>
      <c r="L779" s="31">
        <f t="shared" si="197"/>
        <v>0</v>
      </c>
      <c r="M779" s="31">
        <f t="shared" si="196"/>
        <v>0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/>
      <c r="H780" s="42"/>
      <c r="I780" s="42"/>
      <c r="J780" s="42"/>
      <c r="K780" s="42"/>
      <c r="L780" s="35">
        <f t="shared" si="197"/>
        <v>0</v>
      </c>
      <c r="M780" s="35">
        <f t="shared" si="196"/>
        <v>0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/>
      <c r="H781" s="42"/>
      <c r="I781" s="42"/>
      <c r="J781" s="42"/>
      <c r="K781" s="42"/>
      <c r="L781" s="35">
        <f t="shared" si="197"/>
        <v>0</v>
      </c>
      <c r="M781" s="35">
        <f t="shared" si="196"/>
        <v>0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/>
      <c r="H782" s="42"/>
      <c r="I782" s="42"/>
      <c r="J782" s="42"/>
      <c r="K782" s="42"/>
      <c r="L782" s="35">
        <f t="shared" si="197"/>
        <v>0</v>
      </c>
      <c r="M782" s="35">
        <f t="shared" si="196"/>
        <v>0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/>
      <c r="H783" s="42"/>
      <c r="I783" s="42"/>
      <c r="J783" s="42"/>
      <c r="K783" s="42"/>
      <c r="L783" s="35">
        <f t="shared" si="197"/>
        <v>0</v>
      </c>
      <c r="M783" s="35">
        <f t="shared" si="196"/>
        <v>0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/>
      <c r="H784" s="42"/>
      <c r="I784" s="42"/>
      <c r="J784" s="42"/>
      <c r="K784" s="42"/>
      <c r="L784" s="35">
        <f t="shared" si="197"/>
        <v>0</v>
      </c>
      <c r="M784" s="35">
        <f t="shared" si="196"/>
        <v>0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2025</v>
      </c>
      <c r="H787" s="10">
        <f>+G787</f>
        <v>2025</v>
      </c>
      <c r="I787" s="10">
        <f t="shared" ref="I787:M788" si="198">+H787</f>
        <v>2025</v>
      </c>
      <c r="J787" s="10">
        <f t="shared" si="198"/>
        <v>2025</v>
      </c>
      <c r="K787" s="10">
        <f t="shared" si="198"/>
        <v>2025</v>
      </c>
      <c r="L787" s="10">
        <f t="shared" si="198"/>
        <v>2025</v>
      </c>
      <c r="M787" s="10">
        <f t="shared" si="198"/>
        <v>2025</v>
      </c>
      <c r="N787" s="11"/>
      <c r="P787" s="50"/>
      <c r="S787" s="12" t="str">
        <f>+C787</f>
        <v>ICBC Details</v>
      </c>
      <c r="T787" s="13">
        <f>+L791</f>
        <v>0</v>
      </c>
      <c r="U787" s="13">
        <f>+L792+L793</f>
        <v>0</v>
      </c>
      <c r="V787" s="13">
        <f>+L794+L795</f>
        <v>0</v>
      </c>
      <c r="W787" s="13">
        <f>+L798</f>
        <v>0</v>
      </c>
      <c r="X787" s="13">
        <f>+L796</f>
        <v>0</v>
      </c>
    </row>
    <row r="788" spans="1:24" x14ac:dyDescent="0.25">
      <c r="A788" s="14"/>
      <c r="B788" s="15"/>
      <c r="C788" s="41" t="str">
        <f>+$C772</f>
        <v>December 2025</v>
      </c>
      <c r="D788" s="18"/>
      <c r="E788" s="18"/>
      <c r="F788" s="18"/>
      <c r="G788" s="20" t="str">
        <f>+$G$4</f>
        <v>December</v>
      </c>
      <c r="H788" s="20" t="str">
        <f>+G788</f>
        <v>December</v>
      </c>
      <c r="I788" s="20" t="str">
        <f t="shared" si="198"/>
        <v>December</v>
      </c>
      <c r="J788" s="20" t="str">
        <f t="shared" si="198"/>
        <v>December</v>
      </c>
      <c r="K788" s="20" t="str">
        <f t="shared" si="198"/>
        <v>December</v>
      </c>
      <c r="L788" s="20" t="str">
        <f t="shared" si="198"/>
        <v>December</v>
      </c>
      <c r="M788" s="20" t="str">
        <f t="shared" si="198"/>
        <v>December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7</v>
      </c>
      <c r="H789" s="25">
        <f>+$H$5</f>
        <v>14</v>
      </c>
      <c r="I789" s="25">
        <f>+$I$5</f>
        <v>21</v>
      </c>
      <c r="J789" s="25">
        <f>+$J$5</f>
        <v>28</v>
      </c>
      <c r="K789" s="25">
        <f>+$K$5</f>
        <v>0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>
        <f>SUM(G792:G795)</f>
        <v>0</v>
      </c>
      <c r="H791" s="31">
        <f t="shared" ref="H791:L791" si="199">SUM(H792:H795)</f>
        <v>0</v>
      </c>
      <c r="I791" s="31">
        <f t="shared" si="199"/>
        <v>0</v>
      </c>
      <c r="J791" s="31">
        <f t="shared" si="199"/>
        <v>0</v>
      </c>
      <c r="K791" s="31">
        <f t="shared" si="199"/>
        <v>0</v>
      </c>
      <c r="L791" s="31">
        <f t="shared" si="199"/>
        <v>0</v>
      </c>
      <c r="M791" s="31">
        <f>ROUND((L791/$E$1),0)</f>
        <v>0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/>
      <c r="H792" s="42"/>
      <c r="I792" s="42"/>
      <c r="J792" s="42"/>
      <c r="K792" s="42"/>
      <c r="L792" s="35">
        <f>SUM(G792:K792)</f>
        <v>0</v>
      </c>
      <c r="M792" s="35">
        <f t="shared" ref="M792:M800" si="200">ROUND((L792/$E$1),0)</f>
        <v>0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/>
      <c r="H793" s="42"/>
      <c r="I793" s="42"/>
      <c r="J793" s="42"/>
      <c r="K793" s="42"/>
      <c r="L793" s="35">
        <f t="shared" ref="L793:L800" si="201">SUM(G793:K793)</f>
        <v>0</v>
      </c>
      <c r="M793" s="35">
        <f t="shared" si="200"/>
        <v>0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/>
      <c r="H794" s="42"/>
      <c r="I794" s="42"/>
      <c r="J794" s="42"/>
      <c r="K794" s="42"/>
      <c r="L794" s="35">
        <f t="shared" si="201"/>
        <v>0</v>
      </c>
      <c r="M794" s="35">
        <f t="shared" si="200"/>
        <v>0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/>
      <c r="H795" s="43"/>
      <c r="I795" s="43"/>
      <c r="J795" s="43"/>
      <c r="K795" s="43"/>
      <c r="L795" s="31">
        <f t="shared" si="201"/>
        <v>0</v>
      </c>
      <c r="M795" s="31">
        <f t="shared" si="200"/>
        <v>0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/>
      <c r="H796" s="42"/>
      <c r="I796" s="42"/>
      <c r="J796" s="42"/>
      <c r="K796" s="42"/>
      <c r="L796" s="35">
        <f t="shared" si="201"/>
        <v>0</v>
      </c>
      <c r="M796" s="35">
        <f t="shared" si="200"/>
        <v>0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/>
      <c r="H797" s="42"/>
      <c r="I797" s="42"/>
      <c r="J797" s="42"/>
      <c r="K797" s="42"/>
      <c r="L797" s="35">
        <f t="shared" si="201"/>
        <v>0</v>
      </c>
      <c r="M797" s="35">
        <f t="shared" si="200"/>
        <v>0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/>
      <c r="H798" s="42"/>
      <c r="I798" s="42"/>
      <c r="J798" s="42"/>
      <c r="K798" s="42"/>
      <c r="L798" s="35">
        <f t="shared" si="201"/>
        <v>0</v>
      </c>
      <c r="M798" s="35">
        <f t="shared" si="200"/>
        <v>0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/>
      <c r="H799" s="42"/>
      <c r="I799" s="42"/>
      <c r="J799" s="42"/>
      <c r="K799" s="42"/>
      <c r="L799" s="35">
        <f t="shared" si="201"/>
        <v>0</v>
      </c>
      <c r="M799" s="35">
        <f t="shared" si="200"/>
        <v>0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/>
      <c r="H800" s="42"/>
      <c r="I800" s="42"/>
      <c r="J800" s="42"/>
      <c r="K800" s="42"/>
      <c r="L800" s="35">
        <f t="shared" si="201"/>
        <v>0</v>
      </c>
      <c r="M800" s="35">
        <f t="shared" si="200"/>
        <v>0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2025</v>
      </c>
      <c r="H803" s="10">
        <f>+G803</f>
        <v>2025</v>
      </c>
      <c r="I803" s="10">
        <f t="shared" ref="I803:M804" si="202">+H803</f>
        <v>2025</v>
      </c>
      <c r="J803" s="10">
        <f t="shared" si="202"/>
        <v>2025</v>
      </c>
      <c r="K803" s="10">
        <f t="shared" si="202"/>
        <v>2025</v>
      </c>
      <c r="L803" s="10">
        <f t="shared" si="202"/>
        <v>2025</v>
      </c>
      <c r="M803" s="10">
        <f t="shared" si="202"/>
        <v>2025</v>
      </c>
      <c r="N803" s="11"/>
      <c r="P803" s="50"/>
      <c r="S803" s="12" t="str">
        <f>+C803</f>
        <v>ICBC Details</v>
      </c>
      <c r="T803" s="13">
        <f>+L807</f>
        <v>0</v>
      </c>
      <c r="U803" s="13">
        <f>+L808+L809</f>
        <v>0</v>
      </c>
      <c r="V803" s="13">
        <f>+L810+L811</f>
        <v>0</v>
      </c>
      <c r="W803" s="13">
        <f>+L814</f>
        <v>0</v>
      </c>
      <c r="X803" s="13">
        <f>+L812</f>
        <v>0</v>
      </c>
    </row>
    <row r="804" spans="1:24" x14ac:dyDescent="0.25">
      <c r="A804" s="14"/>
      <c r="B804" s="15"/>
      <c r="C804" s="41" t="str">
        <f>+$C788</f>
        <v>December 2025</v>
      </c>
      <c r="D804" s="18"/>
      <c r="E804" s="18"/>
      <c r="F804" s="18"/>
      <c r="G804" s="20" t="str">
        <f>+$G$4</f>
        <v>December</v>
      </c>
      <c r="H804" s="20" t="str">
        <f>+G804</f>
        <v>December</v>
      </c>
      <c r="I804" s="20" t="str">
        <f t="shared" si="202"/>
        <v>December</v>
      </c>
      <c r="J804" s="20" t="str">
        <f t="shared" si="202"/>
        <v>December</v>
      </c>
      <c r="K804" s="20" t="str">
        <f t="shared" si="202"/>
        <v>December</v>
      </c>
      <c r="L804" s="20" t="str">
        <f t="shared" si="202"/>
        <v>December</v>
      </c>
      <c r="M804" s="20" t="str">
        <f t="shared" si="202"/>
        <v>December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7</v>
      </c>
      <c r="H805" s="25">
        <f>+$H$5</f>
        <v>14</v>
      </c>
      <c r="I805" s="25">
        <f>+$I$5</f>
        <v>21</v>
      </c>
      <c r="J805" s="25">
        <f>+$J$5</f>
        <v>28</v>
      </c>
      <c r="K805" s="25">
        <f>+$K$5</f>
        <v>0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>
        <f>SUM(G808:G811)</f>
        <v>0</v>
      </c>
      <c r="H807" s="31">
        <f t="shared" ref="H807:L807" si="203">SUM(H808:H811)</f>
        <v>0</v>
      </c>
      <c r="I807" s="31">
        <f t="shared" si="203"/>
        <v>0</v>
      </c>
      <c r="J807" s="31">
        <f t="shared" si="203"/>
        <v>0</v>
      </c>
      <c r="K807" s="31">
        <f t="shared" si="203"/>
        <v>0</v>
      </c>
      <c r="L807" s="31">
        <f t="shared" si="203"/>
        <v>0</v>
      </c>
      <c r="M807" s="31">
        <f>ROUND((L807/$E$1),0)</f>
        <v>0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/>
      <c r="H808" s="42"/>
      <c r="I808" s="42"/>
      <c r="J808" s="42"/>
      <c r="K808" s="42"/>
      <c r="L808" s="35">
        <f>SUM(G808:K808)</f>
        <v>0</v>
      </c>
      <c r="M808" s="35">
        <f t="shared" ref="M808:M816" si="204">ROUND((L808/$E$1),0)</f>
        <v>0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/>
      <c r="H809" s="42"/>
      <c r="I809" s="42"/>
      <c r="J809" s="42"/>
      <c r="K809" s="42"/>
      <c r="L809" s="35">
        <f t="shared" ref="L809:L816" si="205">SUM(G809:K809)</f>
        <v>0</v>
      </c>
      <c r="M809" s="35">
        <f t="shared" si="204"/>
        <v>0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/>
      <c r="H810" s="42"/>
      <c r="I810" s="42"/>
      <c r="J810" s="42"/>
      <c r="K810" s="42"/>
      <c r="L810" s="35">
        <f t="shared" si="205"/>
        <v>0</v>
      </c>
      <c r="M810" s="35">
        <f t="shared" si="204"/>
        <v>0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/>
      <c r="H811" s="43"/>
      <c r="I811" s="43"/>
      <c r="J811" s="43"/>
      <c r="K811" s="43"/>
      <c r="L811" s="31">
        <f t="shared" si="205"/>
        <v>0</v>
      </c>
      <c r="M811" s="31">
        <f t="shared" si="204"/>
        <v>0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/>
      <c r="H812" s="42"/>
      <c r="I812" s="42"/>
      <c r="J812" s="42"/>
      <c r="K812" s="42"/>
      <c r="L812" s="35">
        <f t="shared" si="205"/>
        <v>0</v>
      </c>
      <c r="M812" s="35">
        <f t="shared" si="204"/>
        <v>0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/>
      <c r="H813" s="42"/>
      <c r="I813" s="42"/>
      <c r="J813" s="42"/>
      <c r="K813" s="42"/>
      <c r="L813" s="35">
        <f t="shared" si="205"/>
        <v>0</v>
      </c>
      <c r="M813" s="35">
        <f t="shared" si="204"/>
        <v>0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/>
      <c r="H814" s="42"/>
      <c r="I814" s="42"/>
      <c r="J814" s="42"/>
      <c r="K814" s="42"/>
      <c r="L814" s="35">
        <f t="shared" si="205"/>
        <v>0</v>
      </c>
      <c r="M814" s="35">
        <f t="shared" si="204"/>
        <v>0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/>
      <c r="H815" s="42"/>
      <c r="I815" s="42"/>
      <c r="J815" s="42"/>
      <c r="K815" s="42"/>
      <c r="L815" s="35">
        <f t="shared" si="205"/>
        <v>0</v>
      </c>
      <c r="M815" s="35">
        <f t="shared" si="204"/>
        <v>0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/>
      <c r="H816" s="42"/>
      <c r="I816" s="42"/>
      <c r="J816" s="42"/>
      <c r="K816" s="42"/>
      <c r="L816" s="35">
        <f t="shared" si="205"/>
        <v>0</v>
      </c>
      <c r="M816" s="35">
        <f t="shared" si="204"/>
        <v>0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851"/>
  <sheetViews>
    <sheetView workbookViewId="0"/>
  </sheetViews>
  <sheetFormatPr defaultRowHeight="15" x14ac:dyDescent="0.25"/>
  <cols>
    <col min="1" max="1" width="2.85546875" style="1" customWidth="1"/>
    <col min="2" max="2" width="1" style="1" customWidth="1"/>
    <col min="3" max="3" width="3.5703125" style="1" customWidth="1"/>
    <col min="4" max="4" width="20" style="1" customWidth="1"/>
    <col min="5" max="5" width="2.7109375" style="1" customWidth="1"/>
    <col min="6" max="6" width="0.7109375" style="1" customWidth="1"/>
    <col min="7" max="12" width="9.28515625" style="1" bestFit="1" customWidth="1"/>
    <col min="13" max="13" width="11.28515625" style="1" bestFit="1" customWidth="1"/>
    <col min="14" max="14" width="1.42578125" style="1" customWidth="1"/>
    <col min="15" max="18" width="9.140625" style="1"/>
    <col min="19" max="24" width="9.140625" style="1" customWidth="1"/>
    <col min="25" max="16384" width="9.140625" style="1"/>
  </cols>
  <sheetData>
    <row r="1" spans="1:41" x14ac:dyDescent="0.25">
      <c r="D1" s="2" t="s">
        <v>0</v>
      </c>
      <c r="E1" s="3" t="e">
        <f>+'Jul-24'!E1+'Aug-24'!E1+'Sep-24'!E1+'Oct-24'!E1+'Nov-24'!E1+'Dec-24'!E1+'Jan-25'!E1+'Feb-25'!E1+#REF!+#REF!+#REF!+'Dec-25'!E1</f>
        <v>#REF!</v>
      </c>
      <c r="S1" s="1" t="s">
        <v>1</v>
      </c>
      <c r="T1" s="1" t="str">
        <f>+C7</f>
        <v>Church Attendance:</v>
      </c>
      <c r="U1" s="1" t="s">
        <v>2</v>
      </c>
      <c r="V1" s="1" t="s">
        <v>3</v>
      </c>
      <c r="W1" s="1" t="s">
        <v>4</v>
      </c>
      <c r="X1" s="1" t="str">
        <f>+C12</f>
        <v>Salvations</v>
      </c>
    </row>
    <row r="2" spans="1:41" ht="15.75" thickBot="1" x14ac:dyDescent="0.3">
      <c r="D2" s="2"/>
    </row>
    <row r="3" spans="1:41" x14ac:dyDescent="0.25">
      <c r="A3" s="4"/>
      <c r="B3" s="5"/>
      <c r="C3" s="6" t="s">
        <v>5</v>
      </c>
      <c r="D3" s="7"/>
      <c r="E3" s="8"/>
      <c r="F3" s="8"/>
      <c r="G3" s="9">
        <v>2024</v>
      </c>
      <c r="H3" s="10">
        <f>+G3</f>
        <v>2024</v>
      </c>
      <c r="I3" s="10">
        <f t="shared" ref="I3:M4" si="0">+H3</f>
        <v>2024</v>
      </c>
      <c r="J3" s="10">
        <f t="shared" si="0"/>
        <v>2024</v>
      </c>
      <c r="K3" s="10">
        <f t="shared" si="0"/>
        <v>2024</v>
      </c>
      <c r="L3" s="10">
        <f t="shared" si="0"/>
        <v>2024</v>
      </c>
      <c r="M3" s="10">
        <f t="shared" si="0"/>
        <v>2024</v>
      </c>
      <c r="N3" s="11"/>
      <c r="S3" s="12" t="str">
        <f>+C3</f>
        <v>Total ICBC</v>
      </c>
      <c r="T3" s="13" t="e">
        <f>+L7</f>
        <v>#REF!</v>
      </c>
      <c r="U3" s="13" t="e">
        <f>+L8+L9</f>
        <v>#REF!</v>
      </c>
      <c r="V3" s="13" t="e">
        <f>+L10+L11</f>
        <v>#REF!</v>
      </c>
      <c r="W3" s="13" t="e">
        <f>+L14</f>
        <v>#REF!</v>
      </c>
      <c r="X3" s="13" t="e">
        <f>+L12</f>
        <v>#REF!</v>
      </c>
    </row>
    <row r="4" spans="1:41" x14ac:dyDescent="0.25">
      <c r="A4" s="14"/>
      <c r="B4" s="15"/>
      <c r="C4" s="16" t="s">
        <v>58</v>
      </c>
      <c r="D4" s="17"/>
      <c r="E4" s="18"/>
      <c r="F4" s="18"/>
      <c r="G4" s="20" t="s">
        <v>63</v>
      </c>
      <c r="H4" s="20" t="str">
        <f>+G4</f>
        <v>Week</v>
      </c>
      <c r="I4" s="20" t="str">
        <f t="shared" si="0"/>
        <v>Week</v>
      </c>
      <c r="J4" s="20" t="str">
        <f t="shared" si="0"/>
        <v>Week</v>
      </c>
      <c r="K4" s="20" t="str">
        <f t="shared" si="0"/>
        <v>Week</v>
      </c>
      <c r="L4" s="20" t="s">
        <v>62</v>
      </c>
      <c r="M4" s="20" t="str">
        <f t="shared" si="0"/>
        <v>YTD</v>
      </c>
      <c r="N4" s="21"/>
    </row>
    <row r="5" spans="1:41" ht="15.75" thickBot="1" x14ac:dyDescent="0.3">
      <c r="A5" s="14"/>
      <c r="B5" s="22"/>
      <c r="C5" s="23"/>
      <c r="D5" s="23"/>
      <c r="E5" s="23"/>
      <c r="F5" s="23"/>
      <c r="G5" s="25">
        <v>1</v>
      </c>
      <c r="H5" s="25">
        <f>+G5+1</f>
        <v>2</v>
      </c>
      <c r="I5" s="25">
        <f t="shared" ref="I5:K5" si="1">+H5+1</f>
        <v>3</v>
      </c>
      <c r="J5" s="25">
        <f t="shared" si="1"/>
        <v>4</v>
      </c>
      <c r="K5" s="25">
        <f t="shared" si="1"/>
        <v>5</v>
      </c>
      <c r="L5" s="25" t="s">
        <v>6</v>
      </c>
      <c r="M5" s="25" t="s">
        <v>7</v>
      </c>
      <c r="N5" s="26"/>
    </row>
    <row r="6" spans="1:41" x14ac:dyDescent="0.25">
      <c r="A6" s="14"/>
      <c r="B6" s="27"/>
      <c r="C6" s="28"/>
      <c r="D6" s="28"/>
      <c r="E6" s="28"/>
      <c r="F6" s="28"/>
      <c r="G6" s="29"/>
      <c r="H6" s="29"/>
      <c r="I6" s="29"/>
      <c r="J6" s="29"/>
      <c r="K6" s="28"/>
      <c r="L6" s="28"/>
      <c r="M6" s="28"/>
      <c r="N6" s="30"/>
    </row>
    <row r="7" spans="1:41" x14ac:dyDescent="0.25">
      <c r="A7" s="14"/>
      <c r="B7" s="27"/>
      <c r="C7" s="28" t="s">
        <v>8</v>
      </c>
      <c r="D7" s="28"/>
      <c r="E7" s="28"/>
      <c r="F7" s="28"/>
      <c r="G7" s="31" t="e">
        <f>SUM(G8:G11)</f>
        <v>#REF!</v>
      </c>
      <c r="H7" s="31" t="e">
        <f t="shared" ref="H7:L7" si="2">SUM(H8:H11)</f>
        <v>#REF!</v>
      </c>
      <c r="I7" s="31" t="e">
        <f t="shared" si="2"/>
        <v>#REF!</v>
      </c>
      <c r="J7" s="31" t="e">
        <f t="shared" si="2"/>
        <v>#REF!</v>
      </c>
      <c r="K7" s="31" t="e">
        <f t="shared" si="2"/>
        <v>#REF!</v>
      </c>
      <c r="L7" s="31" t="e">
        <f t="shared" si="2"/>
        <v>#REF!</v>
      </c>
      <c r="M7" s="31" t="e">
        <f>ROUND((L7/$E$1),0)</f>
        <v>#REF!</v>
      </c>
      <c r="N7" s="32"/>
      <c r="O7" s="33"/>
      <c r="P7" s="34"/>
      <c r="Q7" s="34"/>
      <c r="V7" s="13"/>
      <c r="W7" s="13"/>
      <c r="X7" s="13"/>
      <c r="Y7" s="13"/>
      <c r="Z7" s="13"/>
      <c r="AA7" s="13"/>
      <c r="AB7" s="13"/>
      <c r="AI7" s="13"/>
      <c r="AJ7" s="13"/>
      <c r="AK7" s="13"/>
      <c r="AL7" s="13"/>
      <c r="AM7" s="13"/>
      <c r="AN7" s="13"/>
      <c r="AO7" s="13"/>
    </row>
    <row r="8" spans="1:41" x14ac:dyDescent="0.25">
      <c r="A8" s="14"/>
      <c r="B8" s="27"/>
      <c r="C8" s="28"/>
      <c r="D8" s="28" t="s">
        <v>9</v>
      </c>
      <c r="E8" s="28"/>
      <c r="F8" s="28"/>
      <c r="G8" s="35" t="e">
        <f>+G24+G40+G56+G72+G88+G104+G120+G136+G152+G168+G184+G200+G216+G232+G248+G264+G280+G296+G312+G328+G344+G360+G376+G392+G408+G424+G440+G456+G472+G488+G504+G520+G536+G552+G568+G584+G600+G616+G632+G648+G664+G680+G696+G712+G728+G744+G760+G776+G792+G808</f>
        <v>#REF!</v>
      </c>
      <c r="H8" s="35" t="e">
        <f t="shared" ref="H8:K8" si="3">+H24+H40+H56+H72+H88+H104+H120+H136+H152+H168+H184+H200+H216+H232+H248+H264+H280+H296+H312+H328+H344+H360+H376+H392+H408+H424+H440+H456+H472+H488+H504+H520+H536+H552+H568+H584+H600+H616+H632+H648+H664+H680+H696+H712+H728+H744+H760+H776+H792+H808</f>
        <v>#REF!</v>
      </c>
      <c r="I8" s="35" t="e">
        <f t="shared" si="3"/>
        <v>#REF!</v>
      </c>
      <c r="J8" s="35" t="e">
        <f t="shared" si="3"/>
        <v>#REF!</v>
      </c>
      <c r="K8" s="35" t="e">
        <f t="shared" si="3"/>
        <v>#REF!</v>
      </c>
      <c r="L8" s="35" t="e">
        <f>SUM(G8:K8)</f>
        <v>#REF!</v>
      </c>
      <c r="M8" s="35" t="e">
        <f t="shared" ref="M8:M16" si="4">ROUND((L8/$E$1),0)</f>
        <v>#REF!</v>
      </c>
      <c r="N8" s="32"/>
      <c r="O8" s="33"/>
      <c r="P8" s="34"/>
      <c r="Q8" s="34"/>
      <c r="AI8" s="13"/>
      <c r="AJ8" s="13"/>
      <c r="AK8" s="13"/>
      <c r="AL8" s="13"/>
      <c r="AM8" s="13"/>
      <c r="AN8" s="13"/>
      <c r="AO8" s="13"/>
    </row>
    <row r="9" spans="1:41" x14ac:dyDescent="0.25">
      <c r="A9" s="14"/>
      <c r="B9" s="27"/>
      <c r="C9" s="28"/>
      <c r="D9" s="28" t="s">
        <v>10</v>
      </c>
      <c r="E9" s="28"/>
      <c r="F9" s="28"/>
      <c r="G9" s="35" t="e">
        <f t="shared" ref="G9:K16" si="5">+G25+G41+G57+G73+G89+G105+G121+G137+G153+G169+G185+G201+G217+G233+G249+G265+G281+G297+G313+G329+G345+G361+G377+G393+G409+G425+G441+G457+G473+G489+G505+G521+G537+G553+G569+G585+G601+G617+G633+G649+G665+G681+G697+G713+G729+G745+G761+G777+G793+G809</f>
        <v>#REF!</v>
      </c>
      <c r="H9" s="35" t="e">
        <f t="shared" si="5"/>
        <v>#REF!</v>
      </c>
      <c r="I9" s="35" t="e">
        <f t="shared" si="5"/>
        <v>#REF!</v>
      </c>
      <c r="J9" s="35" t="e">
        <f t="shared" si="5"/>
        <v>#REF!</v>
      </c>
      <c r="K9" s="35" t="e">
        <f t="shared" si="5"/>
        <v>#REF!</v>
      </c>
      <c r="L9" s="35" t="e">
        <f t="shared" ref="L9:L16" si="6">SUM(G9:K9)</f>
        <v>#REF!</v>
      </c>
      <c r="M9" s="35" t="e">
        <f t="shared" si="4"/>
        <v>#REF!</v>
      </c>
      <c r="N9" s="32"/>
      <c r="O9" s="33"/>
      <c r="P9" s="34"/>
      <c r="Q9" s="34"/>
      <c r="AI9" s="13"/>
      <c r="AJ9" s="13"/>
      <c r="AK9" s="13"/>
      <c r="AL9" s="13"/>
      <c r="AM9" s="13"/>
      <c r="AN9" s="13"/>
      <c r="AO9" s="13"/>
    </row>
    <row r="10" spans="1:41" x14ac:dyDescent="0.25">
      <c r="A10" s="14"/>
      <c r="B10" s="27"/>
      <c r="C10" s="28"/>
      <c r="D10" s="28" t="s">
        <v>11</v>
      </c>
      <c r="E10" s="28"/>
      <c r="F10" s="28"/>
      <c r="G10" s="35" t="e">
        <f t="shared" si="5"/>
        <v>#REF!</v>
      </c>
      <c r="H10" s="35" t="e">
        <f t="shared" si="5"/>
        <v>#REF!</v>
      </c>
      <c r="I10" s="35" t="e">
        <f t="shared" si="5"/>
        <v>#REF!</v>
      </c>
      <c r="J10" s="35" t="e">
        <f t="shared" si="5"/>
        <v>#REF!</v>
      </c>
      <c r="K10" s="35" t="e">
        <f t="shared" si="5"/>
        <v>#REF!</v>
      </c>
      <c r="L10" s="35" t="e">
        <f t="shared" si="6"/>
        <v>#REF!</v>
      </c>
      <c r="M10" s="35" t="e">
        <f t="shared" si="4"/>
        <v>#REF!</v>
      </c>
      <c r="N10" s="32"/>
      <c r="O10" s="33"/>
      <c r="P10" s="34"/>
      <c r="Q10" s="34"/>
      <c r="AI10" s="13"/>
      <c r="AJ10" s="13"/>
      <c r="AK10" s="13"/>
      <c r="AL10" s="13"/>
      <c r="AM10" s="13"/>
      <c r="AN10" s="13"/>
      <c r="AO10" s="13"/>
    </row>
    <row r="11" spans="1:41" x14ac:dyDescent="0.25">
      <c r="A11" s="14"/>
      <c r="B11" s="27"/>
      <c r="C11" s="28"/>
      <c r="D11" s="28" t="s">
        <v>12</v>
      </c>
      <c r="E11" s="28"/>
      <c r="F11" s="28"/>
      <c r="G11" s="31" t="e">
        <f t="shared" si="5"/>
        <v>#REF!</v>
      </c>
      <c r="H11" s="31" t="e">
        <f t="shared" si="5"/>
        <v>#REF!</v>
      </c>
      <c r="I11" s="31" t="e">
        <f t="shared" si="5"/>
        <v>#REF!</v>
      </c>
      <c r="J11" s="31" t="e">
        <f t="shared" si="5"/>
        <v>#REF!</v>
      </c>
      <c r="K11" s="31" t="e">
        <f t="shared" si="5"/>
        <v>#REF!</v>
      </c>
      <c r="L11" s="31" t="e">
        <f t="shared" si="6"/>
        <v>#REF!</v>
      </c>
      <c r="M11" s="31" t="e">
        <f t="shared" si="4"/>
        <v>#REF!</v>
      </c>
      <c r="N11" s="32"/>
      <c r="O11" s="33"/>
      <c r="P11" s="34"/>
      <c r="Q11" s="34"/>
      <c r="AI11" s="13"/>
      <c r="AJ11" s="13"/>
      <c r="AK11" s="13"/>
      <c r="AL11" s="13"/>
      <c r="AM11" s="13"/>
      <c r="AN11" s="13"/>
      <c r="AO11" s="13"/>
    </row>
    <row r="12" spans="1:41" x14ac:dyDescent="0.25">
      <c r="A12" s="14"/>
      <c r="B12" s="27"/>
      <c r="C12" s="28" t="s">
        <v>13</v>
      </c>
      <c r="D12" s="28"/>
      <c r="E12" s="28"/>
      <c r="F12" s="28"/>
      <c r="G12" s="35" t="e">
        <f t="shared" si="5"/>
        <v>#REF!</v>
      </c>
      <c r="H12" s="35" t="e">
        <f t="shared" si="5"/>
        <v>#REF!</v>
      </c>
      <c r="I12" s="35" t="e">
        <f t="shared" si="5"/>
        <v>#REF!</v>
      </c>
      <c r="J12" s="35" t="e">
        <f t="shared" si="5"/>
        <v>#REF!</v>
      </c>
      <c r="K12" s="35" t="e">
        <f t="shared" si="5"/>
        <v>#REF!</v>
      </c>
      <c r="L12" s="35" t="e">
        <f t="shared" si="6"/>
        <v>#REF!</v>
      </c>
      <c r="M12" s="35" t="e">
        <f t="shared" si="4"/>
        <v>#REF!</v>
      </c>
      <c r="N12" s="32"/>
      <c r="O12" s="33"/>
      <c r="P12" s="34"/>
      <c r="Q12" s="34"/>
      <c r="AI12" s="13"/>
      <c r="AJ12" s="13"/>
      <c r="AK12" s="13"/>
      <c r="AL12" s="13"/>
      <c r="AM12" s="13"/>
      <c r="AN12" s="13"/>
      <c r="AO12" s="13"/>
    </row>
    <row r="13" spans="1:41" x14ac:dyDescent="0.25">
      <c r="A13" s="14"/>
      <c r="B13" s="27"/>
      <c r="C13" s="28" t="s">
        <v>14</v>
      </c>
      <c r="D13" s="28"/>
      <c r="E13" s="28"/>
      <c r="F13" s="28"/>
      <c r="G13" s="35" t="e">
        <f t="shared" si="5"/>
        <v>#REF!</v>
      </c>
      <c r="H13" s="35" t="e">
        <f t="shared" si="5"/>
        <v>#REF!</v>
      </c>
      <c r="I13" s="35" t="e">
        <f t="shared" si="5"/>
        <v>#REF!</v>
      </c>
      <c r="J13" s="35" t="e">
        <f t="shared" si="5"/>
        <v>#REF!</v>
      </c>
      <c r="K13" s="35" t="e">
        <f t="shared" si="5"/>
        <v>#REF!</v>
      </c>
      <c r="L13" s="35" t="e">
        <f t="shared" si="6"/>
        <v>#REF!</v>
      </c>
      <c r="M13" s="35" t="e">
        <f t="shared" si="4"/>
        <v>#REF!</v>
      </c>
      <c r="N13" s="32"/>
      <c r="O13" s="33"/>
      <c r="P13" s="34"/>
      <c r="Q13" s="34"/>
      <c r="AI13" s="13"/>
      <c r="AJ13" s="13"/>
      <c r="AK13" s="13"/>
      <c r="AL13" s="13"/>
      <c r="AM13" s="13"/>
      <c r="AN13" s="13"/>
      <c r="AO13" s="13"/>
    </row>
    <row r="14" spans="1:41" x14ac:dyDescent="0.25">
      <c r="A14" s="14"/>
      <c r="B14" s="27"/>
      <c r="C14" s="28" t="s">
        <v>4</v>
      </c>
      <c r="D14" s="28"/>
      <c r="E14" s="28"/>
      <c r="F14" s="28"/>
      <c r="G14" s="35" t="e">
        <f t="shared" si="5"/>
        <v>#REF!</v>
      </c>
      <c r="H14" s="35" t="e">
        <f t="shared" si="5"/>
        <v>#REF!</v>
      </c>
      <c r="I14" s="35" t="e">
        <f t="shared" si="5"/>
        <v>#REF!</v>
      </c>
      <c r="J14" s="35" t="e">
        <f t="shared" si="5"/>
        <v>#REF!</v>
      </c>
      <c r="K14" s="35" t="e">
        <f t="shared" si="5"/>
        <v>#REF!</v>
      </c>
      <c r="L14" s="35" t="e">
        <f t="shared" si="6"/>
        <v>#REF!</v>
      </c>
      <c r="M14" s="35" t="e">
        <f t="shared" si="4"/>
        <v>#REF!</v>
      </c>
      <c r="N14" s="32"/>
      <c r="O14" s="33"/>
      <c r="P14" s="34"/>
      <c r="Q14" s="34"/>
      <c r="AI14" s="13"/>
      <c r="AJ14" s="13"/>
      <c r="AK14" s="13"/>
      <c r="AL14" s="13"/>
      <c r="AM14" s="13"/>
      <c r="AN14" s="13"/>
      <c r="AO14" s="13"/>
    </row>
    <row r="15" spans="1:41" x14ac:dyDescent="0.25">
      <c r="A15" s="14"/>
      <c r="B15" s="27"/>
      <c r="C15" s="28" t="s">
        <v>15</v>
      </c>
      <c r="D15" s="28"/>
      <c r="E15" s="28"/>
      <c r="F15" s="28"/>
      <c r="G15" s="35" t="e">
        <f t="shared" si="5"/>
        <v>#REF!</v>
      </c>
      <c r="H15" s="35" t="e">
        <f t="shared" si="5"/>
        <v>#REF!</v>
      </c>
      <c r="I15" s="35" t="e">
        <f t="shared" si="5"/>
        <v>#REF!</v>
      </c>
      <c r="J15" s="35" t="e">
        <f t="shared" si="5"/>
        <v>#REF!</v>
      </c>
      <c r="K15" s="35" t="e">
        <f t="shared" si="5"/>
        <v>#REF!</v>
      </c>
      <c r="L15" s="35" t="e">
        <f t="shared" si="6"/>
        <v>#REF!</v>
      </c>
      <c r="M15" s="35" t="e">
        <f t="shared" si="4"/>
        <v>#REF!</v>
      </c>
      <c r="N15" s="32"/>
      <c r="O15" s="33"/>
      <c r="P15" s="34"/>
      <c r="Q15" s="34"/>
      <c r="AI15" s="13"/>
      <c r="AJ15" s="13"/>
      <c r="AK15" s="13"/>
      <c r="AL15" s="13"/>
      <c r="AM15" s="13"/>
      <c r="AN15" s="13"/>
      <c r="AO15" s="13"/>
    </row>
    <row r="16" spans="1:41" x14ac:dyDescent="0.25">
      <c r="A16" s="14"/>
      <c r="B16" s="27"/>
      <c r="C16" s="28" t="s">
        <v>16</v>
      </c>
      <c r="D16" s="28"/>
      <c r="E16" s="28"/>
      <c r="F16" s="28"/>
      <c r="G16" s="35" t="e">
        <f t="shared" si="5"/>
        <v>#REF!</v>
      </c>
      <c r="H16" s="35" t="e">
        <f t="shared" si="5"/>
        <v>#REF!</v>
      </c>
      <c r="I16" s="35" t="e">
        <f t="shared" si="5"/>
        <v>#REF!</v>
      </c>
      <c r="J16" s="35" t="e">
        <f t="shared" si="5"/>
        <v>#REF!</v>
      </c>
      <c r="K16" s="35" t="e">
        <f t="shared" si="5"/>
        <v>#REF!</v>
      </c>
      <c r="L16" s="35" t="e">
        <f t="shared" si="6"/>
        <v>#REF!</v>
      </c>
      <c r="M16" s="35" t="e">
        <f t="shared" si="4"/>
        <v>#REF!</v>
      </c>
      <c r="N16" s="32"/>
      <c r="O16" s="33"/>
      <c r="P16" s="34"/>
      <c r="Q16" s="34"/>
      <c r="AI16" s="13"/>
      <c r="AJ16" s="13"/>
      <c r="AK16" s="13"/>
      <c r="AL16" s="13"/>
      <c r="AM16" s="13"/>
      <c r="AN16" s="13"/>
      <c r="AO16" s="13"/>
    </row>
    <row r="17" spans="1:24" ht="15.75" thickBot="1" x14ac:dyDescent="0.3">
      <c r="A17" s="14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75" thickBot="1" x14ac:dyDescent="0.3">
      <c r="A18" s="1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">
        <v>1</v>
      </c>
      <c r="B19" s="40"/>
      <c r="C19" s="6" t="s">
        <v>17</v>
      </c>
      <c r="D19" s="7"/>
      <c r="E19" s="8"/>
      <c r="F19" s="8"/>
      <c r="G19" s="10">
        <f>+$G$3</f>
        <v>2024</v>
      </c>
      <c r="H19" s="10">
        <f>+G19</f>
        <v>2024</v>
      </c>
      <c r="I19" s="10">
        <f t="shared" ref="I19:M20" si="7">+H19</f>
        <v>2024</v>
      </c>
      <c r="J19" s="10">
        <f t="shared" si="7"/>
        <v>2024</v>
      </c>
      <c r="K19" s="10">
        <f t="shared" si="7"/>
        <v>2024</v>
      </c>
      <c r="L19" s="10">
        <f t="shared" si="7"/>
        <v>2024</v>
      </c>
      <c r="M19" s="10">
        <f t="shared" si="7"/>
        <v>2024</v>
      </c>
      <c r="N19" s="11"/>
      <c r="O19" s="33"/>
      <c r="P19" s="33"/>
      <c r="Q19" s="33"/>
      <c r="R19" s="33"/>
      <c r="S19" s="12" t="str">
        <f>+C19</f>
        <v>Hawane CLC Church</v>
      </c>
      <c r="T19" s="13" t="e">
        <f>+L23</f>
        <v>#REF!</v>
      </c>
      <c r="U19" s="13" t="e">
        <f>+L24+L25</f>
        <v>#REF!</v>
      </c>
      <c r="V19" s="13" t="e">
        <f>+L26+L27</f>
        <v>#REF!</v>
      </c>
      <c r="W19" s="13" t="e">
        <f>+L30</f>
        <v>#REF!</v>
      </c>
      <c r="X19" s="13" t="e">
        <f>+L28</f>
        <v>#REF!</v>
      </c>
    </row>
    <row r="20" spans="1:24" x14ac:dyDescent="0.25">
      <c r="A20" s="14"/>
      <c r="B20" s="15"/>
      <c r="C20" s="41" t="str">
        <f>+$C4</f>
        <v>Year to Date 2024/2025</v>
      </c>
      <c r="D20" s="18"/>
      <c r="E20" s="18"/>
      <c r="F20" s="18"/>
      <c r="G20" s="20" t="str">
        <f>+$G$4</f>
        <v>Week</v>
      </c>
      <c r="H20" s="20" t="str">
        <f>+G20</f>
        <v>Week</v>
      </c>
      <c r="I20" s="20" t="str">
        <f t="shared" si="7"/>
        <v>Week</v>
      </c>
      <c r="J20" s="20" t="str">
        <f t="shared" si="7"/>
        <v>Week</v>
      </c>
      <c r="K20" s="20" t="str">
        <f t="shared" si="7"/>
        <v>Week</v>
      </c>
      <c r="L20" s="20" t="str">
        <f t="shared" si="7"/>
        <v>Week</v>
      </c>
      <c r="M20" s="20" t="str">
        <f t="shared" si="7"/>
        <v>Week</v>
      </c>
      <c r="N20" s="21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75" thickBot="1" x14ac:dyDescent="0.3">
      <c r="A21" s="14"/>
      <c r="B21" s="22"/>
      <c r="C21" s="23"/>
      <c r="D21" s="23"/>
      <c r="E21" s="23"/>
      <c r="F21" s="23"/>
      <c r="G21" s="25">
        <f>+$G$5</f>
        <v>1</v>
      </c>
      <c r="H21" s="25">
        <f>+$H$5</f>
        <v>2</v>
      </c>
      <c r="I21" s="25">
        <f>+$I$5</f>
        <v>3</v>
      </c>
      <c r="J21" s="25">
        <f>+$J$5</f>
        <v>4</v>
      </c>
      <c r="K21" s="25">
        <f>+$K$5</f>
        <v>5</v>
      </c>
      <c r="L21" s="25" t="s">
        <v>6</v>
      </c>
      <c r="M21" s="25" t="s">
        <v>7</v>
      </c>
      <c r="N21" s="26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x14ac:dyDescent="0.25">
      <c r="A22" s="14"/>
      <c r="B22" s="27"/>
      <c r="C22" s="28"/>
      <c r="D22" s="28"/>
      <c r="E22" s="28"/>
      <c r="F22" s="28"/>
      <c r="G22" s="29"/>
      <c r="H22" s="29"/>
      <c r="I22" s="29"/>
      <c r="J22" s="29"/>
      <c r="K22" s="28"/>
      <c r="L22" s="28"/>
      <c r="M22" s="28"/>
      <c r="N22" s="30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x14ac:dyDescent="0.25">
      <c r="A23" s="14"/>
      <c r="B23" s="27"/>
      <c r="C23" s="28" t="s">
        <v>8</v>
      </c>
      <c r="D23" s="28"/>
      <c r="E23" s="28"/>
      <c r="F23" s="28"/>
      <c r="G23" s="31" t="e">
        <f>SUM(G24:G27)</f>
        <v>#REF!</v>
      </c>
      <c r="H23" s="31" t="e">
        <f t="shared" ref="H23:L23" si="8">SUM(H24:H27)</f>
        <v>#REF!</v>
      </c>
      <c r="I23" s="31" t="e">
        <f t="shared" si="8"/>
        <v>#REF!</v>
      </c>
      <c r="J23" s="31" t="e">
        <f t="shared" si="8"/>
        <v>#REF!</v>
      </c>
      <c r="K23" s="31" t="e">
        <f t="shared" si="8"/>
        <v>#REF!</v>
      </c>
      <c r="L23" s="31" t="e">
        <f t="shared" si="8"/>
        <v>#REF!</v>
      </c>
      <c r="M23" s="31" t="e">
        <f>ROUND((L23/$E$1),0)</f>
        <v>#REF!</v>
      </c>
      <c r="N23" s="32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x14ac:dyDescent="0.25">
      <c r="A24" s="14"/>
      <c r="B24" s="27"/>
      <c r="C24" s="28"/>
      <c r="D24" s="28" t="s">
        <v>9</v>
      </c>
      <c r="E24" s="28"/>
      <c r="F24" s="28"/>
      <c r="G24" s="42" t="e">
        <f>+'Jul-24'!G24+'Aug-24'!G24+'Sep-24'!G24+'Oct-24'!G24+'Nov-24'!G24+'Dec-24'!G24+'Jan-25'!G24+'Feb-25'!G24+#REF!+#REF!+#REF!+'Dec-25'!G24</f>
        <v>#REF!</v>
      </c>
      <c r="H24" s="42" t="e">
        <f>+'Jul-24'!H24+'Aug-24'!H24+'Sep-24'!H24+'Oct-24'!H24+'Nov-24'!H24+'Dec-24'!H24+'Jan-25'!H24+'Feb-25'!H24+#REF!+#REF!+#REF!+'Dec-25'!H24</f>
        <v>#REF!</v>
      </c>
      <c r="I24" s="42" t="e">
        <f>+'Jul-24'!I24+'Aug-24'!I24+'Sep-24'!I24+'Oct-24'!I24+'Nov-24'!I24+'Dec-24'!I24+'Jan-25'!I24+'Feb-25'!I24+#REF!+#REF!+#REF!+'Dec-25'!I24</f>
        <v>#REF!</v>
      </c>
      <c r="J24" s="42" t="e">
        <f>+'Jul-24'!J24+'Aug-24'!J24+'Sep-24'!J24+'Oct-24'!J24+'Nov-24'!J24+'Dec-24'!J24+'Jan-25'!J24+'Feb-25'!J24+#REF!+#REF!+#REF!+'Dec-25'!J24</f>
        <v>#REF!</v>
      </c>
      <c r="K24" s="42" t="e">
        <f>+'Jul-24'!K24+'Aug-24'!K24+'Sep-24'!K24+'Oct-24'!K24+'Nov-24'!K24+'Dec-24'!K24+'Jan-25'!K24+'Feb-25'!K24+#REF!+#REF!+#REF!+'Dec-25'!K24</f>
        <v>#REF!</v>
      </c>
      <c r="L24" s="35" t="e">
        <f>SUM(G24:K24)</f>
        <v>#REF!</v>
      </c>
      <c r="M24" s="35" t="e">
        <f t="shared" ref="M24:M32" si="9">ROUND((L24/$E$1),0)</f>
        <v>#REF!</v>
      </c>
      <c r="N24" s="32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14"/>
      <c r="B25" s="27"/>
      <c r="C25" s="28"/>
      <c r="D25" s="28" t="s">
        <v>10</v>
      </c>
      <c r="E25" s="28"/>
      <c r="F25" s="28"/>
      <c r="G25" s="42" t="e">
        <f>+'Jul-24'!G25+'Aug-24'!G25+'Sep-24'!G25+'Oct-24'!G25+'Nov-24'!G25+'Dec-24'!G25+'Jan-25'!G25+'Feb-25'!G25+#REF!+#REF!+#REF!+'Dec-25'!G25</f>
        <v>#REF!</v>
      </c>
      <c r="H25" s="42" t="e">
        <f>+'Jul-24'!H25+'Aug-24'!H25+'Sep-24'!H25+'Oct-24'!H25+'Nov-24'!H25+'Dec-24'!H25+'Jan-25'!H25+'Feb-25'!H25+#REF!+#REF!+#REF!+'Dec-25'!H25</f>
        <v>#REF!</v>
      </c>
      <c r="I25" s="42" t="e">
        <f>+'Jul-24'!I25+'Aug-24'!I25+'Sep-24'!I25+'Oct-24'!I25+'Nov-24'!I25+'Dec-24'!I25+'Jan-25'!I25+'Feb-25'!I25+#REF!+#REF!+#REF!+'Dec-25'!I25</f>
        <v>#REF!</v>
      </c>
      <c r="J25" s="42" t="e">
        <f>+'Jul-24'!J25+'Aug-24'!J25+'Sep-24'!J25+'Oct-24'!J25+'Nov-24'!J25+'Dec-24'!J25+'Jan-25'!J25+'Feb-25'!J25+#REF!+#REF!+#REF!+'Dec-25'!J25</f>
        <v>#REF!</v>
      </c>
      <c r="K25" s="42" t="e">
        <f>+'Jul-24'!K25+'Aug-24'!K25+'Sep-24'!K25+'Oct-24'!K25+'Nov-24'!K25+'Dec-24'!K25+'Jan-25'!K25+'Feb-25'!K25+#REF!+#REF!+#REF!+'Dec-25'!K25</f>
        <v>#REF!</v>
      </c>
      <c r="L25" s="35" t="e">
        <f t="shared" ref="L25:L32" si="10">SUM(G25:K25)</f>
        <v>#REF!</v>
      </c>
      <c r="M25" s="35" t="e">
        <f t="shared" si="9"/>
        <v>#REF!</v>
      </c>
      <c r="N25" s="32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14"/>
      <c r="B26" s="27"/>
      <c r="C26" s="28"/>
      <c r="D26" s="28" t="s">
        <v>11</v>
      </c>
      <c r="E26" s="28"/>
      <c r="F26" s="28"/>
      <c r="G26" s="42" t="e">
        <f>+'Jul-24'!G26+'Aug-24'!G26+'Sep-24'!G26+'Oct-24'!G26+'Nov-24'!G26+'Dec-24'!G26+'Jan-25'!G26+'Feb-25'!G26+#REF!+#REF!+#REF!+'Dec-25'!G26</f>
        <v>#REF!</v>
      </c>
      <c r="H26" s="42" t="e">
        <f>+'Jul-24'!H26+'Aug-24'!H26+'Sep-24'!H26+'Oct-24'!H26+'Nov-24'!H26+'Dec-24'!H26+'Jan-25'!H26+'Feb-25'!H26+#REF!+#REF!+#REF!+'Dec-25'!H26</f>
        <v>#REF!</v>
      </c>
      <c r="I26" s="42" t="e">
        <f>+'Jul-24'!I26+'Aug-24'!I26+'Sep-24'!I26+'Oct-24'!I26+'Nov-24'!I26+'Dec-24'!I26+'Jan-25'!I26+'Feb-25'!I26+#REF!+#REF!+#REF!+'Dec-25'!I26</f>
        <v>#REF!</v>
      </c>
      <c r="J26" s="42" t="e">
        <f>+'Jul-24'!J26+'Aug-24'!J26+'Sep-24'!J26+'Oct-24'!J26+'Nov-24'!J26+'Dec-24'!J26+'Jan-25'!J26+'Feb-25'!J26+#REF!+#REF!+#REF!+'Dec-25'!J26</f>
        <v>#REF!</v>
      </c>
      <c r="K26" s="42" t="e">
        <f>+'Jul-24'!K26+'Aug-24'!K26+'Sep-24'!K26+'Oct-24'!K26+'Nov-24'!K26+'Dec-24'!K26+'Jan-25'!K26+'Feb-25'!K26+#REF!+#REF!+#REF!+'Dec-25'!K26</f>
        <v>#REF!</v>
      </c>
      <c r="L26" s="35" t="e">
        <f t="shared" si="10"/>
        <v>#REF!</v>
      </c>
      <c r="M26" s="35" t="e">
        <f t="shared" si="9"/>
        <v>#REF!</v>
      </c>
      <c r="N26" s="32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x14ac:dyDescent="0.25">
      <c r="A27" s="14"/>
      <c r="B27" s="27"/>
      <c r="C27" s="28"/>
      <c r="D27" s="28" t="s">
        <v>12</v>
      </c>
      <c r="E27" s="28"/>
      <c r="F27" s="28"/>
      <c r="G27" s="43" t="e">
        <f>+'Jul-24'!G27+'Aug-24'!G27+'Sep-24'!G27+'Oct-24'!G27+'Nov-24'!G27+'Dec-24'!G27+'Jan-25'!G27+'Feb-25'!G27+#REF!+#REF!+#REF!+'Dec-25'!G27</f>
        <v>#REF!</v>
      </c>
      <c r="H27" s="43" t="e">
        <f>+'Jul-24'!H27+'Aug-24'!H27+'Sep-24'!H27+'Oct-24'!H27+'Nov-24'!H27+'Dec-24'!H27+'Jan-25'!H27+'Feb-25'!H27+#REF!+#REF!+#REF!+'Dec-25'!H27</f>
        <v>#REF!</v>
      </c>
      <c r="I27" s="43" t="e">
        <f>+'Jul-24'!I27+'Aug-24'!I27+'Sep-24'!I27+'Oct-24'!I27+'Nov-24'!I27+'Dec-24'!I27+'Jan-25'!I27+'Feb-25'!I27+#REF!+#REF!+#REF!+'Dec-25'!I27</f>
        <v>#REF!</v>
      </c>
      <c r="J27" s="43" t="e">
        <f>+'Jul-24'!J27+'Aug-24'!J27+'Sep-24'!J27+'Oct-24'!J27+'Nov-24'!J27+'Dec-24'!J27+'Jan-25'!J27+'Feb-25'!J27+#REF!+#REF!+#REF!+'Dec-25'!J27</f>
        <v>#REF!</v>
      </c>
      <c r="K27" s="43" t="e">
        <f>+'Jul-24'!K27+'Aug-24'!K27+'Sep-24'!K27+'Oct-24'!K27+'Nov-24'!K27+'Dec-24'!K27+'Jan-25'!K27+'Feb-25'!K27+#REF!+#REF!+#REF!+'Dec-25'!K27</f>
        <v>#REF!</v>
      </c>
      <c r="L27" s="31" t="e">
        <f t="shared" si="10"/>
        <v>#REF!</v>
      </c>
      <c r="M27" s="31" t="e">
        <f t="shared" si="9"/>
        <v>#REF!</v>
      </c>
      <c r="N27" s="32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x14ac:dyDescent="0.25">
      <c r="A28" s="14"/>
      <c r="B28" s="27"/>
      <c r="C28" s="28" t="s">
        <v>13</v>
      </c>
      <c r="D28" s="28"/>
      <c r="E28" s="28"/>
      <c r="F28" s="28"/>
      <c r="G28" s="42" t="e">
        <f>+'Jul-24'!G28+'Aug-24'!G28+'Sep-24'!G28+'Oct-24'!G28+'Nov-24'!G28+'Dec-24'!G28+'Jan-25'!G28+'Feb-25'!G28+#REF!+#REF!+#REF!+'Dec-25'!G28</f>
        <v>#REF!</v>
      </c>
      <c r="H28" s="42" t="e">
        <f>+'Jul-24'!H28+'Aug-24'!H28+'Sep-24'!H28+'Oct-24'!H28+'Nov-24'!H28+'Dec-24'!H28+'Jan-25'!H28+'Feb-25'!H28+#REF!+#REF!+#REF!+'Dec-25'!H28</f>
        <v>#REF!</v>
      </c>
      <c r="I28" s="42" t="e">
        <f>+'Jul-24'!I28+'Aug-24'!I28+'Sep-24'!I28+'Oct-24'!I28+'Nov-24'!I28+'Dec-24'!I28+'Jan-25'!I28+'Feb-25'!I28+#REF!+#REF!+#REF!+'Dec-25'!I28</f>
        <v>#REF!</v>
      </c>
      <c r="J28" s="42" t="e">
        <f>+'Jul-24'!J28+'Aug-24'!J28+'Sep-24'!J28+'Oct-24'!J28+'Nov-24'!J28+'Dec-24'!J28+'Jan-25'!J28+'Feb-25'!J28+#REF!+#REF!+#REF!+'Dec-25'!J28</f>
        <v>#REF!</v>
      </c>
      <c r="K28" s="42" t="e">
        <f>+'Jul-24'!K28+'Aug-24'!K28+'Sep-24'!K28+'Oct-24'!K28+'Nov-24'!K28+'Dec-24'!K28+'Jan-25'!K28+'Feb-25'!K28+#REF!+#REF!+#REF!+'Dec-25'!K28</f>
        <v>#REF!</v>
      </c>
      <c r="L28" s="35" t="e">
        <f t="shared" si="10"/>
        <v>#REF!</v>
      </c>
      <c r="M28" s="35" t="e">
        <f t="shared" si="9"/>
        <v>#REF!</v>
      </c>
      <c r="N28" s="32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x14ac:dyDescent="0.25">
      <c r="A29" s="14"/>
      <c r="B29" s="27"/>
      <c r="C29" s="28" t="s">
        <v>14</v>
      </c>
      <c r="D29" s="28"/>
      <c r="E29" s="28"/>
      <c r="F29" s="28"/>
      <c r="G29" s="42" t="e">
        <f>+'Jul-24'!G29+'Aug-24'!G29+'Sep-24'!G29+'Oct-24'!G29+'Nov-24'!G29+'Dec-24'!G29+'Jan-25'!G29+'Feb-25'!G29+#REF!+#REF!+#REF!+'Dec-25'!G29</f>
        <v>#REF!</v>
      </c>
      <c r="H29" s="42" t="e">
        <f>+'Jul-24'!H29+'Aug-24'!H29+'Sep-24'!H29+'Oct-24'!H29+'Nov-24'!H29+'Dec-24'!H29+'Jan-25'!H29+'Feb-25'!H29+#REF!+#REF!+#REF!+'Dec-25'!H29</f>
        <v>#REF!</v>
      </c>
      <c r="I29" s="42" t="e">
        <f>+'Jul-24'!I29+'Aug-24'!I29+'Sep-24'!I29+'Oct-24'!I29+'Nov-24'!I29+'Dec-24'!I29+'Jan-25'!I29+'Feb-25'!I29+#REF!+#REF!+#REF!+'Dec-25'!I29</f>
        <v>#REF!</v>
      </c>
      <c r="J29" s="42" t="e">
        <f>+'Jul-24'!J29+'Aug-24'!J29+'Sep-24'!J29+'Oct-24'!J29+'Nov-24'!J29+'Dec-24'!J29+'Jan-25'!J29+'Feb-25'!J29+#REF!+#REF!+#REF!+'Dec-25'!J29</f>
        <v>#REF!</v>
      </c>
      <c r="K29" s="42" t="e">
        <f>+'Jul-24'!K29+'Aug-24'!K29+'Sep-24'!K29+'Oct-24'!K29+'Nov-24'!K29+'Dec-24'!K29+'Jan-25'!K29+'Feb-25'!K29+#REF!+#REF!+#REF!+'Dec-25'!K29</f>
        <v>#REF!</v>
      </c>
      <c r="L29" s="35" t="e">
        <f t="shared" si="10"/>
        <v>#REF!</v>
      </c>
      <c r="M29" s="35" t="e">
        <f t="shared" si="9"/>
        <v>#REF!</v>
      </c>
      <c r="N29" s="32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x14ac:dyDescent="0.25">
      <c r="A30" s="14"/>
      <c r="B30" s="27"/>
      <c r="C30" s="28" t="s">
        <v>4</v>
      </c>
      <c r="D30" s="28"/>
      <c r="E30" s="28"/>
      <c r="F30" s="28"/>
      <c r="G30" s="42" t="e">
        <f>+'Jul-24'!G30+'Aug-24'!G30+'Sep-24'!G30+'Oct-24'!G30+'Nov-24'!G30+'Dec-24'!G30+'Jan-25'!G30+'Feb-25'!G30+#REF!+#REF!+#REF!+'Dec-25'!G30</f>
        <v>#REF!</v>
      </c>
      <c r="H30" s="42" t="e">
        <f>+'Jul-24'!H30+'Aug-24'!H30+'Sep-24'!H30+'Oct-24'!H30+'Nov-24'!H30+'Dec-24'!H30+'Jan-25'!H30+'Feb-25'!H30+#REF!+#REF!+#REF!+'Dec-25'!H30</f>
        <v>#REF!</v>
      </c>
      <c r="I30" s="42" t="e">
        <f>+'Jul-24'!I30+'Aug-24'!I30+'Sep-24'!I30+'Oct-24'!I30+'Nov-24'!I30+'Dec-24'!I30+'Jan-25'!I30+'Feb-25'!I30+#REF!+#REF!+#REF!+'Dec-25'!I30</f>
        <v>#REF!</v>
      </c>
      <c r="J30" s="42" t="e">
        <f>+'Jul-24'!J30+'Aug-24'!J30+'Sep-24'!J30+'Oct-24'!J30+'Nov-24'!J30+'Dec-24'!J30+'Jan-25'!J30+'Feb-25'!J30+#REF!+#REF!+#REF!+'Dec-25'!J30</f>
        <v>#REF!</v>
      </c>
      <c r="K30" s="42" t="e">
        <f>+'Jul-24'!K30+'Aug-24'!K30+'Sep-24'!K30+'Oct-24'!K30+'Nov-24'!K30+'Dec-24'!K30+'Jan-25'!K30+'Feb-25'!K30+#REF!+#REF!+#REF!+'Dec-25'!K30</f>
        <v>#REF!</v>
      </c>
      <c r="L30" s="35" t="e">
        <f t="shared" si="10"/>
        <v>#REF!</v>
      </c>
      <c r="M30" s="35" t="e">
        <f t="shared" si="9"/>
        <v>#REF!</v>
      </c>
      <c r="N30" s="32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x14ac:dyDescent="0.25">
      <c r="A31" s="14"/>
      <c r="B31" s="27"/>
      <c r="C31" s="28" t="s">
        <v>15</v>
      </c>
      <c r="D31" s="28"/>
      <c r="E31" s="28"/>
      <c r="F31" s="28"/>
      <c r="G31" s="42" t="e">
        <f>+'Jul-24'!G31+'Aug-24'!G31+'Sep-24'!G31+'Oct-24'!G31+'Nov-24'!G31+'Dec-24'!G31+'Jan-25'!G31+'Feb-25'!G31+#REF!+#REF!+#REF!+'Dec-25'!G31</f>
        <v>#REF!</v>
      </c>
      <c r="H31" s="42" t="e">
        <f>+'Jul-24'!H31+'Aug-24'!H31+'Sep-24'!H31+'Oct-24'!H31+'Nov-24'!H31+'Dec-24'!H31+'Jan-25'!H31+'Feb-25'!H31+#REF!+#REF!+#REF!+'Dec-25'!H31</f>
        <v>#REF!</v>
      </c>
      <c r="I31" s="42" t="e">
        <f>+'Jul-24'!I31+'Aug-24'!I31+'Sep-24'!I31+'Oct-24'!I31+'Nov-24'!I31+'Dec-24'!I31+'Jan-25'!I31+'Feb-25'!I31+#REF!+#REF!+#REF!+'Dec-25'!I31</f>
        <v>#REF!</v>
      </c>
      <c r="J31" s="42" t="e">
        <f>+'Jul-24'!J31+'Aug-24'!J31+'Sep-24'!J31+'Oct-24'!J31+'Nov-24'!J31+'Dec-24'!J31+'Jan-25'!J31+'Feb-25'!J31+#REF!+#REF!+#REF!+'Dec-25'!J31</f>
        <v>#REF!</v>
      </c>
      <c r="K31" s="42" t="e">
        <f>+'Jul-24'!K31+'Aug-24'!K31+'Sep-24'!K31+'Oct-24'!K31+'Nov-24'!K31+'Dec-24'!K31+'Jan-25'!K31+'Feb-25'!K31+#REF!+#REF!+#REF!+'Dec-25'!K31</f>
        <v>#REF!</v>
      </c>
      <c r="L31" s="35" t="e">
        <f t="shared" si="10"/>
        <v>#REF!</v>
      </c>
      <c r="M31" s="35" t="e">
        <f t="shared" si="9"/>
        <v>#REF!</v>
      </c>
      <c r="N31" s="32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x14ac:dyDescent="0.25">
      <c r="A32" s="14"/>
      <c r="B32" s="27"/>
      <c r="C32" s="28" t="s">
        <v>16</v>
      </c>
      <c r="D32" s="28"/>
      <c r="E32" s="28"/>
      <c r="F32" s="28"/>
      <c r="G32" s="42" t="e">
        <f>+'Jul-24'!G32+'Aug-24'!G32+'Sep-24'!G32+'Oct-24'!G32+'Nov-24'!G32+'Dec-24'!G32+'Jan-25'!G32+'Feb-25'!G32+#REF!+#REF!+#REF!+'Dec-25'!G32</f>
        <v>#REF!</v>
      </c>
      <c r="H32" s="42" t="e">
        <f>+'Jul-24'!H32+'Aug-24'!H32+'Sep-24'!H32+'Oct-24'!H32+'Nov-24'!H32+'Dec-24'!H32+'Jan-25'!H32+'Feb-25'!H32+#REF!+#REF!+#REF!+'Dec-25'!H32</f>
        <v>#REF!</v>
      </c>
      <c r="I32" s="42" t="e">
        <f>+'Jul-24'!I32+'Aug-24'!I32+'Sep-24'!I32+'Oct-24'!I32+'Nov-24'!I32+'Dec-24'!I32+'Jan-25'!I32+'Feb-25'!I32+#REF!+#REF!+#REF!+'Dec-25'!I32</f>
        <v>#REF!</v>
      </c>
      <c r="J32" s="42" t="e">
        <f>+'Jul-24'!J32+'Aug-24'!J32+'Sep-24'!J32+'Oct-24'!J32+'Nov-24'!J32+'Dec-24'!J32+'Jan-25'!J32+'Feb-25'!J32+#REF!+#REF!+#REF!+'Dec-25'!J32</f>
        <v>#REF!</v>
      </c>
      <c r="K32" s="42" t="e">
        <f>+'Jul-24'!K32+'Aug-24'!K32+'Sep-24'!K32+'Oct-24'!K32+'Nov-24'!K32+'Dec-24'!K32+'Jan-25'!K32+'Feb-25'!K32+#REF!+#REF!+#REF!+'Dec-25'!K32</f>
        <v>#REF!</v>
      </c>
      <c r="L32" s="35" t="e">
        <f t="shared" si="10"/>
        <v>#REF!</v>
      </c>
      <c r="M32" s="35" t="e">
        <f t="shared" si="9"/>
        <v>#REF!</v>
      </c>
      <c r="N32" s="32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75" thickBot="1" x14ac:dyDescent="0.3">
      <c r="A33" s="14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75" thickBot="1" x14ac:dyDescent="0.3">
      <c r="A34" s="14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x14ac:dyDescent="0.25">
      <c r="A35" s="4">
        <f>+A19+1</f>
        <v>2</v>
      </c>
      <c r="B35" s="5"/>
      <c r="C35" s="6" t="s">
        <v>18</v>
      </c>
      <c r="D35" s="7"/>
      <c r="E35" s="8"/>
      <c r="F35" s="8"/>
      <c r="G35" s="10">
        <f>+$G$3</f>
        <v>2024</v>
      </c>
      <c r="H35" s="10">
        <f>+G35</f>
        <v>2024</v>
      </c>
      <c r="I35" s="10">
        <f t="shared" ref="I35:M36" si="11">+H35</f>
        <v>2024</v>
      </c>
      <c r="J35" s="10">
        <f t="shared" si="11"/>
        <v>2024</v>
      </c>
      <c r="K35" s="10">
        <f t="shared" si="11"/>
        <v>2024</v>
      </c>
      <c r="L35" s="10">
        <f t="shared" si="11"/>
        <v>2024</v>
      </c>
      <c r="M35" s="10">
        <f t="shared" si="11"/>
        <v>2024</v>
      </c>
      <c r="N35" s="11"/>
      <c r="O35" s="44"/>
      <c r="P35" s="44"/>
      <c r="Q35" s="44"/>
      <c r="S35" s="12" t="str">
        <f>+C35</f>
        <v>Ngwenya</v>
      </c>
      <c r="T35" s="13" t="e">
        <f>+L39</f>
        <v>#REF!</v>
      </c>
      <c r="U35" s="13" t="e">
        <f>+L40+L41</f>
        <v>#REF!</v>
      </c>
      <c r="V35" s="13" t="e">
        <f>+L42+L43</f>
        <v>#REF!</v>
      </c>
      <c r="W35" s="13" t="e">
        <f>+L46</f>
        <v>#REF!</v>
      </c>
      <c r="X35" s="13" t="e">
        <f>+L44</f>
        <v>#REF!</v>
      </c>
    </row>
    <row r="36" spans="1:24" x14ac:dyDescent="0.25">
      <c r="A36" s="14"/>
      <c r="B36" s="15"/>
      <c r="C36" s="41" t="str">
        <f>+$C20</f>
        <v>Year to Date 2024/2025</v>
      </c>
      <c r="D36" s="18"/>
      <c r="E36" s="18"/>
      <c r="F36" s="18"/>
      <c r="G36" s="20" t="str">
        <f>+$G$4</f>
        <v>Week</v>
      </c>
      <c r="H36" s="20" t="str">
        <f>+G36</f>
        <v>Week</v>
      </c>
      <c r="I36" s="20" t="str">
        <f t="shared" si="11"/>
        <v>Week</v>
      </c>
      <c r="J36" s="20" t="str">
        <f t="shared" si="11"/>
        <v>Week</v>
      </c>
      <c r="K36" s="20" t="str">
        <f t="shared" si="11"/>
        <v>Week</v>
      </c>
      <c r="L36" s="20" t="str">
        <f t="shared" si="11"/>
        <v>Week</v>
      </c>
      <c r="M36" s="20" t="str">
        <f t="shared" si="11"/>
        <v>Week</v>
      </c>
      <c r="N36" s="21"/>
      <c r="O36" s="44"/>
      <c r="P36" s="44"/>
      <c r="Q36" s="44"/>
    </row>
    <row r="37" spans="1:24" ht="15.75" thickBot="1" x14ac:dyDescent="0.3">
      <c r="A37" s="14"/>
      <c r="B37" s="22"/>
      <c r="C37" s="23"/>
      <c r="D37" s="23"/>
      <c r="E37" s="23"/>
      <c r="F37" s="23"/>
      <c r="G37" s="25">
        <f>+$G$5</f>
        <v>1</v>
      </c>
      <c r="H37" s="25">
        <f>+$H$5</f>
        <v>2</v>
      </c>
      <c r="I37" s="25">
        <f>+$I$5</f>
        <v>3</v>
      </c>
      <c r="J37" s="25">
        <f>+$J$5</f>
        <v>4</v>
      </c>
      <c r="K37" s="25">
        <f>+$K$5</f>
        <v>5</v>
      </c>
      <c r="L37" s="25" t="s">
        <v>6</v>
      </c>
      <c r="M37" s="25" t="s">
        <v>7</v>
      </c>
      <c r="N37" s="26"/>
      <c r="O37" s="44"/>
      <c r="P37" s="44"/>
      <c r="Q37" s="44"/>
    </row>
    <row r="38" spans="1:24" x14ac:dyDescent="0.25">
      <c r="A38" s="14"/>
      <c r="B38" s="27"/>
      <c r="C38" s="28"/>
      <c r="D38" s="28"/>
      <c r="E38" s="28"/>
      <c r="F38" s="28"/>
      <c r="G38" s="29"/>
      <c r="H38" s="29"/>
      <c r="I38" s="29"/>
      <c r="J38" s="29"/>
      <c r="K38" s="28"/>
      <c r="L38" s="28"/>
      <c r="M38" s="28"/>
      <c r="N38" s="30"/>
      <c r="O38" s="44"/>
      <c r="P38" s="44"/>
      <c r="Q38" s="44"/>
    </row>
    <row r="39" spans="1:24" x14ac:dyDescent="0.25">
      <c r="A39" s="14"/>
      <c r="B39" s="27"/>
      <c r="C39" s="28" t="s">
        <v>8</v>
      </c>
      <c r="D39" s="28"/>
      <c r="E39" s="28"/>
      <c r="F39" s="28"/>
      <c r="G39" s="31" t="e">
        <f>SUM(G40:G43)</f>
        <v>#REF!</v>
      </c>
      <c r="H39" s="31" t="e">
        <f t="shared" ref="H39:L39" si="12">SUM(H40:H43)</f>
        <v>#REF!</v>
      </c>
      <c r="I39" s="31" t="e">
        <f t="shared" si="12"/>
        <v>#REF!</v>
      </c>
      <c r="J39" s="31" t="e">
        <f t="shared" si="12"/>
        <v>#REF!</v>
      </c>
      <c r="K39" s="31" t="e">
        <f t="shared" si="12"/>
        <v>#REF!</v>
      </c>
      <c r="L39" s="31" t="e">
        <f t="shared" si="12"/>
        <v>#REF!</v>
      </c>
      <c r="M39" s="31" t="e">
        <f>ROUND((L39/$E$1),0)</f>
        <v>#REF!</v>
      </c>
      <c r="N39" s="32"/>
      <c r="O39" s="44"/>
      <c r="P39" s="44"/>
      <c r="Q39" s="44"/>
    </row>
    <row r="40" spans="1:24" x14ac:dyDescent="0.25">
      <c r="A40" s="14"/>
      <c r="B40" s="27"/>
      <c r="C40" s="28"/>
      <c r="D40" s="28" t="s">
        <v>9</v>
      </c>
      <c r="E40" s="28"/>
      <c r="F40" s="28"/>
      <c r="G40" s="42" t="e">
        <f>+'Jul-24'!G40+'Aug-24'!G40+'Sep-24'!G40+'Oct-24'!G40+'Nov-24'!G40+'Dec-24'!G40+'Jan-25'!G40+'Feb-25'!G40+#REF!+#REF!+#REF!+'Dec-25'!G40</f>
        <v>#REF!</v>
      </c>
      <c r="H40" s="42" t="e">
        <f>+'Jul-24'!H40+'Aug-24'!H40+'Sep-24'!H40+'Oct-24'!H40+'Nov-24'!H40+'Dec-24'!H40+'Jan-25'!H40+'Feb-25'!H40+#REF!+#REF!+#REF!+'Dec-25'!H40</f>
        <v>#REF!</v>
      </c>
      <c r="I40" s="42" t="e">
        <f>+'Jul-24'!I40+'Aug-24'!I40+'Sep-24'!I40+'Oct-24'!I40+'Nov-24'!I40+'Dec-24'!I40+'Jan-25'!I40+'Feb-25'!I40+#REF!+#REF!+#REF!+'Dec-25'!I40</f>
        <v>#REF!</v>
      </c>
      <c r="J40" s="42" t="e">
        <f>+'Jul-24'!J40+'Aug-24'!J40+'Sep-24'!J40+'Oct-24'!J40+'Nov-24'!J40+'Dec-24'!J40+'Jan-25'!J40+'Feb-25'!J40+#REF!+#REF!+#REF!+'Dec-25'!J40</f>
        <v>#REF!</v>
      </c>
      <c r="K40" s="42" t="e">
        <f>+'Jul-24'!K40+'Aug-24'!K40+'Sep-24'!K40+'Oct-24'!K40+'Nov-24'!K40+'Dec-24'!K40+'Jan-25'!K40+'Feb-25'!K40+#REF!+#REF!+#REF!+'Dec-25'!K40</f>
        <v>#REF!</v>
      </c>
      <c r="L40" s="35" t="e">
        <f>SUM(G40:K40)</f>
        <v>#REF!</v>
      </c>
      <c r="M40" s="35" t="e">
        <f t="shared" ref="M40:M48" si="13">ROUND((L40/$E$1),0)</f>
        <v>#REF!</v>
      </c>
      <c r="N40" s="32"/>
      <c r="O40" s="44"/>
      <c r="P40" s="44"/>
      <c r="Q40" s="44"/>
    </row>
    <row r="41" spans="1:24" x14ac:dyDescent="0.25">
      <c r="A41" s="14"/>
      <c r="B41" s="27"/>
      <c r="C41" s="28"/>
      <c r="D41" s="28" t="s">
        <v>10</v>
      </c>
      <c r="E41" s="28"/>
      <c r="F41" s="28"/>
      <c r="G41" s="42" t="e">
        <f>+'Jul-24'!G41+'Aug-24'!G41+'Sep-24'!G41+'Oct-24'!G41+'Nov-24'!G41+'Dec-24'!G41+'Jan-25'!G41+'Feb-25'!G41+#REF!+#REF!+#REF!+'Dec-25'!G41</f>
        <v>#REF!</v>
      </c>
      <c r="H41" s="42" t="e">
        <f>+'Jul-24'!H41+'Aug-24'!H41+'Sep-24'!H41+'Oct-24'!H41+'Nov-24'!H41+'Dec-24'!H41+'Jan-25'!H41+'Feb-25'!H41+#REF!+#REF!+#REF!+'Dec-25'!H41</f>
        <v>#REF!</v>
      </c>
      <c r="I41" s="42" t="e">
        <f>+'Jul-24'!I41+'Aug-24'!I41+'Sep-24'!I41+'Oct-24'!I41+'Nov-24'!I41+'Dec-24'!I41+'Jan-25'!I41+'Feb-25'!I41+#REF!+#REF!+#REF!+'Dec-25'!I41</f>
        <v>#REF!</v>
      </c>
      <c r="J41" s="42" t="e">
        <f>+'Jul-24'!J41+'Aug-24'!J41+'Sep-24'!J41+'Oct-24'!J41+'Nov-24'!J41+'Dec-24'!J41+'Jan-25'!J41+'Feb-25'!J41+#REF!+#REF!+#REF!+'Dec-25'!J41</f>
        <v>#REF!</v>
      </c>
      <c r="K41" s="42" t="e">
        <f>+'Jul-24'!K41+'Aug-24'!K41+'Sep-24'!K41+'Oct-24'!K41+'Nov-24'!K41+'Dec-24'!K41+'Jan-25'!K41+'Feb-25'!K41+#REF!+#REF!+#REF!+'Dec-25'!K41</f>
        <v>#REF!</v>
      </c>
      <c r="L41" s="35" t="e">
        <f t="shared" ref="L41:L48" si="14">SUM(G41:K41)</f>
        <v>#REF!</v>
      </c>
      <c r="M41" s="35" t="e">
        <f t="shared" si="13"/>
        <v>#REF!</v>
      </c>
      <c r="N41" s="32"/>
      <c r="O41" s="44"/>
      <c r="P41" s="44"/>
      <c r="Q41" s="44"/>
    </row>
    <row r="42" spans="1:24" x14ac:dyDescent="0.25">
      <c r="A42" s="14"/>
      <c r="B42" s="27"/>
      <c r="C42" s="28"/>
      <c r="D42" s="28" t="s">
        <v>11</v>
      </c>
      <c r="E42" s="28"/>
      <c r="F42" s="28"/>
      <c r="G42" s="42" t="e">
        <f>+'Jul-24'!G42+'Aug-24'!G42+'Sep-24'!G42+'Oct-24'!G42+'Nov-24'!G42+'Dec-24'!G42+'Jan-25'!G42+'Feb-25'!G42+#REF!+#REF!+#REF!+'Dec-25'!G42</f>
        <v>#REF!</v>
      </c>
      <c r="H42" s="42" t="e">
        <f>+'Jul-24'!H42+'Aug-24'!H42+'Sep-24'!H42+'Oct-24'!H42+'Nov-24'!H42+'Dec-24'!H42+'Jan-25'!H42+'Feb-25'!H42+#REF!+#REF!+#REF!+'Dec-25'!H42</f>
        <v>#REF!</v>
      </c>
      <c r="I42" s="42" t="e">
        <f>+'Jul-24'!I42+'Aug-24'!I42+'Sep-24'!I42+'Oct-24'!I42+'Nov-24'!I42+'Dec-24'!I42+'Jan-25'!I42+'Feb-25'!I42+#REF!+#REF!+#REF!+'Dec-25'!I42</f>
        <v>#REF!</v>
      </c>
      <c r="J42" s="42" t="e">
        <f>+'Jul-24'!J42+'Aug-24'!J42+'Sep-24'!J42+'Oct-24'!J42+'Nov-24'!J42+'Dec-24'!J42+'Jan-25'!J42+'Feb-25'!J42+#REF!+#REF!+#REF!+'Dec-25'!J42</f>
        <v>#REF!</v>
      </c>
      <c r="K42" s="42" t="e">
        <f>+'Jul-24'!K42+'Aug-24'!K42+'Sep-24'!K42+'Oct-24'!K42+'Nov-24'!K42+'Dec-24'!K42+'Jan-25'!K42+'Feb-25'!K42+#REF!+#REF!+#REF!+'Dec-25'!K42</f>
        <v>#REF!</v>
      </c>
      <c r="L42" s="35" t="e">
        <f t="shared" si="14"/>
        <v>#REF!</v>
      </c>
      <c r="M42" s="35" t="e">
        <f t="shared" si="13"/>
        <v>#REF!</v>
      </c>
      <c r="N42" s="32"/>
      <c r="O42" s="44"/>
      <c r="P42" s="44"/>
      <c r="Q42" s="44"/>
    </row>
    <row r="43" spans="1:24" x14ac:dyDescent="0.25">
      <c r="A43" s="14"/>
      <c r="B43" s="27"/>
      <c r="C43" s="28"/>
      <c r="D43" s="28" t="s">
        <v>12</v>
      </c>
      <c r="E43" s="28"/>
      <c r="F43" s="28"/>
      <c r="G43" s="43" t="e">
        <f>+'Jul-24'!G43+'Aug-24'!G43+'Sep-24'!G43+'Oct-24'!G43+'Nov-24'!G43+'Dec-24'!G43+'Jan-25'!G43+'Feb-25'!G43+#REF!+#REF!+#REF!+'Dec-25'!G43</f>
        <v>#REF!</v>
      </c>
      <c r="H43" s="43" t="e">
        <f>+'Jul-24'!H43+'Aug-24'!H43+'Sep-24'!H43+'Oct-24'!H43+'Nov-24'!H43+'Dec-24'!H43+'Jan-25'!H43+'Feb-25'!H43+#REF!+#REF!+#REF!+'Dec-25'!H43</f>
        <v>#REF!</v>
      </c>
      <c r="I43" s="43" t="e">
        <f>+'Jul-24'!I43+'Aug-24'!I43+'Sep-24'!I43+'Oct-24'!I43+'Nov-24'!I43+'Dec-24'!I43+'Jan-25'!I43+'Feb-25'!I43+#REF!+#REF!+#REF!+'Dec-25'!I43</f>
        <v>#REF!</v>
      </c>
      <c r="J43" s="43" t="e">
        <f>+'Jul-24'!J43+'Aug-24'!J43+'Sep-24'!J43+'Oct-24'!J43+'Nov-24'!J43+'Dec-24'!J43+'Jan-25'!J43+'Feb-25'!J43+#REF!+#REF!+#REF!+'Dec-25'!J43</f>
        <v>#REF!</v>
      </c>
      <c r="K43" s="43" t="e">
        <f>+'Jul-24'!K43+'Aug-24'!K43+'Sep-24'!K43+'Oct-24'!K43+'Nov-24'!K43+'Dec-24'!K43+'Jan-25'!K43+'Feb-25'!K43+#REF!+#REF!+#REF!+'Dec-25'!K43</f>
        <v>#REF!</v>
      </c>
      <c r="L43" s="31" t="e">
        <f t="shared" si="14"/>
        <v>#REF!</v>
      </c>
      <c r="M43" s="31" t="e">
        <f t="shared" si="13"/>
        <v>#REF!</v>
      </c>
      <c r="N43" s="32"/>
      <c r="O43" s="44"/>
      <c r="P43" s="44"/>
      <c r="Q43" s="44"/>
    </row>
    <row r="44" spans="1:24" x14ac:dyDescent="0.25">
      <c r="A44" s="14"/>
      <c r="B44" s="27"/>
      <c r="C44" s="28" t="s">
        <v>13</v>
      </c>
      <c r="D44" s="28"/>
      <c r="E44" s="28"/>
      <c r="F44" s="28"/>
      <c r="G44" s="42" t="e">
        <f>+'Jul-24'!G44+'Aug-24'!G44+'Sep-24'!G44+'Oct-24'!G44+'Nov-24'!G44+'Dec-24'!G44+'Jan-25'!G44+'Feb-25'!G44+#REF!+#REF!+#REF!+'Dec-25'!G44</f>
        <v>#REF!</v>
      </c>
      <c r="H44" s="42" t="e">
        <f>+'Jul-24'!H44+'Aug-24'!H44+'Sep-24'!H44+'Oct-24'!H44+'Nov-24'!H44+'Dec-24'!H44+'Jan-25'!H44+'Feb-25'!H44+#REF!+#REF!+#REF!+'Dec-25'!H44</f>
        <v>#REF!</v>
      </c>
      <c r="I44" s="42" t="e">
        <f>+'Jul-24'!I44+'Aug-24'!I44+'Sep-24'!I44+'Oct-24'!I44+'Nov-24'!I44+'Dec-24'!I44+'Jan-25'!I44+'Feb-25'!I44+#REF!+#REF!+#REF!+'Dec-25'!I44</f>
        <v>#REF!</v>
      </c>
      <c r="J44" s="42" t="e">
        <f>+'Jul-24'!J44+'Aug-24'!J44+'Sep-24'!J44+'Oct-24'!J44+'Nov-24'!J44+'Dec-24'!J44+'Jan-25'!J44+'Feb-25'!J44+#REF!+#REF!+#REF!+'Dec-25'!J44</f>
        <v>#REF!</v>
      </c>
      <c r="K44" s="42" t="e">
        <f>+'Jul-24'!K44+'Aug-24'!K44+'Sep-24'!K44+'Oct-24'!K44+'Nov-24'!K44+'Dec-24'!K44+'Jan-25'!K44+'Feb-25'!K44+#REF!+#REF!+#REF!+'Dec-25'!K44</f>
        <v>#REF!</v>
      </c>
      <c r="L44" s="35" t="e">
        <f t="shared" si="14"/>
        <v>#REF!</v>
      </c>
      <c r="M44" s="35" t="e">
        <f t="shared" si="13"/>
        <v>#REF!</v>
      </c>
      <c r="N44" s="32"/>
      <c r="O44" s="44"/>
      <c r="P44" s="44"/>
      <c r="Q44" s="44"/>
    </row>
    <row r="45" spans="1:24" x14ac:dyDescent="0.25">
      <c r="A45" s="14"/>
      <c r="B45" s="27"/>
      <c r="C45" s="28" t="s">
        <v>14</v>
      </c>
      <c r="D45" s="28"/>
      <c r="E45" s="28"/>
      <c r="F45" s="28"/>
      <c r="G45" s="42" t="e">
        <f>+'Jul-24'!G45+'Aug-24'!G45+'Sep-24'!G45+'Oct-24'!G45+'Nov-24'!G45+'Dec-24'!G45+'Jan-25'!G45+'Feb-25'!G45+#REF!+#REF!+#REF!+'Dec-25'!G45</f>
        <v>#REF!</v>
      </c>
      <c r="H45" s="42" t="e">
        <f>+'Jul-24'!H45+'Aug-24'!H45+'Sep-24'!H45+'Oct-24'!H45+'Nov-24'!H45+'Dec-24'!H45+'Jan-25'!H45+'Feb-25'!H45+#REF!+#REF!+#REF!+'Dec-25'!H45</f>
        <v>#REF!</v>
      </c>
      <c r="I45" s="42" t="e">
        <f>+'Jul-24'!I45+'Aug-24'!I45+'Sep-24'!I45+'Oct-24'!I45+'Nov-24'!I45+'Dec-24'!I45+'Jan-25'!I45+'Feb-25'!I45+#REF!+#REF!+#REF!+'Dec-25'!I45</f>
        <v>#REF!</v>
      </c>
      <c r="J45" s="42" t="e">
        <f>+'Jul-24'!J45+'Aug-24'!J45+'Sep-24'!J45+'Oct-24'!J45+'Nov-24'!J45+'Dec-24'!J45+'Jan-25'!J45+'Feb-25'!J45+#REF!+#REF!+#REF!+'Dec-25'!J45</f>
        <v>#REF!</v>
      </c>
      <c r="K45" s="42" t="e">
        <f>+'Jul-24'!K45+'Aug-24'!K45+'Sep-24'!K45+'Oct-24'!K45+'Nov-24'!K45+'Dec-24'!K45+'Jan-25'!K45+'Feb-25'!K45+#REF!+#REF!+#REF!+'Dec-25'!K45</f>
        <v>#REF!</v>
      </c>
      <c r="L45" s="35" t="e">
        <f t="shared" si="14"/>
        <v>#REF!</v>
      </c>
      <c r="M45" s="35" t="e">
        <f t="shared" si="13"/>
        <v>#REF!</v>
      </c>
      <c r="N45" s="32"/>
      <c r="O45" s="44"/>
      <c r="P45" s="44"/>
      <c r="Q45" s="44"/>
    </row>
    <row r="46" spans="1:24" x14ac:dyDescent="0.25">
      <c r="A46" s="14"/>
      <c r="B46" s="27"/>
      <c r="C46" s="28" t="s">
        <v>4</v>
      </c>
      <c r="D46" s="28"/>
      <c r="E46" s="28"/>
      <c r="F46" s="28"/>
      <c r="G46" s="42" t="e">
        <f>+'Jul-24'!G46+'Aug-24'!G46+'Sep-24'!G46+'Oct-24'!G46+'Nov-24'!G46+'Dec-24'!G46+'Jan-25'!G46+'Feb-25'!G46+#REF!+#REF!+#REF!+'Dec-25'!G46</f>
        <v>#REF!</v>
      </c>
      <c r="H46" s="42" t="e">
        <f>+'Jul-24'!H46+'Aug-24'!H46+'Sep-24'!H46+'Oct-24'!H46+'Nov-24'!H46+'Dec-24'!H46+'Jan-25'!H46+'Feb-25'!H46+#REF!+#REF!+#REF!+'Dec-25'!H46</f>
        <v>#REF!</v>
      </c>
      <c r="I46" s="42" t="e">
        <f>+'Jul-24'!I46+'Aug-24'!I46+'Sep-24'!I46+'Oct-24'!I46+'Nov-24'!I46+'Dec-24'!I46+'Jan-25'!I46+'Feb-25'!I46+#REF!+#REF!+#REF!+'Dec-25'!I46</f>
        <v>#REF!</v>
      </c>
      <c r="J46" s="42" t="e">
        <f>+'Jul-24'!J46+'Aug-24'!J46+'Sep-24'!J46+'Oct-24'!J46+'Nov-24'!J46+'Dec-24'!J46+'Jan-25'!J46+'Feb-25'!J46+#REF!+#REF!+#REF!+'Dec-25'!J46</f>
        <v>#REF!</v>
      </c>
      <c r="K46" s="42" t="e">
        <f>+'Jul-24'!K46+'Aug-24'!K46+'Sep-24'!K46+'Oct-24'!K46+'Nov-24'!K46+'Dec-24'!K46+'Jan-25'!K46+'Feb-25'!K46+#REF!+#REF!+#REF!+'Dec-25'!K46</f>
        <v>#REF!</v>
      </c>
      <c r="L46" s="35" t="e">
        <f t="shared" si="14"/>
        <v>#REF!</v>
      </c>
      <c r="M46" s="35" t="e">
        <f t="shared" si="13"/>
        <v>#REF!</v>
      </c>
      <c r="N46" s="32"/>
      <c r="O46" s="44"/>
      <c r="P46" s="44"/>
      <c r="Q46" s="44"/>
    </row>
    <row r="47" spans="1:24" x14ac:dyDescent="0.25">
      <c r="A47" s="14"/>
      <c r="B47" s="27"/>
      <c r="C47" s="28" t="s">
        <v>15</v>
      </c>
      <c r="D47" s="28"/>
      <c r="E47" s="28"/>
      <c r="F47" s="28"/>
      <c r="G47" s="42" t="e">
        <f>+'Jul-24'!G47+'Aug-24'!G47+'Sep-24'!G47+'Oct-24'!G47+'Nov-24'!G47+'Dec-24'!G47+'Jan-25'!G47+'Feb-25'!G47+#REF!+#REF!+#REF!+'Dec-25'!G47</f>
        <v>#REF!</v>
      </c>
      <c r="H47" s="42" t="e">
        <f>+'Jul-24'!H47+'Aug-24'!H47+'Sep-24'!H47+'Oct-24'!H47+'Nov-24'!H47+'Dec-24'!H47+'Jan-25'!H47+'Feb-25'!H47+#REF!+#REF!+#REF!+'Dec-25'!H47</f>
        <v>#REF!</v>
      </c>
      <c r="I47" s="42" t="e">
        <f>+'Jul-24'!I47+'Aug-24'!I47+'Sep-24'!I47+'Oct-24'!I47+'Nov-24'!I47+'Dec-24'!I47+'Jan-25'!I47+'Feb-25'!I47+#REF!+#REF!+#REF!+'Dec-25'!I47</f>
        <v>#REF!</v>
      </c>
      <c r="J47" s="42" t="e">
        <f>+'Jul-24'!J47+'Aug-24'!J47+'Sep-24'!J47+'Oct-24'!J47+'Nov-24'!J47+'Dec-24'!J47+'Jan-25'!J47+'Feb-25'!J47+#REF!+#REF!+#REF!+'Dec-25'!J47</f>
        <v>#REF!</v>
      </c>
      <c r="K47" s="42" t="e">
        <f>+'Jul-24'!K47+'Aug-24'!K47+'Sep-24'!K47+'Oct-24'!K47+'Nov-24'!K47+'Dec-24'!K47+'Jan-25'!K47+'Feb-25'!K47+#REF!+#REF!+#REF!+'Dec-25'!K47</f>
        <v>#REF!</v>
      </c>
      <c r="L47" s="35" t="e">
        <f t="shared" si="14"/>
        <v>#REF!</v>
      </c>
      <c r="M47" s="35" t="e">
        <f t="shared" si="13"/>
        <v>#REF!</v>
      </c>
      <c r="N47" s="32"/>
      <c r="O47" s="44"/>
      <c r="P47" s="44"/>
      <c r="Q47" s="44"/>
    </row>
    <row r="48" spans="1:24" x14ac:dyDescent="0.25">
      <c r="A48" s="14"/>
      <c r="B48" s="27"/>
      <c r="C48" s="28" t="s">
        <v>16</v>
      </c>
      <c r="D48" s="28"/>
      <c r="E48" s="28"/>
      <c r="F48" s="28"/>
      <c r="G48" s="42" t="e">
        <f>+'Jul-24'!G48+'Aug-24'!G48+'Sep-24'!G48+'Oct-24'!G48+'Nov-24'!G48+'Dec-24'!G48+'Jan-25'!G48+'Feb-25'!G48+#REF!+#REF!+#REF!+'Dec-25'!G48</f>
        <v>#REF!</v>
      </c>
      <c r="H48" s="42" t="e">
        <f>+'Jul-24'!H48+'Aug-24'!H48+'Sep-24'!H48+'Oct-24'!H48+'Nov-24'!H48+'Dec-24'!H48+'Jan-25'!H48+'Feb-25'!H48+#REF!+#REF!+#REF!+'Dec-25'!H48</f>
        <v>#REF!</v>
      </c>
      <c r="I48" s="42" t="e">
        <f>+'Jul-24'!I48+'Aug-24'!I48+'Sep-24'!I48+'Oct-24'!I48+'Nov-24'!I48+'Dec-24'!I48+'Jan-25'!I48+'Feb-25'!I48+#REF!+#REF!+#REF!+'Dec-25'!I48</f>
        <v>#REF!</v>
      </c>
      <c r="J48" s="42" t="e">
        <f>+'Jul-24'!J48+'Aug-24'!J48+'Sep-24'!J48+'Oct-24'!J48+'Nov-24'!J48+'Dec-24'!J48+'Jan-25'!J48+'Feb-25'!J48+#REF!+#REF!+#REF!+'Dec-25'!J48</f>
        <v>#REF!</v>
      </c>
      <c r="K48" s="42" t="e">
        <f>+'Jul-24'!K48+'Aug-24'!K48+'Sep-24'!K48+'Oct-24'!K48+'Nov-24'!K48+'Dec-24'!K48+'Jan-25'!K48+'Feb-25'!K48+#REF!+#REF!+#REF!+'Dec-25'!K48</f>
        <v>#REF!</v>
      </c>
      <c r="L48" s="35" t="e">
        <f t="shared" si="14"/>
        <v>#REF!</v>
      </c>
      <c r="M48" s="35" t="e">
        <f t="shared" si="13"/>
        <v>#REF!</v>
      </c>
      <c r="N48" s="32"/>
      <c r="O48" s="44"/>
      <c r="P48" s="44"/>
      <c r="Q48" s="44"/>
    </row>
    <row r="49" spans="1:24" ht="15.75" thickBot="1" x14ac:dyDescent="0.3">
      <c r="A49" s="14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4"/>
      <c r="P49" s="44"/>
      <c r="Q49" s="44"/>
    </row>
    <row r="50" spans="1:24" ht="15.75" thickBot="1" x14ac:dyDescent="0.3">
      <c r="A50" s="14"/>
      <c r="G50" s="33"/>
      <c r="H50" s="33"/>
      <c r="I50" s="33"/>
      <c r="J50" s="33"/>
      <c r="K50" s="33"/>
      <c r="L50" s="33"/>
      <c r="M50" s="33"/>
      <c r="N50" s="33"/>
      <c r="O50" s="44"/>
      <c r="P50" s="44"/>
      <c r="Q50" s="44"/>
    </row>
    <row r="51" spans="1:24" x14ac:dyDescent="0.25">
      <c r="A51" s="4">
        <f>+A35+1</f>
        <v>3</v>
      </c>
      <c r="B51" s="40"/>
      <c r="C51" s="6" t="s">
        <v>19</v>
      </c>
      <c r="D51" s="7"/>
      <c r="E51" s="8"/>
      <c r="F51" s="8"/>
      <c r="G51" s="10">
        <f>+$G$3</f>
        <v>2024</v>
      </c>
      <c r="H51" s="10">
        <f>+G51</f>
        <v>2024</v>
      </c>
      <c r="I51" s="10">
        <f t="shared" ref="I51:M52" si="15">+H51</f>
        <v>2024</v>
      </c>
      <c r="J51" s="10">
        <f t="shared" si="15"/>
        <v>2024</v>
      </c>
      <c r="K51" s="10">
        <f t="shared" si="15"/>
        <v>2024</v>
      </c>
      <c r="L51" s="10">
        <f t="shared" si="15"/>
        <v>2024</v>
      </c>
      <c r="M51" s="10">
        <f t="shared" si="15"/>
        <v>2024</v>
      </c>
      <c r="N51" s="11"/>
      <c r="O51" s="44"/>
      <c r="P51" s="44"/>
      <c r="Q51" s="44"/>
      <c r="S51" s="12" t="str">
        <f>+C51</f>
        <v>Lavumisa</v>
      </c>
      <c r="T51" s="13" t="e">
        <f>+L55</f>
        <v>#REF!</v>
      </c>
      <c r="U51" s="13" t="e">
        <f>+L56+L57</f>
        <v>#REF!</v>
      </c>
      <c r="V51" s="13" t="e">
        <f>+L58+L59</f>
        <v>#REF!</v>
      </c>
      <c r="W51" s="13" t="e">
        <f>+L62</f>
        <v>#REF!</v>
      </c>
      <c r="X51" s="13" t="e">
        <f>+L60</f>
        <v>#REF!</v>
      </c>
    </row>
    <row r="52" spans="1:24" x14ac:dyDescent="0.25">
      <c r="A52" s="14"/>
      <c r="B52" s="15"/>
      <c r="C52" s="41" t="str">
        <f>+$C36</f>
        <v>Year to Date 2024/2025</v>
      </c>
      <c r="D52" s="18"/>
      <c r="E52" s="18"/>
      <c r="F52" s="18"/>
      <c r="G52" s="20" t="str">
        <f>+$G$4</f>
        <v>Week</v>
      </c>
      <c r="H52" s="20" t="str">
        <f>+G52</f>
        <v>Week</v>
      </c>
      <c r="I52" s="20" t="str">
        <f t="shared" si="15"/>
        <v>Week</v>
      </c>
      <c r="J52" s="20" t="str">
        <f t="shared" si="15"/>
        <v>Week</v>
      </c>
      <c r="K52" s="20" t="str">
        <f t="shared" si="15"/>
        <v>Week</v>
      </c>
      <c r="L52" s="20" t="str">
        <f t="shared" si="15"/>
        <v>Week</v>
      </c>
      <c r="M52" s="20" t="str">
        <f t="shared" si="15"/>
        <v>Week</v>
      </c>
      <c r="N52" s="21"/>
      <c r="O52" s="44"/>
      <c r="P52" s="44"/>
      <c r="Q52" s="44"/>
    </row>
    <row r="53" spans="1:24" ht="15.75" thickBot="1" x14ac:dyDescent="0.3">
      <c r="A53" s="14"/>
      <c r="B53" s="22"/>
      <c r="C53" s="23"/>
      <c r="D53" s="23"/>
      <c r="E53" s="23"/>
      <c r="F53" s="23"/>
      <c r="G53" s="25">
        <f>+$G$5</f>
        <v>1</v>
      </c>
      <c r="H53" s="25">
        <f>+$H$5</f>
        <v>2</v>
      </c>
      <c r="I53" s="25">
        <f>+$I$5</f>
        <v>3</v>
      </c>
      <c r="J53" s="25">
        <f>+$J$5</f>
        <v>4</v>
      </c>
      <c r="K53" s="25">
        <f>+$K$5</f>
        <v>5</v>
      </c>
      <c r="L53" s="25" t="s">
        <v>6</v>
      </c>
      <c r="M53" s="25" t="s">
        <v>7</v>
      </c>
      <c r="N53" s="26"/>
      <c r="O53" s="44"/>
      <c r="P53" s="44"/>
      <c r="Q53" s="44"/>
    </row>
    <row r="54" spans="1:24" x14ac:dyDescent="0.25">
      <c r="A54" s="14"/>
      <c r="B54" s="27"/>
      <c r="C54" s="28"/>
      <c r="D54" s="28"/>
      <c r="E54" s="28"/>
      <c r="F54" s="28"/>
      <c r="G54" s="29"/>
      <c r="H54" s="29"/>
      <c r="I54" s="29"/>
      <c r="J54" s="29"/>
      <c r="K54" s="28"/>
      <c r="L54" s="28"/>
      <c r="M54" s="28"/>
      <c r="N54" s="30"/>
      <c r="O54" s="44"/>
      <c r="P54" s="44"/>
      <c r="Q54" s="44"/>
    </row>
    <row r="55" spans="1:24" x14ac:dyDescent="0.25">
      <c r="A55" s="14"/>
      <c r="B55" s="27"/>
      <c r="C55" s="28" t="s">
        <v>8</v>
      </c>
      <c r="D55" s="28"/>
      <c r="E55" s="28"/>
      <c r="F55" s="28"/>
      <c r="G55" s="31" t="e">
        <f>SUM(G56:G59)</f>
        <v>#REF!</v>
      </c>
      <c r="H55" s="31" t="e">
        <f t="shared" ref="H55:L55" si="16">SUM(H56:H59)</f>
        <v>#REF!</v>
      </c>
      <c r="I55" s="31" t="e">
        <f t="shared" si="16"/>
        <v>#REF!</v>
      </c>
      <c r="J55" s="31" t="e">
        <f t="shared" si="16"/>
        <v>#REF!</v>
      </c>
      <c r="K55" s="31" t="e">
        <f t="shared" si="16"/>
        <v>#REF!</v>
      </c>
      <c r="L55" s="31" t="e">
        <f t="shared" si="16"/>
        <v>#REF!</v>
      </c>
      <c r="M55" s="31" t="e">
        <f>ROUND((L55/$E$1),0)</f>
        <v>#REF!</v>
      </c>
      <c r="N55" s="32"/>
      <c r="O55" s="44"/>
      <c r="P55" s="44"/>
      <c r="Q55" s="44"/>
    </row>
    <row r="56" spans="1:24" x14ac:dyDescent="0.25">
      <c r="A56" s="14"/>
      <c r="B56" s="27"/>
      <c r="C56" s="28"/>
      <c r="D56" s="28" t="s">
        <v>9</v>
      </c>
      <c r="E56" s="28"/>
      <c r="F56" s="28"/>
      <c r="G56" s="42" t="e">
        <f>+'Jul-24'!G56+'Aug-24'!G56+'Sep-24'!G56+'Oct-24'!G56+'Nov-24'!G56+'Dec-24'!G56+'Jan-25'!G56+'Feb-25'!G56+#REF!+#REF!+#REF!+'Dec-25'!G56</f>
        <v>#REF!</v>
      </c>
      <c r="H56" s="42" t="e">
        <f>+'Jul-24'!H56+'Aug-24'!H56+'Sep-24'!H56+'Oct-24'!H56+'Nov-24'!H56+'Dec-24'!H56+'Jan-25'!H56+'Feb-25'!H56+#REF!+#REF!+#REF!+'Dec-25'!H56</f>
        <v>#REF!</v>
      </c>
      <c r="I56" s="42" t="e">
        <f>+'Jul-24'!I56+'Aug-24'!I56+'Sep-24'!I56+'Oct-24'!I56+'Nov-24'!I56+'Dec-24'!I56+'Jan-25'!I56+'Feb-25'!I56+#REF!+#REF!+#REF!+'Dec-25'!I56</f>
        <v>#REF!</v>
      </c>
      <c r="J56" s="42" t="e">
        <f>+'Jul-24'!J56+'Aug-24'!J56+'Sep-24'!J56+'Oct-24'!J56+'Nov-24'!J56+'Dec-24'!J56+'Jan-25'!J56+'Feb-25'!J56+#REF!+#REF!+#REF!+'Dec-25'!J56</f>
        <v>#REF!</v>
      </c>
      <c r="K56" s="42" t="e">
        <f>+'Jul-24'!K56+'Aug-24'!K56+'Sep-24'!K56+'Oct-24'!K56+'Nov-24'!K56+'Dec-24'!K56+'Jan-25'!K56+'Feb-25'!K56+#REF!+#REF!+#REF!+'Dec-25'!K56</f>
        <v>#REF!</v>
      </c>
      <c r="L56" s="35" t="e">
        <f>SUM(G56:K56)</f>
        <v>#REF!</v>
      </c>
      <c r="M56" s="35" t="e">
        <f t="shared" ref="M56:M64" si="17">ROUND((L56/$E$1),0)</f>
        <v>#REF!</v>
      </c>
      <c r="N56" s="32"/>
      <c r="O56" s="44"/>
      <c r="P56" s="44"/>
      <c r="Q56" s="44"/>
    </row>
    <row r="57" spans="1:24" x14ac:dyDescent="0.25">
      <c r="A57" s="14"/>
      <c r="B57" s="27"/>
      <c r="C57" s="28"/>
      <c r="D57" s="28" t="s">
        <v>10</v>
      </c>
      <c r="E57" s="28"/>
      <c r="F57" s="28"/>
      <c r="G57" s="42" t="e">
        <f>+'Jul-24'!G57+'Aug-24'!G57+'Sep-24'!G57+'Oct-24'!G57+'Nov-24'!G57+'Dec-24'!G57+'Jan-25'!G57+'Feb-25'!G57+#REF!+#REF!+#REF!+'Dec-25'!G57</f>
        <v>#REF!</v>
      </c>
      <c r="H57" s="42" t="e">
        <f>+'Jul-24'!H57+'Aug-24'!H57+'Sep-24'!H57+'Oct-24'!H57+'Nov-24'!H57+'Dec-24'!H57+'Jan-25'!H57+'Feb-25'!H57+#REF!+#REF!+#REF!+'Dec-25'!H57</f>
        <v>#REF!</v>
      </c>
      <c r="I57" s="42" t="e">
        <f>+'Jul-24'!I57+'Aug-24'!I57+'Sep-24'!I57+'Oct-24'!I57+'Nov-24'!I57+'Dec-24'!I57+'Jan-25'!I57+'Feb-25'!I57+#REF!+#REF!+#REF!+'Dec-25'!I57</f>
        <v>#REF!</v>
      </c>
      <c r="J57" s="42" t="e">
        <f>+'Jul-24'!J57+'Aug-24'!J57+'Sep-24'!J57+'Oct-24'!J57+'Nov-24'!J57+'Dec-24'!J57+'Jan-25'!J57+'Feb-25'!J57+#REF!+#REF!+#REF!+'Dec-25'!J57</f>
        <v>#REF!</v>
      </c>
      <c r="K57" s="42" t="e">
        <f>+'Jul-24'!K57+'Aug-24'!K57+'Sep-24'!K57+'Oct-24'!K57+'Nov-24'!K57+'Dec-24'!K57+'Jan-25'!K57+'Feb-25'!K57+#REF!+#REF!+#REF!+'Dec-25'!K57</f>
        <v>#REF!</v>
      </c>
      <c r="L57" s="35" t="e">
        <f t="shared" ref="L57:L64" si="18">SUM(G57:K57)</f>
        <v>#REF!</v>
      </c>
      <c r="M57" s="35" t="e">
        <f t="shared" si="17"/>
        <v>#REF!</v>
      </c>
      <c r="N57" s="32"/>
      <c r="O57" s="44"/>
      <c r="P57" s="44"/>
      <c r="Q57" s="44"/>
    </row>
    <row r="58" spans="1:24" x14ac:dyDescent="0.25">
      <c r="A58" s="14"/>
      <c r="B58" s="27"/>
      <c r="C58" s="28"/>
      <c r="D58" s="28" t="s">
        <v>11</v>
      </c>
      <c r="E58" s="28"/>
      <c r="F58" s="28"/>
      <c r="G58" s="42" t="e">
        <f>+'Jul-24'!G58+'Aug-24'!G58+'Sep-24'!G58+'Oct-24'!G58+'Nov-24'!G58+'Dec-24'!G58+'Jan-25'!G58+'Feb-25'!G58+#REF!+#REF!+#REF!+'Dec-25'!G58</f>
        <v>#REF!</v>
      </c>
      <c r="H58" s="42" t="e">
        <f>+'Jul-24'!H58+'Aug-24'!H58+'Sep-24'!H58+'Oct-24'!H58+'Nov-24'!H58+'Dec-24'!H58+'Jan-25'!H58+'Feb-25'!H58+#REF!+#REF!+#REF!+'Dec-25'!H58</f>
        <v>#REF!</v>
      </c>
      <c r="I58" s="42" t="e">
        <f>+'Jul-24'!I58+'Aug-24'!I58+'Sep-24'!I58+'Oct-24'!I58+'Nov-24'!I58+'Dec-24'!I58+'Jan-25'!I58+'Feb-25'!I58+#REF!+#REF!+#REF!+'Dec-25'!I58</f>
        <v>#REF!</v>
      </c>
      <c r="J58" s="42" t="e">
        <f>+'Jul-24'!J58+'Aug-24'!J58+'Sep-24'!J58+'Oct-24'!J58+'Nov-24'!J58+'Dec-24'!J58+'Jan-25'!J58+'Feb-25'!J58+#REF!+#REF!+#REF!+'Dec-25'!J58</f>
        <v>#REF!</v>
      </c>
      <c r="K58" s="42" t="e">
        <f>+'Jul-24'!K58+'Aug-24'!K58+'Sep-24'!K58+'Oct-24'!K58+'Nov-24'!K58+'Dec-24'!K58+'Jan-25'!K58+'Feb-25'!K58+#REF!+#REF!+#REF!+'Dec-25'!K58</f>
        <v>#REF!</v>
      </c>
      <c r="L58" s="35" t="e">
        <f t="shared" si="18"/>
        <v>#REF!</v>
      </c>
      <c r="M58" s="35" t="e">
        <f t="shared" si="17"/>
        <v>#REF!</v>
      </c>
      <c r="N58" s="32"/>
      <c r="O58" s="44"/>
      <c r="P58" s="44"/>
      <c r="Q58" s="44"/>
    </row>
    <row r="59" spans="1:24" x14ac:dyDescent="0.25">
      <c r="A59" s="14"/>
      <c r="B59" s="27"/>
      <c r="C59" s="28"/>
      <c r="D59" s="28" t="s">
        <v>12</v>
      </c>
      <c r="E59" s="28"/>
      <c r="F59" s="28"/>
      <c r="G59" s="43" t="e">
        <f>+'Jul-24'!G59+'Aug-24'!G59+'Sep-24'!G59+'Oct-24'!G59+'Nov-24'!G59+'Dec-24'!G59+'Jan-25'!G59+'Feb-25'!G59+#REF!+#REF!+#REF!+'Dec-25'!G59</f>
        <v>#REF!</v>
      </c>
      <c r="H59" s="43" t="e">
        <f>+'Jul-24'!H59+'Aug-24'!H59+'Sep-24'!H59+'Oct-24'!H59+'Nov-24'!H59+'Dec-24'!H59+'Jan-25'!H59+'Feb-25'!H59+#REF!+#REF!+#REF!+'Dec-25'!H59</f>
        <v>#REF!</v>
      </c>
      <c r="I59" s="43" t="e">
        <f>+'Jul-24'!I59+'Aug-24'!I59+'Sep-24'!I59+'Oct-24'!I59+'Nov-24'!I59+'Dec-24'!I59+'Jan-25'!I59+'Feb-25'!I59+#REF!+#REF!+#REF!+'Dec-25'!I59</f>
        <v>#REF!</v>
      </c>
      <c r="J59" s="43" t="e">
        <f>+'Jul-24'!J59+'Aug-24'!J59+'Sep-24'!J59+'Oct-24'!J59+'Nov-24'!J59+'Dec-24'!J59+'Jan-25'!J59+'Feb-25'!J59+#REF!+#REF!+#REF!+'Dec-25'!J59</f>
        <v>#REF!</v>
      </c>
      <c r="K59" s="43" t="e">
        <f>+'Jul-24'!K59+'Aug-24'!K59+'Sep-24'!K59+'Oct-24'!K59+'Nov-24'!K59+'Dec-24'!K59+'Jan-25'!K59+'Feb-25'!K59+#REF!+#REF!+#REF!+'Dec-25'!K59</f>
        <v>#REF!</v>
      </c>
      <c r="L59" s="31" t="e">
        <f t="shared" si="18"/>
        <v>#REF!</v>
      </c>
      <c r="M59" s="31" t="e">
        <f t="shared" si="17"/>
        <v>#REF!</v>
      </c>
      <c r="N59" s="32"/>
      <c r="O59" s="44"/>
      <c r="P59" s="44"/>
      <c r="Q59" s="44"/>
    </row>
    <row r="60" spans="1:24" x14ac:dyDescent="0.25">
      <c r="A60" s="14"/>
      <c r="B60" s="27"/>
      <c r="C60" s="28" t="s">
        <v>13</v>
      </c>
      <c r="D60" s="28"/>
      <c r="E60" s="28"/>
      <c r="F60" s="28"/>
      <c r="G60" s="42" t="e">
        <f>+'Jul-24'!G60+'Aug-24'!G60+'Sep-24'!G60+'Oct-24'!G60+'Nov-24'!G60+'Dec-24'!G60+'Jan-25'!G60+'Feb-25'!G60+#REF!+#REF!+#REF!+'Dec-25'!G60</f>
        <v>#REF!</v>
      </c>
      <c r="H60" s="42" t="e">
        <f>+'Jul-24'!H60+'Aug-24'!H60+'Sep-24'!H60+'Oct-24'!H60+'Nov-24'!H60+'Dec-24'!H60+'Jan-25'!H60+'Feb-25'!H60+#REF!+#REF!+#REF!+'Dec-25'!H60</f>
        <v>#REF!</v>
      </c>
      <c r="I60" s="42" t="e">
        <f>+'Jul-24'!I60+'Aug-24'!I60+'Sep-24'!I60+'Oct-24'!I60+'Nov-24'!I60+'Dec-24'!I60+'Jan-25'!I60+'Feb-25'!I60+#REF!+#REF!+#REF!+'Dec-25'!I60</f>
        <v>#REF!</v>
      </c>
      <c r="J60" s="42" t="e">
        <f>+'Jul-24'!J60+'Aug-24'!J60+'Sep-24'!J60+'Oct-24'!J60+'Nov-24'!J60+'Dec-24'!J60+'Jan-25'!J60+'Feb-25'!J60+#REF!+#REF!+#REF!+'Dec-25'!J60</f>
        <v>#REF!</v>
      </c>
      <c r="K60" s="42" t="e">
        <f>+'Jul-24'!K60+'Aug-24'!K60+'Sep-24'!K60+'Oct-24'!K60+'Nov-24'!K60+'Dec-24'!K60+'Jan-25'!K60+'Feb-25'!K60+#REF!+#REF!+#REF!+'Dec-25'!K60</f>
        <v>#REF!</v>
      </c>
      <c r="L60" s="35" t="e">
        <f t="shared" si="18"/>
        <v>#REF!</v>
      </c>
      <c r="M60" s="35" t="e">
        <f t="shared" si="17"/>
        <v>#REF!</v>
      </c>
      <c r="N60" s="32"/>
      <c r="O60" s="44"/>
      <c r="P60" s="44"/>
      <c r="Q60" s="44"/>
    </row>
    <row r="61" spans="1:24" x14ac:dyDescent="0.25">
      <c r="A61" s="14"/>
      <c r="B61" s="27"/>
      <c r="C61" s="28" t="s">
        <v>14</v>
      </c>
      <c r="D61" s="28"/>
      <c r="E61" s="28"/>
      <c r="F61" s="28"/>
      <c r="G61" s="42" t="e">
        <f>+'Jul-24'!G61+'Aug-24'!G61+'Sep-24'!G61+'Oct-24'!G61+'Nov-24'!G61+'Dec-24'!G61+'Jan-25'!G61+'Feb-25'!G61+#REF!+#REF!+#REF!+'Dec-25'!G61</f>
        <v>#REF!</v>
      </c>
      <c r="H61" s="42" t="e">
        <f>+'Jul-24'!H61+'Aug-24'!H61+'Sep-24'!H61+'Oct-24'!H61+'Nov-24'!H61+'Dec-24'!H61+'Jan-25'!H61+'Feb-25'!H61+#REF!+#REF!+#REF!+'Dec-25'!H61</f>
        <v>#REF!</v>
      </c>
      <c r="I61" s="42" t="e">
        <f>+'Jul-24'!I61+'Aug-24'!I61+'Sep-24'!I61+'Oct-24'!I61+'Nov-24'!I61+'Dec-24'!I61+'Jan-25'!I61+'Feb-25'!I61+#REF!+#REF!+#REF!+'Dec-25'!I61</f>
        <v>#REF!</v>
      </c>
      <c r="J61" s="42" t="e">
        <f>+'Jul-24'!J61+'Aug-24'!J61+'Sep-24'!J61+'Oct-24'!J61+'Nov-24'!J61+'Dec-24'!J61+'Jan-25'!J61+'Feb-25'!J61+#REF!+#REF!+#REF!+'Dec-25'!J61</f>
        <v>#REF!</v>
      </c>
      <c r="K61" s="42" t="e">
        <f>+'Jul-24'!K61+'Aug-24'!K61+'Sep-24'!K61+'Oct-24'!K61+'Nov-24'!K61+'Dec-24'!K61+'Jan-25'!K61+'Feb-25'!K61+#REF!+#REF!+#REF!+'Dec-25'!K61</f>
        <v>#REF!</v>
      </c>
      <c r="L61" s="35" t="e">
        <f t="shared" si="18"/>
        <v>#REF!</v>
      </c>
      <c r="M61" s="35" t="e">
        <f t="shared" si="17"/>
        <v>#REF!</v>
      </c>
      <c r="N61" s="32"/>
      <c r="O61" s="44"/>
      <c r="P61" s="44"/>
      <c r="Q61" s="44"/>
    </row>
    <row r="62" spans="1:24" x14ac:dyDescent="0.25">
      <c r="A62" s="14"/>
      <c r="B62" s="27"/>
      <c r="C62" s="28" t="s">
        <v>4</v>
      </c>
      <c r="D62" s="28"/>
      <c r="E62" s="28"/>
      <c r="F62" s="28"/>
      <c r="G62" s="42" t="e">
        <f>+'Jul-24'!G62+'Aug-24'!G62+'Sep-24'!G62+'Oct-24'!G62+'Nov-24'!G62+'Dec-24'!G62+'Jan-25'!G62+'Feb-25'!G62+#REF!+#REF!+#REF!+'Dec-25'!G62</f>
        <v>#REF!</v>
      </c>
      <c r="H62" s="42" t="e">
        <f>+'Jul-24'!H62+'Aug-24'!H62+'Sep-24'!H62+'Oct-24'!H62+'Nov-24'!H62+'Dec-24'!H62+'Jan-25'!H62+'Feb-25'!H62+#REF!+#REF!+#REF!+'Dec-25'!H62</f>
        <v>#REF!</v>
      </c>
      <c r="I62" s="42" t="e">
        <f>+'Jul-24'!I62+'Aug-24'!I62+'Sep-24'!I62+'Oct-24'!I62+'Nov-24'!I62+'Dec-24'!I62+'Jan-25'!I62+'Feb-25'!I62+#REF!+#REF!+#REF!+'Dec-25'!I62</f>
        <v>#REF!</v>
      </c>
      <c r="J62" s="42" t="e">
        <f>+'Jul-24'!J62+'Aug-24'!J62+'Sep-24'!J62+'Oct-24'!J62+'Nov-24'!J62+'Dec-24'!J62+'Jan-25'!J62+'Feb-25'!J62+#REF!+#REF!+#REF!+'Dec-25'!J62</f>
        <v>#REF!</v>
      </c>
      <c r="K62" s="42" t="e">
        <f>+'Jul-24'!K62+'Aug-24'!K62+'Sep-24'!K62+'Oct-24'!K62+'Nov-24'!K62+'Dec-24'!K62+'Jan-25'!K62+'Feb-25'!K62+#REF!+#REF!+#REF!+'Dec-25'!K62</f>
        <v>#REF!</v>
      </c>
      <c r="L62" s="35" t="e">
        <f t="shared" si="18"/>
        <v>#REF!</v>
      </c>
      <c r="M62" s="35" t="e">
        <f t="shared" si="17"/>
        <v>#REF!</v>
      </c>
      <c r="N62" s="32"/>
      <c r="O62" s="44"/>
      <c r="P62" s="44"/>
      <c r="Q62" s="44"/>
    </row>
    <row r="63" spans="1:24" x14ac:dyDescent="0.25">
      <c r="A63" s="14"/>
      <c r="B63" s="27"/>
      <c r="C63" s="28" t="s">
        <v>15</v>
      </c>
      <c r="D63" s="28"/>
      <c r="E63" s="28"/>
      <c r="F63" s="28"/>
      <c r="G63" s="42" t="e">
        <f>+'Jul-24'!G63+'Aug-24'!G63+'Sep-24'!G63+'Oct-24'!G63+'Nov-24'!G63+'Dec-24'!G63+'Jan-25'!G63+'Feb-25'!G63+#REF!+#REF!+#REF!+'Dec-25'!G63</f>
        <v>#REF!</v>
      </c>
      <c r="H63" s="42" t="e">
        <f>+'Jul-24'!H63+'Aug-24'!H63+'Sep-24'!H63+'Oct-24'!H63+'Nov-24'!H63+'Dec-24'!H63+'Jan-25'!H63+'Feb-25'!H63+#REF!+#REF!+#REF!+'Dec-25'!H63</f>
        <v>#REF!</v>
      </c>
      <c r="I63" s="42" t="e">
        <f>+'Jul-24'!I63+'Aug-24'!I63+'Sep-24'!I63+'Oct-24'!I63+'Nov-24'!I63+'Dec-24'!I63+'Jan-25'!I63+'Feb-25'!I63+#REF!+#REF!+#REF!+'Dec-25'!I63</f>
        <v>#REF!</v>
      </c>
      <c r="J63" s="42" t="e">
        <f>+'Jul-24'!J63+'Aug-24'!J63+'Sep-24'!J63+'Oct-24'!J63+'Nov-24'!J63+'Dec-24'!J63+'Jan-25'!J63+'Feb-25'!J63+#REF!+#REF!+#REF!+'Dec-25'!J63</f>
        <v>#REF!</v>
      </c>
      <c r="K63" s="42" t="e">
        <f>+'Jul-24'!K63+'Aug-24'!K63+'Sep-24'!K63+'Oct-24'!K63+'Nov-24'!K63+'Dec-24'!K63+'Jan-25'!K63+'Feb-25'!K63+#REF!+#REF!+#REF!+'Dec-25'!K63</f>
        <v>#REF!</v>
      </c>
      <c r="L63" s="35" t="e">
        <f t="shared" si="18"/>
        <v>#REF!</v>
      </c>
      <c r="M63" s="35" t="e">
        <f t="shared" si="17"/>
        <v>#REF!</v>
      </c>
      <c r="N63" s="32"/>
      <c r="O63" s="44"/>
      <c r="P63" s="44"/>
      <c r="Q63" s="44"/>
    </row>
    <row r="64" spans="1:24" x14ac:dyDescent="0.25">
      <c r="A64" s="14"/>
      <c r="B64" s="27"/>
      <c r="C64" s="28" t="s">
        <v>16</v>
      </c>
      <c r="D64" s="28"/>
      <c r="E64" s="28"/>
      <c r="F64" s="28"/>
      <c r="G64" s="42" t="e">
        <f>+'Jul-24'!G64+'Aug-24'!G64+'Sep-24'!G64+'Oct-24'!G64+'Nov-24'!G64+'Dec-24'!G64+'Jan-25'!G64+'Feb-25'!G64+#REF!+#REF!+#REF!+'Dec-25'!G64</f>
        <v>#REF!</v>
      </c>
      <c r="H64" s="42" t="e">
        <f>+'Jul-24'!H64+'Aug-24'!H64+'Sep-24'!H64+'Oct-24'!H64+'Nov-24'!H64+'Dec-24'!H64+'Jan-25'!H64+'Feb-25'!H64+#REF!+#REF!+#REF!+'Dec-25'!H64</f>
        <v>#REF!</v>
      </c>
      <c r="I64" s="42" t="e">
        <f>+'Jul-24'!I64+'Aug-24'!I64+'Sep-24'!I64+'Oct-24'!I64+'Nov-24'!I64+'Dec-24'!I64+'Jan-25'!I64+'Feb-25'!I64+#REF!+#REF!+#REF!+'Dec-25'!I64</f>
        <v>#REF!</v>
      </c>
      <c r="J64" s="42" t="e">
        <f>+'Jul-24'!J64+'Aug-24'!J64+'Sep-24'!J64+'Oct-24'!J64+'Nov-24'!J64+'Dec-24'!J64+'Jan-25'!J64+'Feb-25'!J64+#REF!+#REF!+#REF!+'Dec-25'!J64</f>
        <v>#REF!</v>
      </c>
      <c r="K64" s="42" t="e">
        <f>+'Jul-24'!K64+'Aug-24'!K64+'Sep-24'!K64+'Oct-24'!K64+'Nov-24'!K64+'Dec-24'!K64+'Jan-25'!K64+'Feb-25'!K64+#REF!+#REF!+#REF!+'Dec-25'!K64</f>
        <v>#REF!</v>
      </c>
      <c r="L64" s="35" t="e">
        <f t="shared" si="18"/>
        <v>#REF!</v>
      </c>
      <c r="M64" s="35" t="e">
        <f t="shared" si="17"/>
        <v>#REF!</v>
      </c>
      <c r="N64" s="32"/>
      <c r="O64" s="44"/>
      <c r="P64" s="44"/>
      <c r="Q64" s="44"/>
    </row>
    <row r="65" spans="1:24" ht="15.75" thickBot="1" x14ac:dyDescent="0.3">
      <c r="A65" s="14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4"/>
      <c r="P65" s="44"/>
      <c r="Q65" s="44"/>
    </row>
    <row r="66" spans="1:24" ht="15.75" thickBot="1" x14ac:dyDescent="0.3"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</row>
    <row r="67" spans="1:24" x14ac:dyDescent="0.25">
      <c r="A67" s="4">
        <f>+A51+1</f>
        <v>4</v>
      </c>
      <c r="B67" s="40"/>
      <c r="C67" s="6" t="s">
        <v>20</v>
      </c>
      <c r="D67" s="7"/>
      <c r="E67" s="8"/>
      <c r="F67" s="8"/>
      <c r="G67" s="10">
        <f>+$G$3</f>
        <v>2024</v>
      </c>
      <c r="H67" s="10">
        <f>+G67</f>
        <v>2024</v>
      </c>
      <c r="I67" s="10">
        <f t="shared" ref="I67:M68" si="19">+H67</f>
        <v>2024</v>
      </c>
      <c r="J67" s="10">
        <f t="shared" si="19"/>
        <v>2024</v>
      </c>
      <c r="K67" s="10">
        <f t="shared" si="19"/>
        <v>2024</v>
      </c>
      <c r="L67" s="10">
        <f t="shared" si="19"/>
        <v>2024</v>
      </c>
      <c r="M67" s="10">
        <f t="shared" si="19"/>
        <v>2024</v>
      </c>
      <c r="N67" s="11"/>
      <c r="O67" s="44"/>
      <c r="P67" s="44"/>
      <c r="Q67" s="44"/>
      <c r="S67" s="12" t="str">
        <f>+C67</f>
        <v>Engcamini</v>
      </c>
      <c r="T67" s="13" t="e">
        <f>+L71</f>
        <v>#REF!</v>
      </c>
      <c r="U67" s="13" t="e">
        <f>+L72+L73</f>
        <v>#REF!</v>
      </c>
      <c r="V67" s="13" t="e">
        <f>+L74+L75</f>
        <v>#REF!</v>
      </c>
      <c r="W67" s="13" t="e">
        <f>+L78</f>
        <v>#REF!</v>
      </c>
      <c r="X67" s="13" t="e">
        <f>+L76</f>
        <v>#REF!</v>
      </c>
    </row>
    <row r="68" spans="1:24" x14ac:dyDescent="0.25">
      <c r="A68" s="14"/>
      <c r="B68" s="15"/>
      <c r="C68" s="41" t="str">
        <f>+$C52</f>
        <v>Year to Date 2024/2025</v>
      </c>
      <c r="D68" s="18"/>
      <c r="E68" s="18"/>
      <c r="F68" s="18"/>
      <c r="G68" s="20" t="str">
        <f>+$G$4</f>
        <v>Week</v>
      </c>
      <c r="H68" s="20" t="str">
        <f>+G68</f>
        <v>Week</v>
      </c>
      <c r="I68" s="20" t="str">
        <f t="shared" si="19"/>
        <v>Week</v>
      </c>
      <c r="J68" s="20" t="str">
        <f t="shared" si="19"/>
        <v>Week</v>
      </c>
      <c r="K68" s="20" t="str">
        <f t="shared" si="19"/>
        <v>Week</v>
      </c>
      <c r="L68" s="20" t="str">
        <f t="shared" si="19"/>
        <v>Week</v>
      </c>
      <c r="M68" s="20" t="str">
        <f t="shared" si="19"/>
        <v>Week</v>
      </c>
      <c r="N68" s="21"/>
      <c r="O68" s="44"/>
      <c r="P68" s="44"/>
      <c r="Q68" s="44"/>
    </row>
    <row r="69" spans="1:24" ht="15.75" thickBot="1" x14ac:dyDescent="0.3">
      <c r="A69" s="14"/>
      <c r="B69" s="22"/>
      <c r="C69" s="23"/>
      <c r="D69" s="23"/>
      <c r="E69" s="23"/>
      <c r="F69" s="23"/>
      <c r="G69" s="25">
        <f>+$G$5</f>
        <v>1</v>
      </c>
      <c r="H69" s="25">
        <f>+$H$5</f>
        <v>2</v>
      </c>
      <c r="I69" s="25">
        <f>+$I$5</f>
        <v>3</v>
      </c>
      <c r="J69" s="25">
        <f>+$J$5</f>
        <v>4</v>
      </c>
      <c r="K69" s="25">
        <f>+$K$5</f>
        <v>5</v>
      </c>
      <c r="L69" s="25" t="s">
        <v>6</v>
      </c>
      <c r="M69" s="25" t="s">
        <v>7</v>
      </c>
      <c r="N69" s="26"/>
      <c r="O69" s="44"/>
      <c r="P69" s="44"/>
      <c r="Q69" s="44"/>
    </row>
    <row r="70" spans="1:24" x14ac:dyDescent="0.25">
      <c r="A70" s="14"/>
      <c r="B70" s="27"/>
      <c r="C70" s="28"/>
      <c r="D70" s="28"/>
      <c r="E70" s="28"/>
      <c r="F70" s="28"/>
      <c r="G70" s="29"/>
      <c r="H70" s="29"/>
      <c r="I70" s="29"/>
      <c r="J70" s="29"/>
      <c r="K70" s="28"/>
      <c r="L70" s="28"/>
      <c r="M70" s="28"/>
      <c r="N70" s="30"/>
      <c r="O70" s="44"/>
      <c r="P70" s="44"/>
      <c r="Q70" s="44"/>
    </row>
    <row r="71" spans="1:24" x14ac:dyDescent="0.25">
      <c r="A71" s="14"/>
      <c r="B71" s="27"/>
      <c r="C71" s="28" t="s">
        <v>8</v>
      </c>
      <c r="D71" s="28"/>
      <c r="E71" s="28"/>
      <c r="F71" s="28"/>
      <c r="G71" s="31" t="e">
        <f>SUM(G72:G75)</f>
        <v>#REF!</v>
      </c>
      <c r="H71" s="31" t="e">
        <f t="shared" ref="H71:L71" si="20">SUM(H72:H75)</f>
        <v>#REF!</v>
      </c>
      <c r="I71" s="31" t="e">
        <f t="shared" si="20"/>
        <v>#REF!</v>
      </c>
      <c r="J71" s="31" t="e">
        <f t="shared" si="20"/>
        <v>#REF!</v>
      </c>
      <c r="K71" s="31" t="e">
        <f t="shared" si="20"/>
        <v>#REF!</v>
      </c>
      <c r="L71" s="31" t="e">
        <f t="shared" si="20"/>
        <v>#REF!</v>
      </c>
      <c r="M71" s="31" t="e">
        <f>ROUND((L71/$E$1),0)</f>
        <v>#REF!</v>
      </c>
      <c r="N71" s="32"/>
      <c r="O71" s="44"/>
      <c r="P71" s="44"/>
      <c r="Q71" s="44"/>
    </row>
    <row r="72" spans="1:24" x14ac:dyDescent="0.25">
      <c r="A72" s="14"/>
      <c r="B72" s="27"/>
      <c r="C72" s="28"/>
      <c r="D72" s="28" t="s">
        <v>9</v>
      </c>
      <c r="E72" s="28"/>
      <c r="F72" s="28"/>
      <c r="G72" s="42" t="e">
        <f>+'Jul-24'!G72+'Aug-24'!G72+'Sep-24'!G72+'Oct-24'!G72+'Nov-24'!G72+'Dec-24'!G72+'Jan-25'!G72+'Feb-25'!G72+#REF!+#REF!+#REF!+'Dec-25'!G72</f>
        <v>#REF!</v>
      </c>
      <c r="H72" s="42" t="e">
        <f>+'Jul-24'!H72+'Aug-24'!H72+'Sep-24'!H72+'Oct-24'!H72+'Nov-24'!H72+'Dec-24'!H72+'Jan-25'!H72+'Feb-25'!H72+#REF!+#REF!+#REF!+'Dec-25'!H72</f>
        <v>#REF!</v>
      </c>
      <c r="I72" s="42" t="e">
        <f>+'Jul-24'!I72+'Aug-24'!I72+'Sep-24'!I72+'Oct-24'!I72+'Nov-24'!I72+'Dec-24'!I72+'Jan-25'!I72+'Feb-25'!I72+#REF!+#REF!+#REF!+'Dec-25'!I72</f>
        <v>#REF!</v>
      </c>
      <c r="J72" s="42" t="e">
        <f>+'Jul-24'!J72+'Aug-24'!J72+'Sep-24'!J72+'Oct-24'!J72+'Nov-24'!J72+'Dec-24'!J72+'Jan-25'!J72+'Feb-25'!J72+#REF!+#REF!+#REF!+'Dec-25'!J72</f>
        <v>#REF!</v>
      </c>
      <c r="K72" s="42" t="e">
        <f>+'Jul-24'!K72+'Aug-24'!K72+'Sep-24'!K72+'Oct-24'!K72+'Nov-24'!K72+'Dec-24'!K72+'Jan-25'!K72+'Feb-25'!K72+#REF!+#REF!+#REF!+'Dec-25'!K72</f>
        <v>#REF!</v>
      </c>
      <c r="L72" s="35" t="e">
        <f>SUM(G72:K72)</f>
        <v>#REF!</v>
      </c>
      <c r="M72" s="35" t="e">
        <f t="shared" ref="M72:M80" si="21">ROUND((L72/$E$1),0)</f>
        <v>#REF!</v>
      </c>
      <c r="N72" s="32"/>
      <c r="O72" s="44"/>
      <c r="P72" s="44"/>
      <c r="Q72" s="44"/>
    </row>
    <row r="73" spans="1:24" x14ac:dyDescent="0.25">
      <c r="A73" s="14"/>
      <c r="B73" s="27"/>
      <c r="C73" s="28"/>
      <c r="D73" s="28" t="s">
        <v>10</v>
      </c>
      <c r="E73" s="28"/>
      <c r="F73" s="28"/>
      <c r="G73" s="42" t="e">
        <f>+'Jul-24'!G73+'Aug-24'!G73+'Sep-24'!G73+'Oct-24'!G73+'Nov-24'!G73+'Dec-24'!G73+'Jan-25'!G73+'Feb-25'!G73+#REF!+#REF!+#REF!+'Dec-25'!G73</f>
        <v>#REF!</v>
      </c>
      <c r="H73" s="42" t="e">
        <f>+'Jul-24'!H73+'Aug-24'!H73+'Sep-24'!H73+'Oct-24'!H73+'Nov-24'!H73+'Dec-24'!H73+'Jan-25'!H73+'Feb-25'!H73+#REF!+#REF!+#REF!+'Dec-25'!H73</f>
        <v>#REF!</v>
      </c>
      <c r="I73" s="42" t="e">
        <f>+'Jul-24'!I73+'Aug-24'!I73+'Sep-24'!I73+'Oct-24'!I73+'Nov-24'!I73+'Dec-24'!I73+'Jan-25'!I73+'Feb-25'!I73+#REF!+#REF!+#REF!+'Dec-25'!I73</f>
        <v>#REF!</v>
      </c>
      <c r="J73" s="42" t="e">
        <f>+'Jul-24'!J73+'Aug-24'!J73+'Sep-24'!J73+'Oct-24'!J73+'Nov-24'!J73+'Dec-24'!J73+'Jan-25'!J73+'Feb-25'!J73+#REF!+#REF!+#REF!+'Dec-25'!J73</f>
        <v>#REF!</v>
      </c>
      <c r="K73" s="42" t="e">
        <f>+'Jul-24'!K73+'Aug-24'!K73+'Sep-24'!K73+'Oct-24'!K73+'Nov-24'!K73+'Dec-24'!K73+'Jan-25'!K73+'Feb-25'!K73+#REF!+#REF!+#REF!+'Dec-25'!K73</f>
        <v>#REF!</v>
      </c>
      <c r="L73" s="35" t="e">
        <f t="shared" ref="L73:L80" si="22">SUM(G73:K73)</f>
        <v>#REF!</v>
      </c>
      <c r="M73" s="35" t="e">
        <f t="shared" si="21"/>
        <v>#REF!</v>
      </c>
      <c r="N73" s="32"/>
      <c r="O73" s="44"/>
      <c r="P73" s="44"/>
      <c r="Q73" s="44"/>
    </row>
    <row r="74" spans="1:24" x14ac:dyDescent="0.25">
      <c r="A74" s="14"/>
      <c r="B74" s="27"/>
      <c r="C74" s="28"/>
      <c r="D74" s="28" t="s">
        <v>11</v>
      </c>
      <c r="E74" s="28"/>
      <c r="F74" s="28"/>
      <c r="G74" s="42" t="e">
        <f>+'Jul-24'!G74+'Aug-24'!G74+'Sep-24'!G74+'Oct-24'!G74+'Nov-24'!G74+'Dec-24'!G74+'Jan-25'!G74+'Feb-25'!G74+#REF!+#REF!+#REF!+'Dec-25'!G74</f>
        <v>#REF!</v>
      </c>
      <c r="H74" s="42" t="e">
        <f>+'Jul-24'!H74+'Aug-24'!H74+'Sep-24'!H74+'Oct-24'!H74+'Nov-24'!H74+'Dec-24'!H74+'Jan-25'!H74+'Feb-25'!H74+#REF!+#REF!+#REF!+'Dec-25'!H74</f>
        <v>#REF!</v>
      </c>
      <c r="I74" s="42" t="e">
        <f>+'Jul-24'!I74+'Aug-24'!I74+'Sep-24'!I74+'Oct-24'!I74+'Nov-24'!I74+'Dec-24'!I74+'Jan-25'!I74+'Feb-25'!I74+#REF!+#REF!+#REF!+'Dec-25'!I74</f>
        <v>#REF!</v>
      </c>
      <c r="J74" s="42" t="e">
        <f>+'Jul-24'!J74+'Aug-24'!J74+'Sep-24'!J74+'Oct-24'!J74+'Nov-24'!J74+'Dec-24'!J74+'Jan-25'!J74+'Feb-25'!J74+#REF!+#REF!+#REF!+'Dec-25'!J74</f>
        <v>#REF!</v>
      </c>
      <c r="K74" s="42" t="e">
        <f>+'Jul-24'!K74+'Aug-24'!K74+'Sep-24'!K74+'Oct-24'!K74+'Nov-24'!K74+'Dec-24'!K74+'Jan-25'!K74+'Feb-25'!K74+#REF!+#REF!+#REF!+'Dec-25'!K74</f>
        <v>#REF!</v>
      </c>
      <c r="L74" s="35" t="e">
        <f t="shared" si="22"/>
        <v>#REF!</v>
      </c>
      <c r="M74" s="35" t="e">
        <f t="shared" si="21"/>
        <v>#REF!</v>
      </c>
      <c r="N74" s="32"/>
      <c r="O74" s="44"/>
      <c r="P74" s="44"/>
      <c r="Q74" s="44"/>
    </row>
    <row r="75" spans="1:24" x14ac:dyDescent="0.25">
      <c r="A75" s="14"/>
      <c r="B75" s="27"/>
      <c r="C75" s="28"/>
      <c r="D75" s="28" t="s">
        <v>12</v>
      </c>
      <c r="E75" s="28"/>
      <c r="F75" s="28"/>
      <c r="G75" s="43" t="e">
        <f>+'Jul-24'!G75+'Aug-24'!G75+'Sep-24'!G75+'Oct-24'!G75+'Nov-24'!G75+'Dec-24'!G75+'Jan-25'!G75+'Feb-25'!G75+#REF!+#REF!+#REF!+'Dec-25'!G75</f>
        <v>#REF!</v>
      </c>
      <c r="H75" s="43" t="e">
        <f>+'Jul-24'!H75+'Aug-24'!H75+'Sep-24'!H75+'Oct-24'!H75+'Nov-24'!H75+'Dec-24'!H75+'Jan-25'!H75+'Feb-25'!H75+#REF!+#REF!+#REF!+'Dec-25'!H75</f>
        <v>#REF!</v>
      </c>
      <c r="I75" s="43" t="e">
        <f>+'Jul-24'!I75+'Aug-24'!I75+'Sep-24'!I75+'Oct-24'!I75+'Nov-24'!I75+'Dec-24'!I75+'Jan-25'!I75+'Feb-25'!I75+#REF!+#REF!+#REF!+'Dec-25'!I75</f>
        <v>#REF!</v>
      </c>
      <c r="J75" s="43" t="e">
        <f>+'Jul-24'!J75+'Aug-24'!J75+'Sep-24'!J75+'Oct-24'!J75+'Nov-24'!J75+'Dec-24'!J75+'Jan-25'!J75+'Feb-25'!J75+#REF!+#REF!+#REF!+'Dec-25'!J75</f>
        <v>#REF!</v>
      </c>
      <c r="K75" s="43" t="e">
        <f>+'Jul-24'!K75+'Aug-24'!K75+'Sep-24'!K75+'Oct-24'!K75+'Nov-24'!K75+'Dec-24'!K75+'Jan-25'!K75+'Feb-25'!K75+#REF!+#REF!+#REF!+'Dec-25'!K75</f>
        <v>#REF!</v>
      </c>
      <c r="L75" s="31" t="e">
        <f t="shared" si="22"/>
        <v>#REF!</v>
      </c>
      <c r="M75" s="31" t="e">
        <f t="shared" si="21"/>
        <v>#REF!</v>
      </c>
      <c r="N75" s="32"/>
      <c r="O75" s="44"/>
      <c r="P75" s="44"/>
      <c r="Q75" s="44"/>
    </row>
    <row r="76" spans="1:24" x14ac:dyDescent="0.25">
      <c r="A76" s="14"/>
      <c r="B76" s="27"/>
      <c r="C76" s="28" t="s">
        <v>13</v>
      </c>
      <c r="D76" s="28"/>
      <c r="E76" s="28"/>
      <c r="F76" s="28"/>
      <c r="G76" s="42" t="e">
        <f>+'Jul-24'!G76+'Aug-24'!G76+'Sep-24'!G76+'Oct-24'!G76+'Nov-24'!G76+'Dec-24'!G76+'Jan-25'!G76+'Feb-25'!G76+#REF!+#REF!+#REF!+'Dec-25'!G76</f>
        <v>#REF!</v>
      </c>
      <c r="H76" s="42" t="e">
        <f>+'Jul-24'!H76+'Aug-24'!H76+'Sep-24'!H76+'Oct-24'!H76+'Nov-24'!H76+'Dec-24'!H76+'Jan-25'!H76+'Feb-25'!H76+#REF!+#REF!+#REF!+'Dec-25'!H76</f>
        <v>#REF!</v>
      </c>
      <c r="I76" s="42" t="e">
        <f>+'Jul-24'!I76+'Aug-24'!I76+'Sep-24'!I76+'Oct-24'!I76+'Nov-24'!I76+'Dec-24'!I76+'Jan-25'!I76+'Feb-25'!I76+#REF!+#REF!+#REF!+'Dec-25'!I76</f>
        <v>#REF!</v>
      </c>
      <c r="J76" s="42" t="e">
        <f>+'Jul-24'!J76+'Aug-24'!J76+'Sep-24'!J76+'Oct-24'!J76+'Nov-24'!J76+'Dec-24'!J76+'Jan-25'!J76+'Feb-25'!J76+#REF!+#REF!+#REF!+'Dec-25'!J76</f>
        <v>#REF!</v>
      </c>
      <c r="K76" s="42" t="e">
        <f>+'Jul-24'!K76+'Aug-24'!K76+'Sep-24'!K76+'Oct-24'!K76+'Nov-24'!K76+'Dec-24'!K76+'Jan-25'!K76+'Feb-25'!K76+#REF!+#REF!+#REF!+'Dec-25'!K76</f>
        <v>#REF!</v>
      </c>
      <c r="L76" s="35" t="e">
        <f t="shared" si="22"/>
        <v>#REF!</v>
      </c>
      <c r="M76" s="35" t="e">
        <f t="shared" si="21"/>
        <v>#REF!</v>
      </c>
      <c r="N76" s="32"/>
      <c r="O76" s="44"/>
      <c r="P76" s="44"/>
      <c r="Q76" s="44"/>
    </row>
    <row r="77" spans="1:24" x14ac:dyDescent="0.25">
      <c r="A77" s="14"/>
      <c r="B77" s="27"/>
      <c r="C77" s="28" t="s">
        <v>14</v>
      </c>
      <c r="D77" s="28"/>
      <c r="E77" s="28"/>
      <c r="F77" s="28"/>
      <c r="G77" s="42" t="e">
        <f>+'Jul-24'!G77+'Aug-24'!G77+'Sep-24'!G77+'Oct-24'!G77+'Nov-24'!G77+'Dec-24'!G77+'Jan-25'!G77+'Feb-25'!G77+#REF!+#REF!+#REF!+'Dec-25'!G77</f>
        <v>#REF!</v>
      </c>
      <c r="H77" s="42" t="e">
        <f>+'Jul-24'!H77+'Aug-24'!H77+'Sep-24'!H77+'Oct-24'!H77+'Nov-24'!H77+'Dec-24'!H77+'Jan-25'!H77+'Feb-25'!H77+#REF!+#REF!+#REF!+'Dec-25'!H77</f>
        <v>#REF!</v>
      </c>
      <c r="I77" s="42" t="e">
        <f>+'Jul-24'!I77+'Aug-24'!I77+'Sep-24'!I77+'Oct-24'!I77+'Nov-24'!I77+'Dec-24'!I77+'Jan-25'!I77+'Feb-25'!I77+#REF!+#REF!+#REF!+'Dec-25'!I77</f>
        <v>#REF!</v>
      </c>
      <c r="J77" s="42" t="e">
        <f>+'Jul-24'!J77+'Aug-24'!J77+'Sep-24'!J77+'Oct-24'!J77+'Nov-24'!J77+'Dec-24'!J77+'Jan-25'!J77+'Feb-25'!J77+#REF!+#REF!+#REF!+'Dec-25'!J77</f>
        <v>#REF!</v>
      </c>
      <c r="K77" s="42" t="e">
        <f>+'Jul-24'!K77+'Aug-24'!K77+'Sep-24'!K77+'Oct-24'!K77+'Nov-24'!K77+'Dec-24'!K77+'Jan-25'!K77+'Feb-25'!K77+#REF!+#REF!+#REF!+'Dec-25'!K77</f>
        <v>#REF!</v>
      </c>
      <c r="L77" s="35" t="e">
        <f t="shared" si="22"/>
        <v>#REF!</v>
      </c>
      <c r="M77" s="35" t="e">
        <f t="shared" si="21"/>
        <v>#REF!</v>
      </c>
      <c r="N77" s="32"/>
      <c r="O77" s="44"/>
      <c r="P77" s="44"/>
      <c r="Q77" s="44"/>
    </row>
    <row r="78" spans="1:24" x14ac:dyDescent="0.25">
      <c r="A78" s="14"/>
      <c r="B78" s="27"/>
      <c r="C78" s="28" t="s">
        <v>4</v>
      </c>
      <c r="D78" s="28"/>
      <c r="E78" s="28"/>
      <c r="F78" s="28"/>
      <c r="G78" s="42" t="e">
        <f>+'Jul-24'!G78+'Aug-24'!G78+'Sep-24'!G78+'Oct-24'!G78+'Nov-24'!G78+'Dec-24'!G78+'Jan-25'!G78+'Feb-25'!G78+#REF!+#REF!+#REF!+'Dec-25'!G78</f>
        <v>#REF!</v>
      </c>
      <c r="H78" s="42" t="e">
        <f>+'Jul-24'!H78+'Aug-24'!H78+'Sep-24'!H78+'Oct-24'!H78+'Nov-24'!H78+'Dec-24'!H78+'Jan-25'!H78+'Feb-25'!H78+#REF!+#REF!+#REF!+'Dec-25'!H78</f>
        <v>#REF!</v>
      </c>
      <c r="I78" s="42" t="e">
        <f>+'Jul-24'!I78+'Aug-24'!I78+'Sep-24'!I78+'Oct-24'!I78+'Nov-24'!I78+'Dec-24'!I78+'Jan-25'!I78+'Feb-25'!I78+#REF!+#REF!+#REF!+'Dec-25'!I78</f>
        <v>#REF!</v>
      </c>
      <c r="J78" s="42" t="e">
        <f>+'Jul-24'!J78+'Aug-24'!J78+'Sep-24'!J78+'Oct-24'!J78+'Nov-24'!J78+'Dec-24'!J78+'Jan-25'!J78+'Feb-25'!J78+#REF!+#REF!+#REF!+'Dec-25'!J78</f>
        <v>#REF!</v>
      </c>
      <c r="K78" s="42" t="e">
        <f>+'Jul-24'!K78+'Aug-24'!K78+'Sep-24'!K78+'Oct-24'!K78+'Nov-24'!K78+'Dec-24'!K78+'Jan-25'!K78+'Feb-25'!K78+#REF!+#REF!+#REF!+'Dec-25'!K78</f>
        <v>#REF!</v>
      </c>
      <c r="L78" s="35" t="e">
        <f t="shared" si="22"/>
        <v>#REF!</v>
      </c>
      <c r="M78" s="35" t="e">
        <f t="shared" si="21"/>
        <v>#REF!</v>
      </c>
      <c r="N78" s="32"/>
      <c r="O78" s="44"/>
      <c r="P78" s="44"/>
      <c r="Q78" s="44"/>
    </row>
    <row r="79" spans="1:24" x14ac:dyDescent="0.25">
      <c r="A79" s="14"/>
      <c r="B79" s="27"/>
      <c r="C79" s="28" t="s">
        <v>15</v>
      </c>
      <c r="D79" s="28"/>
      <c r="E79" s="28"/>
      <c r="F79" s="28"/>
      <c r="G79" s="42" t="e">
        <f>+'Jul-24'!G79+'Aug-24'!G79+'Sep-24'!G79+'Oct-24'!G79+'Nov-24'!G79+'Dec-24'!G79+'Jan-25'!G79+'Feb-25'!G79+#REF!+#REF!+#REF!+'Dec-25'!G79</f>
        <v>#REF!</v>
      </c>
      <c r="H79" s="42" t="e">
        <f>+'Jul-24'!H79+'Aug-24'!H79+'Sep-24'!H79+'Oct-24'!H79+'Nov-24'!H79+'Dec-24'!H79+'Jan-25'!H79+'Feb-25'!H79+#REF!+#REF!+#REF!+'Dec-25'!H79</f>
        <v>#REF!</v>
      </c>
      <c r="I79" s="42" t="e">
        <f>+'Jul-24'!I79+'Aug-24'!I79+'Sep-24'!I79+'Oct-24'!I79+'Nov-24'!I79+'Dec-24'!I79+'Jan-25'!I79+'Feb-25'!I79+#REF!+#REF!+#REF!+'Dec-25'!I79</f>
        <v>#REF!</v>
      </c>
      <c r="J79" s="42" t="e">
        <f>+'Jul-24'!J79+'Aug-24'!J79+'Sep-24'!J79+'Oct-24'!J79+'Nov-24'!J79+'Dec-24'!J79+'Jan-25'!J79+'Feb-25'!J79+#REF!+#REF!+#REF!+'Dec-25'!J79</f>
        <v>#REF!</v>
      </c>
      <c r="K79" s="42" t="e">
        <f>+'Jul-24'!K79+'Aug-24'!K79+'Sep-24'!K79+'Oct-24'!K79+'Nov-24'!K79+'Dec-24'!K79+'Jan-25'!K79+'Feb-25'!K79+#REF!+#REF!+#REF!+'Dec-25'!K79</f>
        <v>#REF!</v>
      </c>
      <c r="L79" s="35" t="e">
        <f t="shared" si="22"/>
        <v>#REF!</v>
      </c>
      <c r="M79" s="35" t="e">
        <f t="shared" si="21"/>
        <v>#REF!</v>
      </c>
      <c r="N79" s="32"/>
      <c r="O79" s="44"/>
      <c r="P79" s="44"/>
      <c r="Q79" s="44"/>
    </row>
    <row r="80" spans="1:24" x14ac:dyDescent="0.25">
      <c r="A80" s="14"/>
      <c r="B80" s="27"/>
      <c r="C80" s="28" t="s">
        <v>16</v>
      </c>
      <c r="D80" s="28"/>
      <c r="E80" s="28"/>
      <c r="F80" s="28"/>
      <c r="G80" s="42" t="e">
        <f>+'Jul-24'!G80+'Aug-24'!G80+'Sep-24'!G80+'Oct-24'!G80+'Nov-24'!G80+'Dec-24'!G80+'Jan-25'!G80+'Feb-25'!G80+#REF!+#REF!+#REF!+'Dec-25'!G80</f>
        <v>#REF!</v>
      </c>
      <c r="H80" s="42" t="e">
        <f>+'Jul-24'!H80+'Aug-24'!H80+'Sep-24'!H80+'Oct-24'!H80+'Nov-24'!H80+'Dec-24'!H80+'Jan-25'!H80+'Feb-25'!H80+#REF!+#REF!+#REF!+'Dec-25'!H80</f>
        <v>#REF!</v>
      </c>
      <c r="I80" s="42" t="e">
        <f>+'Jul-24'!I80+'Aug-24'!I80+'Sep-24'!I80+'Oct-24'!I80+'Nov-24'!I80+'Dec-24'!I80+'Jan-25'!I80+'Feb-25'!I80+#REF!+#REF!+#REF!+'Dec-25'!I80</f>
        <v>#REF!</v>
      </c>
      <c r="J80" s="42" t="e">
        <f>+'Jul-24'!J80+'Aug-24'!J80+'Sep-24'!J80+'Oct-24'!J80+'Nov-24'!J80+'Dec-24'!J80+'Jan-25'!J80+'Feb-25'!J80+#REF!+#REF!+#REF!+'Dec-25'!J80</f>
        <v>#REF!</v>
      </c>
      <c r="K80" s="42" t="e">
        <f>+'Jul-24'!K80+'Aug-24'!K80+'Sep-24'!K80+'Oct-24'!K80+'Nov-24'!K80+'Dec-24'!K80+'Jan-25'!K80+'Feb-25'!K80+#REF!+#REF!+#REF!+'Dec-25'!K80</f>
        <v>#REF!</v>
      </c>
      <c r="L80" s="35" t="e">
        <f t="shared" si="22"/>
        <v>#REF!</v>
      </c>
      <c r="M80" s="35" t="e">
        <f t="shared" si="21"/>
        <v>#REF!</v>
      </c>
      <c r="N80" s="32"/>
      <c r="O80" s="44"/>
      <c r="P80" s="44"/>
      <c r="Q80" s="44"/>
    </row>
    <row r="81" spans="1:33" ht="15.75" thickBot="1" x14ac:dyDescent="0.3">
      <c r="A81" s="14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4"/>
      <c r="P81" s="44"/>
      <c r="Q81" s="44"/>
    </row>
    <row r="82" spans="1:33" ht="15.75" thickBot="1" x14ac:dyDescent="0.3">
      <c r="A82" s="14"/>
      <c r="G82" s="33"/>
      <c r="H82" s="33"/>
      <c r="I82" s="33"/>
      <c r="J82" s="33"/>
      <c r="K82" s="33"/>
      <c r="L82" s="33"/>
      <c r="M82" s="33"/>
      <c r="N82" s="33"/>
      <c r="O82" s="44"/>
      <c r="P82" s="44"/>
      <c r="Q82" s="44"/>
    </row>
    <row r="83" spans="1:33" x14ac:dyDescent="0.25">
      <c r="A83" s="4">
        <f>+A67+1</f>
        <v>5</v>
      </c>
      <c r="B83" s="5"/>
      <c r="C83" s="6" t="s">
        <v>21</v>
      </c>
      <c r="D83" s="7"/>
      <c r="E83" s="8"/>
      <c r="F83" s="8"/>
      <c r="G83" s="10">
        <f>+$G$3</f>
        <v>2024</v>
      </c>
      <c r="H83" s="10">
        <f>+G83</f>
        <v>2024</v>
      </c>
      <c r="I83" s="10">
        <f t="shared" ref="I83:M84" si="23">+H83</f>
        <v>2024</v>
      </c>
      <c r="J83" s="10">
        <f t="shared" si="23"/>
        <v>2024</v>
      </c>
      <c r="K83" s="10">
        <f t="shared" si="23"/>
        <v>2024</v>
      </c>
      <c r="L83" s="10">
        <f t="shared" si="23"/>
        <v>2024</v>
      </c>
      <c r="M83" s="10">
        <f t="shared" si="23"/>
        <v>2024</v>
      </c>
      <c r="N83" s="11"/>
      <c r="O83" s="44"/>
      <c r="P83" s="44"/>
      <c r="Q83" s="44"/>
      <c r="S83" s="12" t="str">
        <f>+C83</f>
        <v>Pine Valley</v>
      </c>
      <c r="T83" s="13" t="e">
        <f>+L87</f>
        <v>#REF!</v>
      </c>
      <c r="U83" s="13" t="e">
        <f>+L88+L89</f>
        <v>#REF!</v>
      </c>
      <c r="V83" s="13" t="e">
        <f>+L90+L91</f>
        <v>#REF!</v>
      </c>
      <c r="W83" s="13" t="e">
        <f>+L94</f>
        <v>#REF!</v>
      </c>
      <c r="X83" s="13" t="e">
        <f>+L92</f>
        <v>#REF!</v>
      </c>
    </row>
    <row r="84" spans="1:33" x14ac:dyDescent="0.25">
      <c r="A84" s="14"/>
      <c r="B84" s="15"/>
      <c r="C84" s="41" t="str">
        <f>+$C68</f>
        <v>Year to Date 2024/2025</v>
      </c>
      <c r="D84" s="18"/>
      <c r="E84" s="18"/>
      <c r="F84" s="18"/>
      <c r="G84" s="20" t="str">
        <f>+$G$4</f>
        <v>Week</v>
      </c>
      <c r="H84" s="20" t="str">
        <f>+G84</f>
        <v>Week</v>
      </c>
      <c r="I84" s="20" t="str">
        <f t="shared" si="23"/>
        <v>Week</v>
      </c>
      <c r="J84" s="20" t="str">
        <f t="shared" si="23"/>
        <v>Week</v>
      </c>
      <c r="K84" s="20" t="str">
        <f t="shared" si="23"/>
        <v>Week</v>
      </c>
      <c r="L84" s="20" t="str">
        <f t="shared" si="23"/>
        <v>Week</v>
      </c>
      <c r="M84" s="20" t="str">
        <f t="shared" si="23"/>
        <v>Week</v>
      </c>
      <c r="N84" s="21"/>
      <c r="O84" s="44"/>
      <c r="P84" s="44"/>
      <c r="Q84" s="44"/>
    </row>
    <row r="85" spans="1:33" ht="15.75" thickBot="1" x14ac:dyDescent="0.3">
      <c r="A85" s="14"/>
      <c r="B85" s="22"/>
      <c r="C85" s="23"/>
      <c r="D85" s="23"/>
      <c r="E85" s="23"/>
      <c r="F85" s="23"/>
      <c r="G85" s="25">
        <f>+$G$5</f>
        <v>1</v>
      </c>
      <c r="H85" s="25">
        <f>+$H$5</f>
        <v>2</v>
      </c>
      <c r="I85" s="25">
        <f>+$I$5</f>
        <v>3</v>
      </c>
      <c r="J85" s="25">
        <f>+$J$5</f>
        <v>4</v>
      </c>
      <c r="K85" s="25">
        <f>+$K$5</f>
        <v>5</v>
      </c>
      <c r="L85" s="25" t="s">
        <v>6</v>
      </c>
      <c r="M85" s="25" t="s">
        <v>7</v>
      </c>
      <c r="N85" s="26"/>
      <c r="O85" s="44"/>
      <c r="P85" s="45"/>
      <c r="Q85" s="44"/>
    </row>
    <row r="86" spans="1:33" x14ac:dyDescent="0.25">
      <c r="A86" s="14"/>
      <c r="B86" s="27"/>
      <c r="C86" s="28"/>
      <c r="D86" s="28"/>
      <c r="E86" s="28"/>
      <c r="F86" s="28"/>
      <c r="G86" s="29"/>
      <c r="H86" s="29"/>
      <c r="I86" s="29"/>
      <c r="J86" s="29"/>
      <c r="K86" s="28"/>
      <c r="L86" s="28"/>
      <c r="M86" s="28"/>
      <c r="N86" s="30"/>
      <c r="O86" s="44"/>
      <c r="P86" s="44"/>
      <c r="Q86" s="44"/>
    </row>
    <row r="87" spans="1:33" x14ac:dyDescent="0.25">
      <c r="A87" s="14"/>
      <c r="B87" s="27"/>
      <c r="C87" s="28" t="s">
        <v>8</v>
      </c>
      <c r="D87" s="28"/>
      <c r="E87" s="28"/>
      <c r="F87" s="28"/>
      <c r="G87" s="31" t="e">
        <f>SUM(G88:G91)</f>
        <v>#REF!</v>
      </c>
      <c r="H87" s="31" t="e">
        <f t="shared" ref="H87:L87" si="24">SUM(H88:H91)</f>
        <v>#REF!</v>
      </c>
      <c r="I87" s="31" t="e">
        <f t="shared" si="24"/>
        <v>#REF!</v>
      </c>
      <c r="J87" s="31" t="e">
        <f t="shared" si="24"/>
        <v>#REF!</v>
      </c>
      <c r="K87" s="31" t="e">
        <f t="shared" si="24"/>
        <v>#REF!</v>
      </c>
      <c r="L87" s="31" t="e">
        <f t="shared" si="24"/>
        <v>#REF!</v>
      </c>
      <c r="M87" s="31" t="e">
        <f>ROUND((L87/$E$1),0)</f>
        <v>#REF!</v>
      </c>
      <c r="N87" s="32"/>
      <c r="O87" s="44"/>
      <c r="P87" s="44"/>
      <c r="Q87" s="44"/>
      <c r="AA87" s="46"/>
      <c r="AB87" s="46"/>
      <c r="AC87" s="46"/>
      <c r="AD87" s="46"/>
      <c r="AE87" s="46"/>
      <c r="AF87" s="46"/>
      <c r="AG87" s="46"/>
    </row>
    <row r="88" spans="1:33" x14ac:dyDescent="0.25">
      <c r="A88" s="14"/>
      <c r="B88" s="27"/>
      <c r="C88" s="28"/>
      <c r="D88" s="28" t="s">
        <v>9</v>
      </c>
      <c r="E88" s="28"/>
      <c r="F88" s="28"/>
      <c r="G88" s="42" t="e">
        <f>+'Jul-24'!G88+'Aug-24'!G88+'Sep-24'!G88+'Oct-24'!G88+'Nov-24'!G88+'Dec-24'!G88+'Jan-25'!G88+'Feb-25'!G88+#REF!+#REF!+#REF!+'Dec-25'!G88</f>
        <v>#REF!</v>
      </c>
      <c r="H88" s="42" t="e">
        <f>+'Jul-24'!H88+'Aug-24'!H88+'Sep-24'!H88+'Oct-24'!H88+'Nov-24'!H88+'Dec-24'!H88+'Jan-25'!H88+'Feb-25'!H88+#REF!+#REF!+#REF!+'Dec-25'!H88</f>
        <v>#REF!</v>
      </c>
      <c r="I88" s="42" t="e">
        <f>+'Jul-24'!I88+'Aug-24'!I88+'Sep-24'!I88+'Oct-24'!I88+'Nov-24'!I88+'Dec-24'!I88+'Jan-25'!I88+'Feb-25'!I88+#REF!+#REF!+#REF!+'Dec-25'!I88</f>
        <v>#REF!</v>
      </c>
      <c r="J88" s="42" t="e">
        <f>+'Jul-24'!J88+'Aug-24'!J88+'Sep-24'!J88+'Oct-24'!J88+'Nov-24'!J88+'Dec-24'!J88+'Jan-25'!J88+'Feb-25'!J88+#REF!+#REF!+#REF!+'Dec-25'!J88</f>
        <v>#REF!</v>
      </c>
      <c r="K88" s="42" t="e">
        <f>+'Jul-24'!K88+'Aug-24'!K88+'Sep-24'!K88+'Oct-24'!K88+'Nov-24'!K88+'Dec-24'!K88+'Jan-25'!K88+'Feb-25'!K88+#REF!+#REF!+#REF!+'Dec-25'!K88</f>
        <v>#REF!</v>
      </c>
      <c r="L88" s="35" t="e">
        <f>SUM(G88:K88)</f>
        <v>#REF!</v>
      </c>
      <c r="M88" s="35" t="e">
        <f t="shared" ref="M88:M96" si="25">ROUND((L88/$E$1),0)</f>
        <v>#REF!</v>
      </c>
      <c r="N88" s="32"/>
      <c r="O88" s="44"/>
      <c r="P88" s="44"/>
      <c r="Q88" s="44"/>
      <c r="AA88" s="46"/>
      <c r="AB88" s="46"/>
      <c r="AC88" s="46"/>
      <c r="AD88" s="46"/>
      <c r="AE88" s="46"/>
      <c r="AF88" s="46"/>
      <c r="AG88" s="46"/>
    </row>
    <row r="89" spans="1:33" x14ac:dyDescent="0.25">
      <c r="A89" s="14"/>
      <c r="B89" s="27"/>
      <c r="C89" s="28"/>
      <c r="D89" s="28" t="s">
        <v>10</v>
      </c>
      <c r="E89" s="28"/>
      <c r="F89" s="28"/>
      <c r="G89" s="42" t="e">
        <f>+'Jul-24'!G89+'Aug-24'!G89+'Sep-24'!G89+'Oct-24'!G89+'Nov-24'!G89+'Dec-24'!G89+'Jan-25'!G89+'Feb-25'!G89+#REF!+#REF!+#REF!+'Dec-25'!G89</f>
        <v>#REF!</v>
      </c>
      <c r="H89" s="42" t="e">
        <f>+'Jul-24'!H89+'Aug-24'!H89+'Sep-24'!H89+'Oct-24'!H89+'Nov-24'!H89+'Dec-24'!H89+'Jan-25'!H89+'Feb-25'!H89+#REF!+#REF!+#REF!+'Dec-25'!H89</f>
        <v>#REF!</v>
      </c>
      <c r="I89" s="42" t="e">
        <f>+'Jul-24'!I89+'Aug-24'!I89+'Sep-24'!I89+'Oct-24'!I89+'Nov-24'!I89+'Dec-24'!I89+'Jan-25'!I89+'Feb-25'!I89+#REF!+#REF!+#REF!+'Dec-25'!I89</f>
        <v>#REF!</v>
      </c>
      <c r="J89" s="42" t="e">
        <f>+'Jul-24'!J89+'Aug-24'!J89+'Sep-24'!J89+'Oct-24'!J89+'Nov-24'!J89+'Dec-24'!J89+'Jan-25'!J89+'Feb-25'!J89+#REF!+#REF!+#REF!+'Dec-25'!J89</f>
        <v>#REF!</v>
      </c>
      <c r="K89" s="42" t="e">
        <f>+'Jul-24'!K89+'Aug-24'!K89+'Sep-24'!K89+'Oct-24'!K89+'Nov-24'!K89+'Dec-24'!K89+'Jan-25'!K89+'Feb-25'!K89+#REF!+#REF!+#REF!+'Dec-25'!K89</f>
        <v>#REF!</v>
      </c>
      <c r="L89" s="35" t="e">
        <f t="shared" ref="L89:L96" si="26">SUM(G89:K89)</f>
        <v>#REF!</v>
      </c>
      <c r="M89" s="35" t="e">
        <f t="shared" si="25"/>
        <v>#REF!</v>
      </c>
      <c r="N89" s="32"/>
      <c r="O89" s="44"/>
      <c r="P89" s="44"/>
      <c r="Q89" s="44"/>
      <c r="AA89" s="46"/>
      <c r="AB89" s="46"/>
      <c r="AC89" s="46"/>
      <c r="AD89" s="46"/>
      <c r="AE89" s="46"/>
      <c r="AF89" s="46"/>
      <c r="AG89" s="46"/>
    </row>
    <row r="90" spans="1:33" x14ac:dyDescent="0.25">
      <c r="A90" s="14"/>
      <c r="B90" s="27"/>
      <c r="C90" s="28"/>
      <c r="D90" s="28" t="s">
        <v>11</v>
      </c>
      <c r="E90" s="28"/>
      <c r="F90" s="28"/>
      <c r="G90" s="42" t="e">
        <f>+'Jul-24'!G90+'Aug-24'!G90+'Sep-24'!G90+'Oct-24'!G90+'Nov-24'!G90+'Dec-24'!G90+'Jan-25'!G90+'Feb-25'!G90+#REF!+#REF!+#REF!+'Dec-25'!G90</f>
        <v>#REF!</v>
      </c>
      <c r="H90" s="42" t="e">
        <f>+'Jul-24'!H90+'Aug-24'!H90+'Sep-24'!H90+'Oct-24'!H90+'Nov-24'!H90+'Dec-24'!H90+'Jan-25'!H90+'Feb-25'!H90+#REF!+#REF!+#REF!+'Dec-25'!H90</f>
        <v>#REF!</v>
      </c>
      <c r="I90" s="42" t="e">
        <f>+'Jul-24'!I90+'Aug-24'!I90+'Sep-24'!I90+'Oct-24'!I90+'Nov-24'!I90+'Dec-24'!I90+'Jan-25'!I90+'Feb-25'!I90+#REF!+#REF!+#REF!+'Dec-25'!I90</f>
        <v>#REF!</v>
      </c>
      <c r="J90" s="42" t="e">
        <f>+'Jul-24'!J90+'Aug-24'!J90+'Sep-24'!J90+'Oct-24'!J90+'Nov-24'!J90+'Dec-24'!J90+'Jan-25'!J90+'Feb-25'!J90+#REF!+#REF!+#REF!+'Dec-25'!J90</f>
        <v>#REF!</v>
      </c>
      <c r="K90" s="42" t="e">
        <f>+'Jul-24'!K90+'Aug-24'!K90+'Sep-24'!K90+'Oct-24'!K90+'Nov-24'!K90+'Dec-24'!K90+'Jan-25'!K90+'Feb-25'!K90+#REF!+#REF!+#REF!+'Dec-25'!K90</f>
        <v>#REF!</v>
      </c>
      <c r="L90" s="35" t="e">
        <f t="shared" si="26"/>
        <v>#REF!</v>
      </c>
      <c r="M90" s="35" t="e">
        <f t="shared" si="25"/>
        <v>#REF!</v>
      </c>
      <c r="N90" s="32"/>
      <c r="O90" s="44"/>
      <c r="P90" s="44"/>
      <c r="Q90" s="44"/>
      <c r="AA90" s="46"/>
      <c r="AB90" s="46"/>
      <c r="AC90" s="46"/>
      <c r="AD90" s="46"/>
      <c r="AE90" s="46"/>
      <c r="AF90" s="46"/>
      <c r="AG90" s="46"/>
    </row>
    <row r="91" spans="1:33" x14ac:dyDescent="0.25">
      <c r="A91" s="14"/>
      <c r="B91" s="27"/>
      <c r="C91" s="28"/>
      <c r="D91" s="28" t="s">
        <v>12</v>
      </c>
      <c r="E91" s="28"/>
      <c r="F91" s="28"/>
      <c r="G91" s="43" t="e">
        <f>+'Jul-24'!G91+'Aug-24'!G91+'Sep-24'!G91+'Oct-24'!G91+'Nov-24'!G91+'Dec-24'!G91+'Jan-25'!G91+'Feb-25'!G91+#REF!+#REF!+#REF!+'Dec-25'!G91</f>
        <v>#REF!</v>
      </c>
      <c r="H91" s="43" t="e">
        <f>+'Jul-24'!H91+'Aug-24'!H91+'Sep-24'!H91+'Oct-24'!H91+'Nov-24'!H91+'Dec-24'!H91+'Jan-25'!H91+'Feb-25'!H91+#REF!+#REF!+#REF!+'Dec-25'!H91</f>
        <v>#REF!</v>
      </c>
      <c r="I91" s="43" t="e">
        <f>+'Jul-24'!I91+'Aug-24'!I91+'Sep-24'!I91+'Oct-24'!I91+'Nov-24'!I91+'Dec-24'!I91+'Jan-25'!I91+'Feb-25'!I91+#REF!+#REF!+#REF!+'Dec-25'!I91</f>
        <v>#REF!</v>
      </c>
      <c r="J91" s="43" t="e">
        <f>+'Jul-24'!J91+'Aug-24'!J91+'Sep-24'!J91+'Oct-24'!J91+'Nov-24'!J91+'Dec-24'!J91+'Jan-25'!J91+'Feb-25'!J91+#REF!+#REF!+#REF!+'Dec-25'!J91</f>
        <v>#REF!</v>
      </c>
      <c r="K91" s="43" t="e">
        <f>+'Jul-24'!K91+'Aug-24'!K91+'Sep-24'!K91+'Oct-24'!K91+'Nov-24'!K91+'Dec-24'!K91+'Jan-25'!K91+'Feb-25'!K91+#REF!+#REF!+#REF!+'Dec-25'!K91</f>
        <v>#REF!</v>
      </c>
      <c r="L91" s="31" t="e">
        <f t="shared" si="26"/>
        <v>#REF!</v>
      </c>
      <c r="M91" s="31" t="e">
        <f t="shared" si="25"/>
        <v>#REF!</v>
      </c>
      <c r="N91" s="32"/>
      <c r="O91" s="44"/>
      <c r="P91" s="44"/>
      <c r="Q91" s="44"/>
      <c r="AA91" s="46"/>
      <c r="AB91" s="46"/>
      <c r="AC91" s="46"/>
      <c r="AD91" s="46"/>
      <c r="AE91" s="46"/>
      <c r="AF91" s="46"/>
      <c r="AG91" s="46"/>
    </row>
    <row r="92" spans="1:33" x14ac:dyDescent="0.25">
      <c r="A92" s="14"/>
      <c r="B92" s="27"/>
      <c r="C92" s="28" t="s">
        <v>13</v>
      </c>
      <c r="D92" s="28"/>
      <c r="E92" s="28"/>
      <c r="F92" s="28"/>
      <c r="G92" s="42" t="e">
        <f>+'Jul-24'!G92+'Aug-24'!G92+'Sep-24'!G92+'Oct-24'!G92+'Nov-24'!G92+'Dec-24'!G92+'Jan-25'!G92+'Feb-25'!G92+#REF!+#REF!+#REF!+'Dec-25'!G92</f>
        <v>#REF!</v>
      </c>
      <c r="H92" s="42" t="e">
        <f>+'Jul-24'!H92+'Aug-24'!H92+'Sep-24'!H92+'Oct-24'!H92+'Nov-24'!H92+'Dec-24'!H92+'Jan-25'!H92+'Feb-25'!H92+#REF!+#REF!+#REF!+'Dec-25'!H92</f>
        <v>#REF!</v>
      </c>
      <c r="I92" s="42" t="e">
        <f>+'Jul-24'!I92+'Aug-24'!I92+'Sep-24'!I92+'Oct-24'!I92+'Nov-24'!I92+'Dec-24'!I92+'Jan-25'!I92+'Feb-25'!I92+#REF!+#REF!+#REF!+'Dec-25'!I92</f>
        <v>#REF!</v>
      </c>
      <c r="J92" s="42" t="e">
        <f>+'Jul-24'!J92+'Aug-24'!J92+'Sep-24'!J92+'Oct-24'!J92+'Nov-24'!J92+'Dec-24'!J92+'Jan-25'!J92+'Feb-25'!J92+#REF!+#REF!+#REF!+'Dec-25'!J92</f>
        <v>#REF!</v>
      </c>
      <c r="K92" s="42" t="e">
        <f>+'Jul-24'!K92+'Aug-24'!K92+'Sep-24'!K92+'Oct-24'!K92+'Nov-24'!K92+'Dec-24'!K92+'Jan-25'!K92+'Feb-25'!K92+#REF!+#REF!+#REF!+'Dec-25'!K92</f>
        <v>#REF!</v>
      </c>
      <c r="L92" s="35" t="e">
        <f t="shared" si="26"/>
        <v>#REF!</v>
      </c>
      <c r="M92" s="35" t="e">
        <f t="shared" si="25"/>
        <v>#REF!</v>
      </c>
      <c r="N92" s="32"/>
      <c r="O92" s="44"/>
      <c r="P92" s="44"/>
      <c r="Q92" s="44"/>
      <c r="AA92" s="46"/>
      <c r="AB92" s="46"/>
      <c r="AC92" s="46"/>
      <c r="AD92" s="46"/>
      <c r="AE92" s="46"/>
      <c r="AF92" s="46"/>
      <c r="AG92" s="46"/>
    </row>
    <row r="93" spans="1:33" x14ac:dyDescent="0.25">
      <c r="A93" s="14"/>
      <c r="B93" s="27"/>
      <c r="C93" s="28" t="s">
        <v>14</v>
      </c>
      <c r="D93" s="28"/>
      <c r="E93" s="28"/>
      <c r="F93" s="28"/>
      <c r="G93" s="42" t="e">
        <f>+'Jul-24'!G93+'Aug-24'!G93+'Sep-24'!G93+'Oct-24'!G93+'Nov-24'!G93+'Dec-24'!G93+'Jan-25'!G93+'Feb-25'!G93+#REF!+#REF!+#REF!+'Dec-25'!G93</f>
        <v>#REF!</v>
      </c>
      <c r="H93" s="42" t="e">
        <f>+'Jul-24'!H93+'Aug-24'!H93+'Sep-24'!H93+'Oct-24'!H93+'Nov-24'!H93+'Dec-24'!H93+'Jan-25'!H93+'Feb-25'!H93+#REF!+#REF!+#REF!+'Dec-25'!H93</f>
        <v>#REF!</v>
      </c>
      <c r="I93" s="42" t="e">
        <f>+'Jul-24'!I93+'Aug-24'!I93+'Sep-24'!I93+'Oct-24'!I93+'Nov-24'!I93+'Dec-24'!I93+'Jan-25'!I93+'Feb-25'!I93+#REF!+#REF!+#REF!+'Dec-25'!I93</f>
        <v>#REF!</v>
      </c>
      <c r="J93" s="42" t="e">
        <f>+'Jul-24'!J93+'Aug-24'!J93+'Sep-24'!J93+'Oct-24'!J93+'Nov-24'!J93+'Dec-24'!J93+'Jan-25'!J93+'Feb-25'!J93+#REF!+#REF!+#REF!+'Dec-25'!J93</f>
        <v>#REF!</v>
      </c>
      <c r="K93" s="42" t="e">
        <f>+'Jul-24'!K93+'Aug-24'!K93+'Sep-24'!K93+'Oct-24'!K93+'Nov-24'!K93+'Dec-24'!K93+'Jan-25'!K93+'Feb-25'!K93+#REF!+#REF!+#REF!+'Dec-25'!K93</f>
        <v>#REF!</v>
      </c>
      <c r="L93" s="35" t="e">
        <f t="shared" si="26"/>
        <v>#REF!</v>
      </c>
      <c r="M93" s="35" t="e">
        <f t="shared" si="25"/>
        <v>#REF!</v>
      </c>
      <c r="N93" s="32"/>
      <c r="O93" s="44"/>
      <c r="P93" s="44"/>
      <c r="Q93" s="44"/>
      <c r="AA93" s="46"/>
      <c r="AB93" s="46"/>
      <c r="AC93" s="46"/>
      <c r="AD93" s="46"/>
      <c r="AE93" s="46"/>
      <c r="AF93" s="46"/>
      <c r="AG93" s="46"/>
    </row>
    <row r="94" spans="1:33" x14ac:dyDescent="0.25">
      <c r="A94" s="14"/>
      <c r="B94" s="27"/>
      <c r="C94" s="28" t="s">
        <v>4</v>
      </c>
      <c r="D94" s="28"/>
      <c r="E94" s="28"/>
      <c r="F94" s="28"/>
      <c r="G94" s="42" t="e">
        <f>+'Jul-24'!G94+'Aug-24'!G94+'Sep-24'!G94+'Oct-24'!G94+'Nov-24'!G94+'Dec-24'!G94+'Jan-25'!G94+'Feb-25'!G94+#REF!+#REF!+#REF!+'Dec-25'!G94</f>
        <v>#REF!</v>
      </c>
      <c r="H94" s="42" t="e">
        <f>+'Jul-24'!H94+'Aug-24'!H94+'Sep-24'!H94+'Oct-24'!H94+'Nov-24'!H94+'Dec-24'!H94+'Jan-25'!H94+'Feb-25'!H94+#REF!+#REF!+#REF!+'Dec-25'!H94</f>
        <v>#REF!</v>
      </c>
      <c r="I94" s="42" t="e">
        <f>+'Jul-24'!I94+'Aug-24'!I94+'Sep-24'!I94+'Oct-24'!I94+'Nov-24'!I94+'Dec-24'!I94+'Jan-25'!I94+'Feb-25'!I94+#REF!+#REF!+#REF!+'Dec-25'!I94</f>
        <v>#REF!</v>
      </c>
      <c r="J94" s="42" t="e">
        <f>+'Jul-24'!J94+'Aug-24'!J94+'Sep-24'!J94+'Oct-24'!J94+'Nov-24'!J94+'Dec-24'!J94+'Jan-25'!J94+'Feb-25'!J94+#REF!+#REF!+#REF!+'Dec-25'!J94</f>
        <v>#REF!</v>
      </c>
      <c r="K94" s="42" t="e">
        <f>+'Jul-24'!K94+'Aug-24'!K94+'Sep-24'!K94+'Oct-24'!K94+'Nov-24'!K94+'Dec-24'!K94+'Jan-25'!K94+'Feb-25'!K94+#REF!+#REF!+#REF!+'Dec-25'!K94</f>
        <v>#REF!</v>
      </c>
      <c r="L94" s="35" t="e">
        <f t="shared" si="26"/>
        <v>#REF!</v>
      </c>
      <c r="M94" s="35" t="e">
        <f t="shared" si="25"/>
        <v>#REF!</v>
      </c>
      <c r="N94" s="32"/>
      <c r="O94" s="44"/>
      <c r="P94" s="44"/>
      <c r="Q94" s="44"/>
      <c r="AA94" s="46"/>
      <c r="AB94" s="46"/>
      <c r="AC94" s="46"/>
      <c r="AD94" s="46"/>
      <c r="AE94" s="46"/>
      <c r="AF94" s="46"/>
      <c r="AG94" s="46"/>
    </row>
    <row r="95" spans="1:33" x14ac:dyDescent="0.25">
      <c r="A95" s="14"/>
      <c r="B95" s="27"/>
      <c r="C95" s="28" t="s">
        <v>15</v>
      </c>
      <c r="D95" s="28"/>
      <c r="E95" s="28"/>
      <c r="F95" s="28"/>
      <c r="G95" s="42" t="e">
        <f>+'Jul-24'!G95+'Aug-24'!G95+'Sep-24'!G95+'Oct-24'!G95+'Nov-24'!G95+'Dec-24'!G95+'Jan-25'!G95+'Feb-25'!G95+#REF!+#REF!+#REF!+'Dec-25'!G95</f>
        <v>#REF!</v>
      </c>
      <c r="H95" s="42" t="e">
        <f>+'Jul-24'!H95+'Aug-24'!H95+'Sep-24'!H95+'Oct-24'!H95+'Nov-24'!H95+'Dec-24'!H95+'Jan-25'!H95+'Feb-25'!H95+#REF!+#REF!+#REF!+'Dec-25'!H95</f>
        <v>#REF!</v>
      </c>
      <c r="I95" s="42" t="e">
        <f>+'Jul-24'!I95+'Aug-24'!I95+'Sep-24'!I95+'Oct-24'!I95+'Nov-24'!I95+'Dec-24'!I95+'Jan-25'!I95+'Feb-25'!I95+#REF!+#REF!+#REF!+'Dec-25'!I95</f>
        <v>#REF!</v>
      </c>
      <c r="J95" s="42" t="e">
        <f>+'Jul-24'!J95+'Aug-24'!J95+'Sep-24'!J95+'Oct-24'!J95+'Nov-24'!J95+'Dec-24'!J95+'Jan-25'!J95+'Feb-25'!J95+#REF!+#REF!+#REF!+'Dec-25'!J95</f>
        <v>#REF!</v>
      </c>
      <c r="K95" s="42" t="e">
        <f>+'Jul-24'!K95+'Aug-24'!K95+'Sep-24'!K95+'Oct-24'!K95+'Nov-24'!K95+'Dec-24'!K95+'Jan-25'!K95+'Feb-25'!K95+#REF!+#REF!+#REF!+'Dec-25'!K95</f>
        <v>#REF!</v>
      </c>
      <c r="L95" s="35" t="e">
        <f t="shared" si="26"/>
        <v>#REF!</v>
      </c>
      <c r="M95" s="35" t="e">
        <f t="shared" si="25"/>
        <v>#REF!</v>
      </c>
      <c r="N95" s="32"/>
      <c r="O95" s="44"/>
      <c r="P95" s="44"/>
      <c r="Q95" s="44"/>
      <c r="AA95" s="46"/>
      <c r="AB95" s="46"/>
      <c r="AC95" s="46"/>
      <c r="AD95" s="46"/>
      <c r="AE95" s="46"/>
      <c r="AF95" s="46"/>
      <c r="AG95" s="46"/>
    </row>
    <row r="96" spans="1:33" x14ac:dyDescent="0.25">
      <c r="A96" s="14"/>
      <c r="B96" s="27"/>
      <c r="C96" s="28" t="s">
        <v>16</v>
      </c>
      <c r="D96" s="28"/>
      <c r="E96" s="28"/>
      <c r="F96" s="28"/>
      <c r="G96" s="42" t="e">
        <f>+'Jul-24'!G96+'Aug-24'!G96+'Sep-24'!G96+'Oct-24'!G96+'Nov-24'!G96+'Dec-24'!G96+'Jan-25'!G96+'Feb-25'!G96+#REF!+#REF!+#REF!+'Dec-25'!G96</f>
        <v>#REF!</v>
      </c>
      <c r="H96" s="42" t="e">
        <f>+'Jul-24'!H96+'Aug-24'!H96+'Sep-24'!H96+'Oct-24'!H96+'Nov-24'!H96+'Dec-24'!H96+'Jan-25'!H96+'Feb-25'!H96+#REF!+#REF!+#REF!+'Dec-25'!H96</f>
        <v>#REF!</v>
      </c>
      <c r="I96" s="42" t="e">
        <f>+'Jul-24'!I96+'Aug-24'!I96+'Sep-24'!I96+'Oct-24'!I96+'Nov-24'!I96+'Dec-24'!I96+'Jan-25'!I96+'Feb-25'!I96+#REF!+#REF!+#REF!+'Dec-25'!I96</f>
        <v>#REF!</v>
      </c>
      <c r="J96" s="42" t="e">
        <f>+'Jul-24'!J96+'Aug-24'!J96+'Sep-24'!J96+'Oct-24'!J96+'Nov-24'!J96+'Dec-24'!J96+'Jan-25'!J96+'Feb-25'!J96+#REF!+#REF!+#REF!+'Dec-25'!J96</f>
        <v>#REF!</v>
      </c>
      <c r="K96" s="42" t="e">
        <f>+'Jul-24'!K96+'Aug-24'!K96+'Sep-24'!K96+'Oct-24'!K96+'Nov-24'!K96+'Dec-24'!K96+'Jan-25'!K96+'Feb-25'!K96+#REF!+#REF!+#REF!+'Dec-25'!K96</f>
        <v>#REF!</v>
      </c>
      <c r="L96" s="35" t="e">
        <f t="shared" si="26"/>
        <v>#REF!</v>
      </c>
      <c r="M96" s="35" t="e">
        <f t="shared" si="25"/>
        <v>#REF!</v>
      </c>
      <c r="N96" s="32"/>
      <c r="O96" s="44"/>
      <c r="P96" s="44"/>
      <c r="Q96" s="44"/>
      <c r="AA96" s="46"/>
      <c r="AB96" s="46"/>
      <c r="AC96" s="46"/>
      <c r="AD96" s="46"/>
      <c r="AE96" s="46"/>
      <c r="AF96" s="46"/>
      <c r="AG96" s="46"/>
    </row>
    <row r="97" spans="1:24" ht="15.75" thickBot="1" x14ac:dyDescent="0.3">
      <c r="A97" s="14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4"/>
      <c r="P97" s="44"/>
      <c r="Q97" s="44"/>
    </row>
    <row r="98" spans="1:24" ht="15.75" thickBot="1" x14ac:dyDescent="0.3">
      <c r="A98" s="14"/>
      <c r="G98" s="33"/>
      <c r="H98" s="33"/>
      <c r="I98" s="33"/>
      <c r="J98" s="33"/>
      <c r="K98" s="33"/>
      <c r="L98" s="33"/>
      <c r="M98" s="33"/>
      <c r="N98" s="33"/>
      <c r="O98" s="44"/>
      <c r="P98" s="44"/>
      <c r="Q98" s="44"/>
    </row>
    <row r="99" spans="1:24" x14ac:dyDescent="0.25">
      <c r="A99" s="4">
        <f>+A83+1</f>
        <v>6</v>
      </c>
      <c r="B99" s="40"/>
      <c r="C99" s="6" t="s">
        <v>22</v>
      </c>
      <c r="D99" s="7"/>
      <c r="E99" s="8"/>
      <c r="F99" s="8"/>
      <c r="G99" s="10">
        <f>+$G$3</f>
        <v>2024</v>
      </c>
      <c r="H99" s="10">
        <f>+G99</f>
        <v>2024</v>
      </c>
      <c r="I99" s="10">
        <f t="shared" ref="I99:M100" si="27">+H99</f>
        <v>2024</v>
      </c>
      <c r="J99" s="10">
        <f t="shared" si="27"/>
        <v>2024</v>
      </c>
      <c r="K99" s="10">
        <f t="shared" si="27"/>
        <v>2024</v>
      </c>
      <c r="L99" s="10">
        <f t="shared" si="27"/>
        <v>2024</v>
      </c>
      <c r="M99" s="10">
        <f t="shared" si="27"/>
        <v>2024</v>
      </c>
      <c r="N99" s="11"/>
      <c r="O99" s="44"/>
      <c r="P99" s="44"/>
      <c r="Q99" s="44"/>
      <c r="S99" s="12" t="str">
        <f>+C99</f>
        <v>Ngwempisi</v>
      </c>
      <c r="T99" s="13" t="e">
        <f>+L103</f>
        <v>#REF!</v>
      </c>
      <c r="U99" s="13" t="e">
        <f>+L104+L105</f>
        <v>#REF!</v>
      </c>
      <c r="V99" s="13" t="e">
        <f>+L106+L107</f>
        <v>#REF!</v>
      </c>
      <c r="W99" s="13" t="e">
        <f>+L110</f>
        <v>#REF!</v>
      </c>
      <c r="X99" s="13" t="e">
        <f>+L108</f>
        <v>#REF!</v>
      </c>
    </row>
    <row r="100" spans="1:24" x14ac:dyDescent="0.25">
      <c r="A100" s="14"/>
      <c r="B100" s="15"/>
      <c r="C100" s="41" t="str">
        <f>+$C84</f>
        <v>Year to Date 2024/2025</v>
      </c>
      <c r="D100" s="18"/>
      <c r="E100" s="18"/>
      <c r="F100" s="18"/>
      <c r="G100" s="20" t="str">
        <f>+$G$4</f>
        <v>Week</v>
      </c>
      <c r="H100" s="20" t="str">
        <f>+G100</f>
        <v>Week</v>
      </c>
      <c r="I100" s="20" t="str">
        <f t="shared" si="27"/>
        <v>Week</v>
      </c>
      <c r="J100" s="20" t="str">
        <f t="shared" si="27"/>
        <v>Week</v>
      </c>
      <c r="K100" s="20" t="str">
        <f t="shared" si="27"/>
        <v>Week</v>
      </c>
      <c r="L100" s="20" t="str">
        <f t="shared" si="27"/>
        <v>Week</v>
      </c>
      <c r="M100" s="20" t="str">
        <f t="shared" si="27"/>
        <v>Week</v>
      </c>
      <c r="N100" s="21"/>
      <c r="O100" s="44"/>
      <c r="P100" s="44"/>
      <c r="Q100" s="44"/>
    </row>
    <row r="101" spans="1:24" ht="15.75" thickBot="1" x14ac:dyDescent="0.3">
      <c r="A101" s="14"/>
      <c r="B101" s="22"/>
      <c r="C101" s="23"/>
      <c r="D101" s="23"/>
      <c r="E101" s="23"/>
      <c r="F101" s="23"/>
      <c r="G101" s="25">
        <f>+$G$5</f>
        <v>1</v>
      </c>
      <c r="H101" s="25">
        <f>+$H$5</f>
        <v>2</v>
      </c>
      <c r="I101" s="25">
        <f>+$I$5</f>
        <v>3</v>
      </c>
      <c r="J101" s="25">
        <f>+$J$5</f>
        <v>4</v>
      </c>
      <c r="K101" s="25">
        <f>+$K$5</f>
        <v>5</v>
      </c>
      <c r="L101" s="25" t="s">
        <v>6</v>
      </c>
      <c r="M101" s="25" t="s">
        <v>7</v>
      </c>
      <c r="N101" s="26"/>
      <c r="O101" s="44"/>
      <c r="P101" s="44"/>
      <c r="Q101" s="44"/>
    </row>
    <row r="102" spans="1:24" x14ac:dyDescent="0.25">
      <c r="A102" s="14"/>
      <c r="B102" s="27"/>
      <c r="C102" s="28"/>
      <c r="D102" s="28"/>
      <c r="E102" s="28"/>
      <c r="F102" s="28"/>
      <c r="G102" s="29"/>
      <c r="H102" s="29"/>
      <c r="I102" s="29"/>
      <c r="J102" s="29"/>
      <c r="K102" s="28"/>
      <c r="L102" s="28"/>
      <c r="M102" s="28"/>
      <c r="N102" s="30"/>
      <c r="O102" s="44"/>
      <c r="P102" s="44"/>
      <c r="Q102" s="44"/>
    </row>
    <row r="103" spans="1:24" x14ac:dyDescent="0.25">
      <c r="A103" s="14"/>
      <c r="B103" s="27"/>
      <c r="C103" s="28" t="s">
        <v>8</v>
      </c>
      <c r="D103" s="28"/>
      <c r="E103" s="28"/>
      <c r="F103" s="28"/>
      <c r="G103" s="31" t="e">
        <f>SUM(G104:G107)</f>
        <v>#REF!</v>
      </c>
      <c r="H103" s="31" t="e">
        <f t="shared" ref="H103:L103" si="28">SUM(H104:H107)</f>
        <v>#REF!</v>
      </c>
      <c r="I103" s="31" t="e">
        <f t="shared" si="28"/>
        <v>#REF!</v>
      </c>
      <c r="J103" s="31" t="e">
        <f t="shared" si="28"/>
        <v>#REF!</v>
      </c>
      <c r="K103" s="31" t="e">
        <f t="shared" si="28"/>
        <v>#REF!</v>
      </c>
      <c r="L103" s="31" t="e">
        <f t="shared" si="28"/>
        <v>#REF!</v>
      </c>
      <c r="M103" s="31" t="e">
        <f>ROUND((L103/$E$1),0)</f>
        <v>#REF!</v>
      </c>
      <c r="N103" s="32"/>
      <c r="O103" s="44"/>
      <c r="P103" s="44"/>
      <c r="Q103" s="44"/>
    </row>
    <row r="104" spans="1:24" x14ac:dyDescent="0.25">
      <c r="A104" s="14"/>
      <c r="B104" s="27"/>
      <c r="C104" s="28"/>
      <c r="D104" s="28" t="s">
        <v>9</v>
      </c>
      <c r="E104" s="28"/>
      <c r="F104" s="28"/>
      <c r="G104" s="42" t="e">
        <f>+'Jul-24'!G104+'Aug-24'!G104+'Sep-24'!G104+'Oct-24'!G104+'Nov-24'!G104+'Dec-24'!G104+'Jan-25'!G104+'Feb-25'!G104+#REF!+#REF!+#REF!+'Dec-25'!G104</f>
        <v>#REF!</v>
      </c>
      <c r="H104" s="42" t="e">
        <f>+'Jul-24'!H104+'Aug-24'!H104+'Sep-24'!H104+'Oct-24'!H104+'Nov-24'!H104+'Dec-24'!H104+'Jan-25'!H104+'Feb-25'!H104+#REF!+#REF!+#REF!+'Dec-25'!H104</f>
        <v>#REF!</v>
      </c>
      <c r="I104" s="42" t="e">
        <f>+'Jul-24'!I104+'Aug-24'!I104+'Sep-24'!I104+'Oct-24'!I104+'Nov-24'!I104+'Dec-24'!I104+'Jan-25'!I104+'Feb-25'!I104+#REF!+#REF!+#REF!+'Dec-25'!I104</f>
        <v>#REF!</v>
      </c>
      <c r="J104" s="42" t="e">
        <f>+'Jul-24'!J104+'Aug-24'!J104+'Sep-24'!J104+'Oct-24'!J104+'Nov-24'!J104+'Dec-24'!J104+'Jan-25'!J104+'Feb-25'!J104+#REF!+#REF!+#REF!+'Dec-25'!J104</f>
        <v>#REF!</v>
      </c>
      <c r="K104" s="42" t="e">
        <f>+'Jul-24'!K104+'Aug-24'!K104+'Sep-24'!K104+'Oct-24'!K104+'Nov-24'!K104+'Dec-24'!K104+'Jan-25'!K104+'Feb-25'!K104+#REF!+#REF!+#REF!+'Dec-25'!K104</f>
        <v>#REF!</v>
      </c>
      <c r="L104" s="35" t="e">
        <f>SUM(G104:K104)</f>
        <v>#REF!</v>
      </c>
      <c r="M104" s="35" t="e">
        <f t="shared" ref="M104:M112" si="29">ROUND((L104/$E$1),0)</f>
        <v>#REF!</v>
      </c>
      <c r="N104" s="32"/>
      <c r="O104" s="44"/>
      <c r="P104" s="44"/>
      <c r="Q104" s="44"/>
    </row>
    <row r="105" spans="1:24" x14ac:dyDescent="0.25">
      <c r="A105" s="14"/>
      <c r="B105" s="27"/>
      <c r="C105" s="28"/>
      <c r="D105" s="28" t="s">
        <v>10</v>
      </c>
      <c r="E105" s="28"/>
      <c r="F105" s="28"/>
      <c r="G105" s="42" t="e">
        <f>+'Jul-24'!G105+'Aug-24'!G105+'Sep-24'!G105+'Oct-24'!G105+'Nov-24'!G105+'Dec-24'!G105+'Jan-25'!G105+'Feb-25'!G105+#REF!+#REF!+#REF!+'Dec-25'!G105</f>
        <v>#REF!</v>
      </c>
      <c r="H105" s="42" t="e">
        <f>+'Jul-24'!H105+'Aug-24'!H105+'Sep-24'!H105+'Oct-24'!H105+'Nov-24'!H105+'Dec-24'!H105+'Jan-25'!H105+'Feb-25'!H105+#REF!+#REF!+#REF!+'Dec-25'!H105</f>
        <v>#REF!</v>
      </c>
      <c r="I105" s="42" t="e">
        <f>+'Jul-24'!I105+'Aug-24'!I105+'Sep-24'!I105+'Oct-24'!I105+'Nov-24'!I105+'Dec-24'!I105+'Jan-25'!I105+'Feb-25'!I105+#REF!+#REF!+#REF!+'Dec-25'!I105</f>
        <v>#REF!</v>
      </c>
      <c r="J105" s="42" t="e">
        <f>+'Jul-24'!J105+'Aug-24'!J105+'Sep-24'!J105+'Oct-24'!J105+'Nov-24'!J105+'Dec-24'!J105+'Jan-25'!J105+'Feb-25'!J105+#REF!+#REF!+#REF!+'Dec-25'!J105</f>
        <v>#REF!</v>
      </c>
      <c r="K105" s="42" t="e">
        <f>+'Jul-24'!K105+'Aug-24'!K105+'Sep-24'!K105+'Oct-24'!K105+'Nov-24'!K105+'Dec-24'!K105+'Jan-25'!K105+'Feb-25'!K105+#REF!+#REF!+#REF!+'Dec-25'!K105</f>
        <v>#REF!</v>
      </c>
      <c r="L105" s="35" t="e">
        <f t="shared" ref="L105:L112" si="30">SUM(G105:K105)</f>
        <v>#REF!</v>
      </c>
      <c r="M105" s="35" t="e">
        <f t="shared" si="29"/>
        <v>#REF!</v>
      </c>
      <c r="N105" s="32"/>
      <c r="O105" s="44"/>
      <c r="P105" s="44"/>
      <c r="Q105" s="44"/>
    </row>
    <row r="106" spans="1:24" x14ac:dyDescent="0.25">
      <c r="A106" s="14"/>
      <c r="B106" s="27"/>
      <c r="C106" s="28"/>
      <c r="D106" s="28" t="s">
        <v>11</v>
      </c>
      <c r="E106" s="28"/>
      <c r="F106" s="28"/>
      <c r="G106" s="42" t="e">
        <f>+'Jul-24'!G106+'Aug-24'!G106+'Sep-24'!G106+'Oct-24'!G106+'Nov-24'!G106+'Dec-24'!G106+'Jan-25'!G106+'Feb-25'!G106+#REF!+#REF!+#REF!+'Dec-25'!G106</f>
        <v>#REF!</v>
      </c>
      <c r="H106" s="42" t="e">
        <f>+'Jul-24'!H106+'Aug-24'!H106+'Sep-24'!H106+'Oct-24'!H106+'Nov-24'!H106+'Dec-24'!H106+'Jan-25'!H106+'Feb-25'!H106+#REF!+#REF!+#REF!+'Dec-25'!H106</f>
        <v>#REF!</v>
      </c>
      <c r="I106" s="42" t="e">
        <f>+'Jul-24'!I106+'Aug-24'!I106+'Sep-24'!I106+'Oct-24'!I106+'Nov-24'!I106+'Dec-24'!I106+'Jan-25'!I106+'Feb-25'!I106+#REF!+#REF!+#REF!+'Dec-25'!I106</f>
        <v>#REF!</v>
      </c>
      <c r="J106" s="42" t="e">
        <f>+'Jul-24'!J106+'Aug-24'!J106+'Sep-24'!J106+'Oct-24'!J106+'Nov-24'!J106+'Dec-24'!J106+'Jan-25'!J106+'Feb-25'!J106+#REF!+#REF!+#REF!+'Dec-25'!J106</f>
        <v>#REF!</v>
      </c>
      <c r="K106" s="42" t="e">
        <f>+'Jul-24'!K106+'Aug-24'!K106+'Sep-24'!K106+'Oct-24'!K106+'Nov-24'!K106+'Dec-24'!K106+'Jan-25'!K106+'Feb-25'!K106+#REF!+#REF!+#REF!+'Dec-25'!K106</f>
        <v>#REF!</v>
      </c>
      <c r="L106" s="35" t="e">
        <f t="shared" si="30"/>
        <v>#REF!</v>
      </c>
      <c r="M106" s="35" t="e">
        <f t="shared" si="29"/>
        <v>#REF!</v>
      </c>
      <c r="N106" s="32"/>
      <c r="O106" s="44"/>
      <c r="P106" s="44"/>
      <c r="Q106" s="44"/>
    </row>
    <row r="107" spans="1:24" x14ac:dyDescent="0.25">
      <c r="A107" s="14"/>
      <c r="B107" s="27"/>
      <c r="C107" s="28"/>
      <c r="D107" s="28" t="s">
        <v>12</v>
      </c>
      <c r="E107" s="28"/>
      <c r="F107" s="28"/>
      <c r="G107" s="43" t="e">
        <f>+'Jul-24'!G107+'Aug-24'!G107+'Sep-24'!G107+'Oct-24'!G107+'Nov-24'!G107+'Dec-24'!G107+'Jan-25'!G107+'Feb-25'!G107+#REF!+#REF!+#REF!+'Dec-25'!G107</f>
        <v>#REF!</v>
      </c>
      <c r="H107" s="43" t="e">
        <f>+'Jul-24'!H107+'Aug-24'!H107+'Sep-24'!H107+'Oct-24'!H107+'Nov-24'!H107+'Dec-24'!H107+'Jan-25'!H107+'Feb-25'!H107+#REF!+#REF!+#REF!+'Dec-25'!H107</f>
        <v>#REF!</v>
      </c>
      <c r="I107" s="43" t="e">
        <f>+'Jul-24'!I107+'Aug-24'!I107+'Sep-24'!I107+'Oct-24'!I107+'Nov-24'!I107+'Dec-24'!I107+'Jan-25'!I107+'Feb-25'!I107+#REF!+#REF!+#REF!+'Dec-25'!I107</f>
        <v>#REF!</v>
      </c>
      <c r="J107" s="43" t="e">
        <f>+'Jul-24'!J107+'Aug-24'!J107+'Sep-24'!J107+'Oct-24'!J107+'Nov-24'!J107+'Dec-24'!J107+'Jan-25'!J107+'Feb-25'!J107+#REF!+#REF!+#REF!+'Dec-25'!J107</f>
        <v>#REF!</v>
      </c>
      <c r="K107" s="43" t="e">
        <f>+'Jul-24'!K107+'Aug-24'!K107+'Sep-24'!K107+'Oct-24'!K107+'Nov-24'!K107+'Dec-24'!K107+'Jan-25'!K107+'Feb-25'!K107+#REF!+#REF!+#REF!+'Dec-25'!K107</f>
        <v>#REF!</v>
      </c>
      <c r="L107" s="31" t="e">
        <f t="shared" si="30"/>
        <v>#REF!</v>
      </c>
      <c r="M107" s="31" t="e">
        <f t="shared" si="29"/>
        <v>#REF!</v>
      </c>
      <c r="N107" s="32"/>
      <c r="O107" s="44"/>
      <c r="P107" s="44"/>
      <c r="Q107" s="44"/>
    </row>
    <row r="108" spans="1:24" x14ac:dyDescent="0.25">
      <c r="A108" s="14"/>
      <c r="B108" s="27"/>
      <c r="C108" s="28" t="s">
        <v>13</v>
      </c>
      <c r="D108" s="28"/>
      <c r="E108" s="28"/>
      <c r="F108" s="28"/>
      <c r="G108" s="42" t="e">
        <f>+'Jul-24'!G108+'Aug-24'!G108+'Sep-24'!G108+'Oct-24'!G108+'Nov-24'!G108+'Dec-24'!G108+'Jan-25'!G108+'Feb-25'!G108+#REF!+#REF!+#REF!+'Dec-25'!G108</f>
        <v>#REF!</v>
      </c>
      <c r="H108" s="42" t="e">
        <f>+'Jul-24'!H108+'Aug-24'!H108+'Sep-24'!H108+'Oct-24'!H108+'Nov-24'!H108+'Dec-24'!H108+'Jan-25'!H108+'Feb-25'!H108+#REF!+#REF!+#REF!+'Dec-25'!H108</f>
        <v>#REF!</v>
      </c>
      <c r="I108" s="42" t="e">
        <f>+'Jul-24'!I108+'Aug-24'!I108+'Sep-24'!I108+'Oct-24'!I108+'Nov-24'!I108+'Dec-24'!I108+'Jan-25'!I108+'Feb-25'!I108+#REF!+#REF!+#REF!+'Dec-25'!I108</f>
        <v>#REF!</v>
      </c>
      <c r="J108" s="42" t="e">
        <f>+'Jul-24'!J108+'Aug-24'!J108+'Sep-24'!J108+'Oct-24'!J108+'Nov-24'!J108+'Dec-24'!J108+'Jan-25'!J108+'Feb-25'!J108+#REF!+#REF!+#REF!+'Dec-25'!J108</f>
        <v>#REF!</v>
      </c>
      <c r="K108" s="42" t="e">
        <f>+'Jul-24'!K108+'Aug-24'!K108+'Sep-24'!K108+'Oct-24'!K108+'Nov-24'!K108+'Dec-24'!K108+'Jan-25'!K108+'Feb-25'!K108+#REF!+#REF!+#REF!+'Dec-25'!K108</f>
        <v>#REF!</v>
      </c>
      <c r="L108" s="35" t="e">
        <f t="shared" si="30"/>
        <v>#REF!</v>
      </c>
      <c r="M108" s="35" t="e">
        <f t="shared" si="29"/>
        <v>#REF!</v>
      </c>
      <c r="N108" s="32"/>
      <c r="O108" s="44"/>
      <c r="P108" s="44"/>
      <c r="Q108" s="44"/>
    </row>
    <row r="109" spans="1:24" x14ac:dyDescent="0.25">
      <c r="A109" s="14"/>
      <c r="B109" s="27"/>
      <c r="C109" s="28" t="s">
        <v>14</v>
      </c>
      <c r="D109" s="28"/>
      <c r="E109" s="28"/>
      <c r="F109" s="28"/>
      <c r="G109" s="42" t="e">
        <f>+'Jul-24'!G109+'Aug-24'!G109+'Sep-24'!G109+'Oct-24'!G109+'Nov-24'!G109+'Dec-24'!G109+'Jan-25'!G109+'Feb-25'!G109+#REF!+#REF!+#REF!+'Dec-25'!G109</f>
        <v>#REF!</v>
      </c>
      <c r="H109" s="42" t="e">
        <f>+'Jul-24'!H109+'Aug-24'!H109+'Sep-24'!H109+'Oct-24'!H109+'Nov-24'!H109+'Dec-24'!H109+'Jan-25'!H109+'Feb-25'!H109+#REF!+#REF!+#REF!+'Dec-25'!H109</f>
        <v>#REF!</v>
      </c>
      <c r="I109" s="42" t="e">
        <f>+'Jul-24'!I109+'Aug-24'!I109+'Sep-24'!I109+'Oct-24'!I109+'Nov-24'!I109+'Dec-24'!I109+'Jan-25'!I109+'Feb-25'!I109+#REF!+#REF!+#REF!+'Dec-25'!I109</f>
        <v>#REF!</v>
      </c>
      <c r="J109" s="42" t="e">
        <f>+'Jul-24'!J109+'Aug-24'!J109+'Sep-24'!J109+'Oct-24'!J109+'Nov-24'!J109+'Dec-24'!J109+'Jan-25'!J109+'Feb-25'!J109+#REF!+#REF!+#REF!+'Dec-25'!J109</f>
        <v>#REF!</v>
      </c>
      <c r="K109" s="42" t="e">
        <f>+'Jul-24'!K109+'Aug-24'!K109+'Sep-24'!K109+'Oct-24'!K109+'Nov-24'!K109+'Dec-24'!K109+'Jan-25'!K109+'Feb-25'!K109+#REF!+#REF!+#REF!+'Dec-25'!K109</f>
        <v>#REF!</v>
      </c>
      <c r="L109" s="35" t="e">
        <f t="shared" si="30"/>
        <v>#REF!</v>
      </c>
      <c r="M109" s="35" t="e">
        <f t="shared" si="29"/>
        <v>#REF!</v>
      </c>
      <c r="N109" s="32"/>
      <c r="O109" s="44"/>
      <c r="P109" s="44"/>
      <c r="Q109" s="44"/>
    </row>
    <row r="110" spans="1:24" x14ac:dyDescent="0.25">
      <c r="A110" s="14"/>
      <c r="B110" s="27"/>
      <c r="C110" s="28" t="s">
        <v>4</v>
      </c>
      <c r="D110" s="28"/>
      <c r="E110" s="28"/>
      <c r="F110" s="28"/>
      <c r="G110" s="42" t="e">
        <f>+'Jul-24'!G110+'Aug-24'!G110+'Sep-24'!G110+'Oct-24'!G110+'Nov-24'!G110+'Dec-24'!G110+'Jan-25'!G110+'Feb-25'!G110+#REF!+#REF!+#REF!+'Dec-25'!G110</f>
        <v>#REF!</v>
      </c>
      <c r="H110" s="42" t="e">
        <f>+'Jul-24'!H110+'Aug-24'!H110+'Sep-24'!H110+'Oct-24'!H110+'Nov-24'!H110+'Dec-24'!H110+'Jan-25'!H110+'Feb-25'!H110+#REF!+#REF!+#REF!+'Dec-25'!H110</f>
        <v>#REF!</v>
      </c>
      <c r="I110" s="42" t="e">
        <f>+'Jul-24'!I110+'Aug-24'!I110+'Sep-24'!I110+'Oct-24'!I110+'Nov-24'!I110+'Dec-24'!I110+'Jan-25'!I110+'Feb-25'!I110+#REF!+#REF!+#REF!+'Dec-25'!I110</f>
        <v>#REF!</v>
      </c>
      <c r="J110" s="42" t="e">
        <f>+'Jul-24'!J110+'Aug-24'!J110+'Sep-24'!J110+'Oct-24'!J110+'Nov-24'!J110+'Dec-24'!J110+'Jan-25'!J110+'Feb-25'!J110+#REF!+#REF!+#REF!+'Dec-25'!J110</f>
        <v>#REF!</v>
      </c>
      <c r="K110" s="42" t="e">
        <f>+'Jul-24'!K110+'Aug-24'!K110+'Sep-24'!K110+'Oct-24'!K110+'Nov-24'!K110+'Dec-24'!K110+'Jan-25'!K110+'Feb-25'!K110+#REF!+#REF!+#REF!+'Dec-25'!K110</f>
        <v>#REF!</v>
      </c>
      <c r="L110" s="35" t="e">
        <f t="shared" si="30"/>
        <v>#REF!</v>
      </c>
      <c r="M110" s="35" t="e">
        <f t="shared" si="29"/>
        <v>#REF!</v>
      </c>
      <c r="N110" s="32"/>
      <c r="O110" s="44"/>
      <c r="P110" s="44"/>
      <c r="Q110" s="44"/>
    </row>
    <row r="111" spans="1:24" x14ac:dyDescent="0.25">
      <c r="A111" s="14"/>
      <c r="B111" s="27"/>
      <c r="C111" s="28" t="s">
        <v>15</v>
      </c>
      <c r="D111" s="28"/>
      <c r="E111" s="28"/>
      <c r="F111" s="28"/>
      <c r="G111" s="42" t="e">
        <f>+'Jul-24'!G111+'Aug-24'!G111+'Sep-24'!G111+'Oct-24'!G111+'Nov-24'!G111+'Dec-24'!G111+'Jan-25'!G111+'Feb-25'!G111+#REF!+#REF!+#REF!+'Dec-25'!G111</f>
        <v>#REF!</v>
      </c>
      <c r="H111" s="42" t="e">
        <f>+'Jul-24'!H111+'Aug-24'!H111+'Sep-24'!H111+'Oct-24'!H111+'Nov-24'!H111+'Dec-24'!H111+'Jan-25'!H111+'Feb-25'!H111+#REF!+#REF!+#REF!+'Dec-25'!H111</f>
        <v>#REF!</v>
      </c>
      <c r="I111" s="42" t="e">
        <f>+'Jul-24'!I111+'Aug-24'!I111+'Sep-24'!I111+'Oct-24'!I111+'Nov-24'!I111+'Dec-24'!I111+'Jan-25'!I111+'Feb-25'!I111+#REF!+#REF!+#REF!+'Dec-25'!I111</f>
        <v>#REF!</v>
      </c>
      <c r="J111" s="42" t="e">
        <f>+'Jul-24'!J111+'Aug-24'!J111+'Sep-24'!J111+'Oct-24'!J111+'Nov-24'!J111+'Dec-24'!J111+'Jan-25'!J111+'Feb-25'!J111+#REF!+#REF!+#REF!+'Dec-25'!J111</f>
        <v>#REF!</v>
      </c>
      <c r="K111" s="42" t="e">
        <f>+'Jul-24'!K111+'Aug-24'!K111+'Sep-24'!K111+'Oct-24'!K111+'Nov-24'!K111+'Dec-24'!K111+'Jan-25'!K111+'Feb-25'!K111+#REF!+#REF!+#REF!+'Dec-25'!K111</f>
        <v>#REF!</v>
      </c>
      <c r="L111" s="35" t="e">
        <f t="shared" si="30"/>
        <v>#REF!</v>
      </c>
      <c r="M111" s="35" t="e">
        <f t="shared" si="29"/>
        <v>#REF!</v>
      </c>
      <c r="N111" s="32"/>
      <c r="O111" s="44"/>
      <c r="P111" s="44"/>
      <c r="Q111" s="44"/>
    </row>
    <row r="112" spans="1:24" x14ac:dyDescent="0.25">
      <c r="A112" s="14"/>
      <c r="B112" s="27"/>
      <c r="C112" s="28" t="s">
        <v>16</v>
      </c>
      <c r="D112" s="28"/>
      <c r="E112" s="28"/>
      <c r="F112" s="28"/>
      <c r="G112" s="42" t="e">
        <f>+'Jul-24'!G112+'Aug-24'!G112+'Sep-24'!G112+'Oct-24'!G112+'Nov-24'!G112+'Dec-24'!G112+'Jan-25'!G112+'Feb-25'!G112+#REF!+#REF!+#REF!+'Dec-25'!G112</f>
        <v>#REF!</v>
      </c>
      <c r="H112" s="42" t="e">
        <f>+'Jul-24'!H112+'Aug-24'!H112+'Sep-24'!H112+'Oct-24'!H112+'Nov-24'!H112+'Dec-24'!H112+'Jan-25'!H112+'Feb-25'!H112+#REF!+#REF!+#REF!+'Dec-25'!H112</f>
        <v>#REF!</v>
      </c>
      <c r="I112" s="42" t="e">
        <f>+'Jul-24'!I112+'Aug-24'!I112+'Sep-24'!I112+'Oct-24'!I112+'Nov-24'!I112+'Dec-24'!I112+'Jan-25'!I112+'Feb-25'!I112+#REF!+#REF!+#REF!+'Dec-25'!I112</f>
        <v>#REF!</v>
      </c>
      <c r="J112" s="42" t="e">
        <f>+'Jul-24'!J112+'Aug-24'!J112+'Sep-24'!J112+'Oct-24'!J112+'Nov-24'!J112+'Dec-24'!J112+'Jan-25'!J112+'Feb-25'!J112+#REF!+#REF!+#REF!+'Dec-25'!J112</f>
        <v>#REF!</v>
      </c>
      <c r="K112" s="42" t="e">
        <f>+'Jul-24'!K112+'Aug-24'!K112+'Sep-24'!K112+'Oct-24'!K112+'Nov-24'!K112+'Dec-24'!K112+'Jan-25'!K112+'Feb-25'!K112+#REF!+#REF!+#REF!+'Dec-25'!K112</f>
        <v>#REF!</v>
      </c>
      <c r="L112" s="35" t="e">
        <f t="shared" si="30"/>
        <v>#REF!</v>
      </c>
      <c r="M112" s="35" t="e">
        <f t="shared" si="29"/>
        <v>#REF!</v>
      </c>
      <c r="N112" s="32"/>
      <c r="O112" s="44"/>
      <c r="P112" s="44"/>
      <c r="Q112" s="44"/>
    </row>
    <row r="113" spans="1:24" ht="15.75" thickBot="1" x14ac:dyDescent="0.3">
      <c r="A113" s="14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4"/>
      <c r="P113" s="44"/>
      <c r="Q113" s="44"/>
    </row>
    <row r="114" spans="1:24" ht="15.75" thickBot="1" x14ac:dyDescent="0.3"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</row>
    <row r="115" spans="1:24" x14ac:dyDescent="0.25">
      <c r="A115" s="4">
        <f>+A99+1</f>
        <v>7</v>
      </c>
      <c r="B115" s="40"/>
      <c r="C115" s="6" t="s">
        <v>23</v>
      </c>
      <c r="D115" s="7"/>
      <c r="E115" s="8"/>
      <c r="F115" s="8"/>
      <c r="G115" s="10">
        <f>+$G$3</f>
        <v>2024</v>
      </c>
      <c r="H115" s="10">
        <f>+G115</f>
        <v>2024</v>
      </c>
      <c r="I115" s="10">
        <f t="shared" ref="I115:M116" si="31">+H115</f>
        <v>2024</v>
      </c>
      <c r="J115" s="10">
        <f t="shared" si="31"/>
        <v>2024</v>
      </c>
      <c r="K115" s="10">
        <f t="shared" si="31"/>
        <v>2024</v>
      </c>
      <c r="L115" s="10">
        <f t="shared" si="31"/>
        <v>2024</v>
      </c>
      <c r="M115" s="10">
        <f t="shared" si="31"/>
        <v>2024</v>
      </c>
      <c r="N115" s="11"/>
      <c r="O115" s="44"/>
      <c r="P115" s="44"/>
      <c r="Q115" s="44"/>
      <c r="S115" s="12" t="str">
        <f>+C115</f>
        <v>Gebeni</v>
      </c>
      <c r="T115" s="13" t="e">
        <f>+L119</f>
        <v>#REF!</v>
      </c>
      <c r="U115" s="13" t="e">
        <f>+L120+L121</f>
        <v>#REF!</v>
      </c>
      <c r="V115" s="13" t="e">
        <f>+L122+L123</f>
        <v>#REF!</v>
      </c>
      <c r="W115" s="13" t="e">
        <f>+L126</f>
        <v>#REF!</v>
      </c>
      <c r="X115" s="13" t="e">
        <f>+L124</f>
        <v>#REF!</v>
      </c>
    </row>
    <row r="116" spans="1:24" x14ac:dyDescent="0.25">
      <c r="A116" s="14"/>
      <c r="B116" s="15"/>
      <c r="C116" s="41" t="str">
        <f>+$C100</f>
        <v>Year to Date 2024/2025</v>
      </c>
      <c r="D116" s="18"/>
      <c r="E116" s="18"/>
      <c r="F116" s="18"/>
      <c r="G116" s="20" t="str">
        <f>+$G$4</f>
        <v>Week</v>
      </c>
      <c r="H116" s="20" t="str">
        <f>+G116</f>
        <v>Week</v>
      </c>
      <c r="I116" s="20" t="str">
        <f t="shared" si="31"/>
        <v>Week</v>
      </c>
      <c r="J116" s="20" t="str">
        <f t="shared" si="31"/>
        <v>Week</v>
      </c>
      <c r="K116" s="20" t="str">
        <f t="shared" si="31"/>
        <v>Week</v>
      </c>
      <c r="L116" s="20" t="str">
        <f t="shared" si="31"/>
        <v>Week</v>
      </c>
      <c r="M116" s="20" t="str">
        <f t="shared" si="31"/>
        <v>Week</v>
      </c>
      <c r="N116" s="21"/>
      <c r="O116" s="44"/>
      <c r="P116" s="44"/>
      <c r="Q116" s="44"/>
    </row>
    <row r="117" spans="1:24" ht="15.75" thickBot="1" x14ac:dyDescent="0.3">
      <c r="A117" s="14"/>
      <c r="B117" s="22"/>
      <c r="C117" s="23"/>
      <c r="D117" s="23"/>
      <c r="E117" s="23"/>
      <c r="F117" s="23"/>
      <c r="G117" s="25">
        <f>+$G$5</f>
        <v>1</v>
      </c>
      <c r="H117" s="25">
        <f>+$H$5</f>
        <v>2</v>
      </c>
      <c r="I117" s="25">
        <f>+$I$5</f>
        <v>3</v>
      </c>
      <c r="J117" s="25">
        <f>+$J$5</f>
        <v>4</v>
      </c>
      <c r="K117" s="25">
        <f>+$K$5</f>
        <v>5</v>
      </c>
      <c r="L117" s="25" t="s">
        <v>6</v>
      </c>
      <c r="M117" s="25" t="s">
        <v>7</v>
      </c>
      <c r="N117" s="26"/>
      <c r="O117" s="44"/>
      <c r="P117" s="44"/>
      <c r="Q117" s="44"/>
    </row>
    <row r="118" spans="1:24" x14ac:dyDescent="0.25">
      <c r="A118" s="14"/>
      <c r="B118" s="27"/>
      <c r="C118" s="28"/>
      <c r="D118" s="28"/>
      <c r="E118" s="28"/>
      <c r="F118" s="28"/>
      <c r="G118" s="29"/>
      <c r="H118" s="29"/>
      <c r="I118" s="29"/>
      <c r="J118" s="29"/>
      <c r="K118" s="28"/>
      <c r="L118" s="28"/>
      <c r="M118" s="28"/>
      <c r="N118" s="30"/>
      <c r="O118" s="44"/>
      <c r="P118" s="44"/>
      <c r="Q118" s="44"/>
    </row>
    <row r="119" spans="1:24" x14ac:dyDescent="0.25">
      <c r="A119" s="14"/>
      <c r="B119" s="27"/>
      <c r="C119" s="28" t="s">
        <v>8</v>
      </c>
      <c r="D119" s="28"/>
      <c r="E119" s="28"/>
      <c r="F119" s="28"/>
      <c r="G119" s="31" t="e">
        <f>SUM(G120:G123)</f>
        <v>#REF!</v>
      </c>
      <c r="H119" s="31" t="e">
        <f t="shared" ref="H119:L119" si="32">SUM(H120:H123)</f>
        <v>#REF!</v>
      </c>
      <c r="I119" s="31" t="e">
        <f t="shared" si="32"/>
        <v>#REF!</v>
      </c>
      <c r="J119" s="31" t="e">
        <f t="shared" si="32"/>
        <v>#REF!</v>
      </c>
      <c r="K119" s="31" t="e">
        <f t="shared" si="32"/>
        <v>#REF!</v>
      </c>
      <c r="L119" s="31" t="e">
        <f t="shared" si="32"/>
        <v>#REF!</v>
      </c>
      <c r="M119" s="31" t="e">
        <f>ROUND((L119/$E$1),0)</f>
        <v>#REF!</v>
      </c>
      <c r="N119" s="32"/>
      <c r="O119" s="44"/>
      <c r="P119" s="44"/>
      <c r="Q119" s="44"/>
    </row>
    <row r="120" spans="1:24" x14ac:dyDescent="0.25">
      <c r="A120" s="14"/>
      <c r="B120" s="27"/>
      <c r="C120" s="28"/>
      <c r="D120" s="28" t="s">
        <v>9</v>
      </c>
      <c r="E120" s="28"/>
      <c r="F120" s="28"/>
      <c r="G120" s="42" t="e">
        <f>+'Jul-24'!G120+'Aug-24'!G120+'Sep-24'!G120+'Oct-24'!G120+'Nov-24'!G120+'Dec-24'!G120+'Jan-25'!G120+'Feb-25'!G120+#REF!+#REF!+#REF!+'Dec-25'!G120</f>
        <v>#REF!</v>
      </c>
      <c r="H120" s="42" t="e">
        <f>+'Jul-24'!H120+'Aug-24'!H120+'Sep-24'!H120+'Oct-24'!H120+'Nov-24'!H120+'Dec-24'!H120+'Jan-25'!H120+'Feb-25'!H120+#REF!+#REF!+#REF!+'Dec-25'!H120</f>
        <v>#REF!</v>
      </c>
      <c r="I120" s="42" t="e">
        <f>+'Jul-24'!I120+'Aug-24'!I120+'Sep-24'!I120+'Oct-24'!I120+'Nov-24'!I120+'Dec-24'!I120+'Jan-25'!I120+'Feb-25'!I120+#REF!+#REF!+#REF!+'Dec-25'!I120</f>
        <v>#REF!</v>
      </c>
      <c r="J120" s="42" t="e">
        <f>+'Jul-24'!J120+'Aug-24'!J120+'Sep-24'!J120+'Oct-24'!J120+'Nov-24'!J120+'Dec-24'!J120+'Jan-25'!J120+'Feb-25'!J120+#REF!+#REF!+#REF!+'Dec-25'!J120</f>
        <v>#REF!</v>
      </c>
      <c r="K120" s="42" t="e">
        <f>+'Jul-24'!K120+'Aug-24'!K120+'Sep-24'!K120+'Oct-24'!K120+'Nov-24'!K120+'Dec-24'!K120+'Jan-25'!K120+'Feb-25'!K120+#REF!+#REF!+#REF!+'Dec-25'!K120</f>
        <v>#REF!</v>
      </c>
      <c r="L120" s="35" t="e">
        <f>SUM(G120:K120)</f>
        <v>#REF!</v>
      </c>
      <c r="M120" s="35" t="e">
        <f t="shared" ref="M120:M128" si="33">ROUND((L120/$E$1),0)</f>
        <v>#REF!</v>
      </c>
      <c r="N120" s="32"/>
      <c r="O120" s="44"/>
      <c r="P120" s="44"/>
      <c r="Q120" s="44"/>
    </row>
    <row r="121" spans="1:24" x14ac:dyDescent="0.25">
      <c r="A121" s="14"/>
      <c r="B121" s="27"/>
      <c r="C121" s="28"/>
      <c r="D121" s="28" t="s">
        <v>10</v>
      </c>
      <c r="E121" s="28"/>
      <c r="F121" s="28"/>
      <c r="G121" s="42" t="e">
        <f>+'Jul-24'!G121+'Aug-24'!G121+'Sep-24'!G121+'Oct-24'!G121+'Nov-24'!G121+'Dec-24'!G121+'Jan-25'!G121+'Feb-25'!G121+#REF!+#REF!+#REF!+'Dec-25'!G121</f>
        <v>#REF!</v>
      </c>
      <c r="H121" s="42" t="e">
        <f>+'Jul-24'!H121+'Aug-24'!H121+'Sep-24'!H121+'Oct-24'!H121+'Nov-24'!H121+'Dec-24'!H121+'Jan-25'!H121+'Feb-25'!H121+#REF!+#REF!+#REF!+'Dec-25'!H121</f>
        <v>#REF!</v>
      </c>
      <c r="I121" s="42" t="e">
        <f>+'Jul-24'!I121+'Aug-24'!I121+'Sep-24'!I121+'Oct-24'!I121+'Nov-24'!I121+'Dec-24'!I121+'Jan-25'!I121+'Feb-25'!I121+#REF!+#REF!+#REF!+'Dec-25'!I121</f>
        <v>#REF!</v>
      </c>
      <c r="J121" s="42" t="e">
        <f>+'Jul-24'!J121+'Aug-24'!J121+'Sep-24'!J121+'Oct-24'!J121+'Nov-24'!J121+'Dec-24'!J121+'Jan-25'!J121+'Feb-25'!J121+#REF!+#REF!+#REF!+'Dec-25'!J121</f>
        <v>#REF!</v>
      </c>
      <c r="K121" s="42" t="e">
        <f>+'Jul-24'!K121+'Aug-24'!K121+'Sep-24'!K121+'Oct-24'!K121+'Nov-24'!K121+'Dec-24'!K121+'Jan-25'!K121+'Feb-25'!K121+#REF!+#REF!+#REF!+'Dec-25'!K121</f>
        <v>#REF!</v>
      </c>
      <c r="L121" s="35" t="e">
        <f t="shared" ref="L121:L128" si="34">SUM(G121:K121)</f>
        <v>#REF!</v>
      </c>
      <c r="M121" s="35" t="e">
        <f t="shared" si="33"/>
        <v>#REF!</v>
      </c>
      <c r="N121" s="32"/>
      <c r="O121" s="44"/>
      <c r="P121" s="44"/>
      <c r="Q121" s="44"/>
    </row>
    <row r="122" spans="1:24" x14ac:dyDescent="0.25">
      <c r="A122" s="14"/>
      <c r="B122" s="27"/>
      <c r="C122" s="28"/>
      <c r="D122" s="28" t="s">
        <v>11</v>
      </c>
      <c r="E122" s="28"/>
      <c r="F122" s="28"/>
      <c r="G122" s="42" t="e">
        <f>+'Jul-24'!G122+'Aug-24'!G122+'Sep-24'!G122+'Oct-24'!G122+'Nov-24'!G122+'Dec-24'!G122+'Jan-25'!G122+'Feb-25'!G122+#REF!+#REF!+#REF!+'Dec-25'!G122</f>
        <v>#REF!</v>
      </c>
      <c r="H122" s="42" t="e">
        <f>+'Jul-24'!H122+'Aug-24'!H122+'Sep-24'!H122+'Oct-24'!H122+'Nov-24'!H122+'Dec-24'!H122+'Jan-25'!H122+'Feb-25'!H122+#REF!+#REF!+#REF!+'Dec-25'!H122</f>
        <v>#REF!</v>
      </c>
      <c r="I122" s="42" t="e">
        <f>+'Jul-24'!I122+'Aug-24'!I122+'Sep-24'!I122+'Oct-24'!I122+'Nov-24'!I122+'Dec-24'!I122+'Jan-25'!I122+'Feb-25'!I122+#REF!+#REF!+#REF!+'Dec-25'!I122</f>
        <v>#REF!</v>
      </c>
      <c r="J122" s="42" t="e">
        <f>+'Jul-24'!J122+'Aug-24'!J122+'Sep-24'!J122+'Oct-24'!J122+'Nov-24'!J122+'Dec-24'!J122+'Jan-25'!J122+'Feb-25'!J122+#REF!+#REF!+#REF!+'Dec-25'!J122</f>
        <v>#REF!</v>
      </c>
      <c r="K122" s="42" t="e">
        <f>+'Jul-24'!K122+'Aug-24'!K122+'Sep-24'!K122+'Oct-24'!K122+'Nov-24'!K122+'Dec-24'!K122+'Jan-25'!K122+'Feb-25'!K122+#REF!+#REF!+#REF!+'Dec-25'!K122</f>
        <v>#REF!</v>
      </c>
      <c r="L122" s="35" t="e">
        <f t="shared" si="34"/>
        <v>#REF!</v>
      </c>
      <c r="M122" s="35" t="e">
        <f t="shared" si="33"/>
        <v>#REF!</v>
      </c>
      <c r="N122" s="32"/>
      <c r="O122" s="44"/>
      <c r="P122" s="44"/>
      <c r="Q122" s="44"/>
    </row>
    <row r="123" spans="1:24" x14ac:dyDescent="0.25">
      <c r="A123" s="14"/>
      <c r="B123" s="27"/>
      <c r="C123" s="28"/>
      <c r="D123" s="28" t="s">
        <v>12</v>
      </c>
      <c r="E123" s="28"/>
      <c r="F123" s="28"/>
      <c r="G123" s="43" t="e">
        <f>+'Jul-24'!G123+'Aug-24'!G123+'Sep-24'!G123+'Oct-24'!G123+'Nov-24'!G123+'Dec-24'!G123+'Jan-25'!G123+'Feb-25'!G123+#REF!+#REF!+#REF!+'Dec-25'!G123</f>
        <v>#REF!</v>
      </c>
      <c r="H123" s="43" t="e">
        <f>+'Jul-24'!H123+'Aug-24'!H123+'Sep-24'!H123+'Oct-24'!H123+'Nov-24'!H123+'Dec-24'!H123+'Jan-25'!H123+'Feb-25'!H123+#REF!+#REF!+#REF!+'Dec-25'!H123</f>
        <v>#REF!</v>
      </c>
      <c r="I123" s="43" t="e">
        <f>+'Jul-24'!I123+'Aug-24'!I123+'Sep-24'!I123+'Oct-24'!I123+'Nov-24'!I123+'Dec-24'!I123+'Jan-25'!I123+'Feb-25'!I123+#REF!+#REF!+#REF!+'Dec-25'!I123</f>
        <v>#REF!</v>
      </c>
      <c r="J123" s="43" t="e">
        <f>+'Jul-24'!J123+'Aug-24'!J123+'Sep-24'!J123+'Oct-24'!J123+'Nov-24'!J123+'Dec-24'!J123+'Jan-25'!J123+'Feb-25'!J123+#REF!+#REF!+#REF!+'Dec-25'!J123</f>
        <v>#REF!</v>
      </c>
      <c r="K123" s="43" t="e">
        <f>+'Jul-24'!K123+'Aug-24'!K123+'Sep-24'!K123+'Oct-24'!K123+'Nov-24'!K123+'Dec-24'!K123+'Jan-25'!K123+'Feb-25'!K123+#REF!+#REF!+#REF!+'Dec-25'!K123</f>
        <v>#REF!</v>
      </c>
      <c r="L123" s="31" t="e">
        <f t="shared" si="34"/>
        <v>#REF!</v>
      </c>
      <c r="M123" s="31" t="e">
        <f t="shared" si="33"/>
        <v>#REF!</v>
      </c>
      <c r="N123" s="32"/>
      <c r="O123" s="44"/>
      <c r="P123" s="44"/>
      <c r="Q123" s="44"/>
    </row>
    <row r="124" spans="1:24" x14ac:dyDescent="0.25">
      <c r="A124" s="14"/>
      <c r="B124" s="27"/>
      <c r="C124" s="28" t="s">
        <v>13</v>
      </c>
      <c r="D124" s="28"/>
      <c r="E124" s="28"/>
      <c r="F124" s="28"/>
      <c r="G124" s="42" t="e">
        <f>+'Jul-24'!G124+'Aug-24'!G124+'Sep-24'!G124+'Oct-24'!G124+'Nov-24'!G124+'Dec-24'!G124+'Jan-25'!G124+'Feb-25'!G124+#REF!+#REF!+#REF!+'Dec-25'!G124</f>
        <v>#REF!</v>
      </c>
      <c r="H124" s="42" t="e">
        <f>+'Jul-24'!H124+'Aug-24'!H124+'Sep-24'!H124+'Oct-24'!H124+'Nov-24'!H124+'Dec-24'!H124+'Jan-25'!H124+'Feb-25'!H124+#REF!+#REF!+#REF!+'Dec-25'!H124</f>
        <v>#REF!</v>
      </c>
      <c r="I124" s="42" t="e">
        <f>+'Jul-24'!I124+'Aug-24'!I124+'Sep-24'!I124+'Oct-24'!I124+'Nov-24'!I124+'Dec-24'!I124+'Jan-25'!I124+'Feb-25'!I124+#REF!+#REF!+#REF!+'Dec-25'!I124</f>
        <v>#REF!</v>
      </c>
      <c r="J124" s="42" t="e">
        <f>+'Jul-24'!J124+'Aug-24'!J124+'Sep-24'!J124+'Oct-24'!J124+'Nov-24'!J124+'Dec-24'!J124+'Jan-25'!J124+'Feb-25'!J124+#REF!+#REF!+#REF!+'Dec-25'!J124</f>
        <v>#REF!</v>
      </c>
      <c r="K124" s="42" t="e">
        <f>+'Jul-24'!K124+'Aug-24'!K124+'Sep-24'!K124+'Oct-24'!K124+'Nov-24'!K124+'Dec-24'!K124+'Jan-25'!K124+'Feb-25'!K124+#REF!+#REF!+#REF!+'Dec-25'!K124</f>
        <v>#REF!</v>
      </c>
      <c r="L124" s="35" t="e">
        <f t="shared" si="34"/>
        <v>#REF!</v>
      </c>
      <c r="M124" s="35" t="e">
        <f t="shared" si="33"/>
        <v>#REF!</v>
      </c>
      <c r="N124" s="32"/>
      <c r="O124" s="44"/>
      <c r="P124" s="44"/>
      <c r="Q124" s="44"/>
    </row>
    <row r="125" spans="1:24" x14ac:dyDescent="0.25">
      <c r="A125" s="14"/>
      <c r="B125" s="27"/>
      <c r="C125" s="28" t="s">
        <v>14</v>
      </c>
      <c r="D125" s="28"/>
      <c r="E125" s="28"/>
      <c r="F125" s="28"/>
      <c r="G125" s="42" t="e">
        <f>+'Jul-24'!G125+'Aug-24'!G125+'Sep-24'!G125+'Oct-24'!G125+'Nov-24'!G125+'Dec-24'!G125+'Jan-25'!G125+'Feb-25'!G125+#REF!+#REF!+#REF!+'Dec-25'!G125</f>
        <v>#REF!</v>
      </c>
      <c r="H125" s="42" t="e">
        <f>+'Jul-24'!H125+'Aug-24'!H125+'Sep-24'!H125+'Oct-24'!H125+'Nov-24'!H125+'Dec-24'!H125+'Jan-25'!H125+'Feb-25'!H125+#REF!+#REF!+#REF!+'Dec-25'!H125</f>
        <v>#REF!</v>
      </c>
      <c r="I125" s="42" t="e">
        <f>+'Jul-24'!I125+'Aug-24'!I125+'Sep-24'!I125+'Oct-24'!I125+'Nov-24'!I125+'Dec-24'!I125+'Jan-25'!I125+'Feb-25'!I125+#REF!+#REF!+#REF!+'Dec-25'!I125</f>
        <v>#REF!</v>
      </c>
      <c r="J125" s="42" t="e">
        <f>+'Jul-24'!J125+'Aug-24'!J125+'Sep-24'!J125+'Oct-24'!J125+'Nov-24'!J125+'Dec-24'!J125+'Jan-25'!J125+'Feb-25'!J125+#REF!+#REF!+#REF!+'Dec-25'!J125</f>
        <v>#REF!</v>
      </c>
      <c r="K125" s="42" t="e">
        <f>+'Jul-24'!K125+'Aug-24'!K125+'Sep-24'!K125+'Oct-24'!K125+'Nov-24'!K125+'Dec-24'!K125+'Jan-25'!K125+'Feb-25'!K125+#REF!+#REF!+#REF!+'Dec-25'!K125</f>
        <v>#REF!</v>
      </c>
      <c r="L125" s="35" t="e">
        <f t="shared" si="34"/>
        <v>#REF!</v>
      </c>
      <c r="M125" s="35" t="e">
        <f t="shared" si="33"/>
        <v>#REF!</v>
      </c>
      <c r="N125" s="32"/>
      <c r="O125" s="44"/>
      <c r="P125" s="44"/>
      <c r="Q125" s="44"/>
    </row>
    <row r="126" spans="1:24" x14ac:dyDescent="0.25">
      <c r="A126" s="14"/>
      <c r="B126" s="27"/>
      <c r="C126" s="28" t="s">
        <v>4</v>
      </c>
      <c r="D126" s="28"/>
      <c r="E126" s="28"/>
      <c r="F126" s="28"/>
      <c r="G126" s="42" t="e">
        <f>+'Jul-24'!G126+'Aug-24'!G126+'Sep-24'!G126+'Oct-24'!G126+'Nov-24'!G126+'Dec-24'!G126+'Jan-25'!G126+'Feb-25'!G126+#REF!+#REF!+#REF!+'Dec-25'!G126</f>
        <v>#REF!</v>
      </c>
      <c r="H126" s="42" t="e">
        <f>+'Jul-24'!H126+'Aug-24'!H126+'Sep-24'!H126+'Oct-24'!H126+'Nov-24'!H126+'Dec-24'!H126+'Jan-25'!H126+'Feb-25'!H126+#REF!+#REF!+#REF!+'Dec-25'!H126</f>
        <v>#REF!</v>
      </c>
      <c r="I126" s="42" t="e">
        <f>+'Jul-24'!I126+'Aug-24'!I126+'Sep-24'!I126+'Oct-24'!I126+'Nov-24'!I126+'Dec-24'!I126+'Jan-25'!I126+'Feb-25'!I126+#REF!+#REF!+#REF!+'Dec-25'!I126</f>
        <v>#REF!</v>
      </c>
      <c r="J126" s="42" t="e">
        <f>+'Jul-24'!J126+'Aug-24'!J126+'Sep-24'!J126+'Oct-24'!J126+'Nov-24'!J126+'Dec-24'!J126+'Jan-25'!J126+'Feb-25'!J126+#REF!+#REF!+#REF!+'Dec-25'!J126</f>
        <v>#REF!</v>
      </c>
      <c r="K126" s="42" t="e">
        <f>+'Jul-24'!K126+'Aug-24'!K126+'Sep-24'!K126+'Oct-24'!K126+'Nov-24'!K126+'Dec-24'!K126+'Jan-25'!K126+'Feb-25'!K126+#REF!+#REF!+#REF!+'Dec-25'!K126</f>
        <v>#REF!</v>
      </c>
      <c r="L126" s="35" t="e">
        <f t="shared" si="34"/>
        <v>#REF!</v>
      </c>
      <c r="M126" s="35" t="e">
        <f t="shared" si="33"/>
        <v>#REF!</v>
      </c>
      <c r="N126" s="32"/>
      <c r="O126" s="44"/>
      <c r="P126" s="44"/>
      <c r="Q126" s="44"/>
    </row>
    <row r="127" spans="1:24" x14ac:dyDescent="0.25">
      <c r="A127" s="14"/>
      <c r="B127" s="27"/>
      <c r="C127" s="28" t="s">
        <v>15</v>
      </c>
      <c r="D127" s="28"/>
      <c r="E127" s="28"/>
      <c r="F127" s="28"/>
      <c r="G127" s="42" t="e">
        <f>+'Jul-24'!G127+'Aug-24'!G127+'Sep-24'!G127+'Oct-24'!G127+'Nov-24'!G127+'Dec-24'!G127+'Jan-25'!G127+'Feb-25'!G127+#REF!+#REF!+#REF!+'Dec-25'!G127</f>
        <v>#REF!</v>
      </c>
      <c r="H127" s="42" t="e">
        <f>+'Jul-24'!H127+'Aug-24'!H127+'Sep-24'!H127+'Oct-24'!H127+'Nov-24'!H127+'Dec-24'!H127+'Jan-25'!H127+'Feb-25'!H127+#REF!+#REF!+#REF!+'Dec-25'!H127</f>
        <v>#REF!</v>
      </c>
      <c r="I127" s="42" t="e">
        <f>+'Jul-24'!I127+'Aug-24'!I127+'Sep-24'!I127+'Oct-24'!I127+'Nov-24'!I127+'Dec-24'!I127+'Jan-25'!I127+'Feb-25'!I127+#REF!+#REF!+#REF!+'Dec-25'!I127</f>
        <v>#REF!</v>
      </c>
      <c r="J127" s="42" t="e">
        <f>+'Jul-24'!J127+'Aug-24'!J127+'Sep-24'!J127+'Oct-24'!J127+'Nov-24'!J127+'Dec-24'!J127+'Jan-25'!J127+'Feb-25'!J127+#REF!+#REF!+#REF!+'Dec-25'!J127</f>
        <v>#REF!</v>
      </c>
      <c r="K127" s="42" t="e">
        <f>+'Jul-24'!K127+'Aug-24'!K127+'Sep-24'!K127+'Oct-24'!K127+'Nov-24'!K127+'Dec-24'!K127+'Jan-25'!K127+'Feb-25'!K127+#REF!+#REF!+#REF!+'Dec-25'!K127</f>
        <v>#REF!</v>
      </c>
      <c r="L127" s="35" t="e">
        <f t="shared" si="34"/>
        <v>#REF!</v>
      </c>
      <c r="M127" s="35" t="e">
        <f t="shared" si="33"/>
        <v>#REF!</v>
      </c>
      <c r="N127" s="32"/>
      <c r="O127" s="44"/>
      <c r="P127" s="44"/>
      <c r="Q127" s="44"/>
    </row>
    <row r="128" spans="1:24" x14ac:dyDescent="0.25">
      <c r="A128" s="14"/>
      <c r="B128" s="27"/>
      <c r="C128" s="28" t="s">
        <v>16</v>
      </c>
      <c r="D128" s="28"/>
      <c r="E128" s="28"/>
      <c r="F128" s="28"/>
      <c r="G128" s="42" t="e">
        <f>+'Jul-24'!G128+'Aug-24'!G128+'Sep-24'!G128+'Oct-24'!G128+'Nov-24'!G128+'Dec-24'!G128+'Jan-25'!G128+'Feb-25'!G128+#REF!+#REF!+#REF!+'Dec-25'!G128</f>
        <v>#REF!</v>
      </c>
      <c r="H128" s="42" t="e">
        <f>+'Jul-24'!H128+'Aug-24'!H128+'Sep-24'!H128+'Oct-24'!H128+'Nov-24'!H128+'Dec-24'!H128+'Jan-25'!H128+'Feb-25'!H128+#REF!+#REF!+#REF!+'Dec-25'!H128</f>
        <v>#REF!</v>
      </c>
      <c r="I128" s="42" t="e">
        <f>+'Jul-24'!I128+'Aug-24'!I128+'Sep-24'!I128+'Oct-24'!I128+'Nov-24'!I128+'Dec-24'!I128+'Jan-25'!I128+'Feb-25'!I128+#REF!+#REF!+#REF!+'Dec-25'!I128</f>
        <v>#REF!</v>
      </c>
      <c r="J128" s="42" t="e">
        <f>+'Jul-24'!J128+'Aug-24'!J128+'Sep-24'!J128+'Oct-24'!J128+'Nov-24'!J128+'Dec-24'!J128+'Jan-25'!J128+'Feb-25'!J128+#REF!+#REF!+#REF!+'Dec-25'!J128</f>
        <v>#REF!</v>
      </c>
      <c r="K128" s="42" t="e">
        <f>+'Jul-24'!K128+'Aug-24'!K128+'Sep-24'!K128+'Oct-24'!K128+'Nov-24'!K128+'Dec-24'!K128+'Jan-25'!K128+'Feb-25'!K128+#REF!+#REF!+#REF!+'Dec-25'!K128</f>
        <v>#REF!</v>
      </c>
      <c r="L128" s="35" t="e">
        <f t="shared" si="34"/>
        <v>#REF!</v>
      </c>
      <c r="M128" s="35" t="e">
        <f t="shared" si="33"/>
        <v>#REF!</v>
      </c>
      <c r="N128" s="32"/>
      <c r="O128" s="44"/>
      <c r="P128" s="44"/>
      <c r="Q128" s="44"/>
    </row>
    <row r="129" spans="1:24" ht="15.75" thickBot="1" x14ac:dyDescent="0.3">
      <c r="A129" s="14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4"/>
      <c r="P129" s="44"/>
      <c r="Q129" s="44"/>
    </row>
    <row r="130" spans="1:24" ht="15.75" thickBot="1" x14ac:dyDescent="0.3">
      <c r="A130" s="14"/>
      <c r="G130" s="33"/>
      <c r="H130" s="33"/>
      <c r="I130" s="33"/>
      <c r="J130" s="33"/>
      <c r="K130" s="33"/>
      <c r="L130" s="33"/>
      <c r="M130" s="33"/>
      <c r="N130" s="33"/>
      <c r="O130" s="44"/>
      <c r="P130" s="44"/>
      <c r="Q130" s="44"/>
    </row>
    <row r="131" spans="1:24" x14ac:dyDescent="0.25">
      <c r="A131" s="4">
        <f>+A115+1</f>
        <v>8</v>
      </c>
      <c r="B131" s="5"/>
      <c r="C131" s="6" t="s">
        <v>24</v>
      </c>
      <c r="D131" s="7"/>
      <c r="E131" s="8"/>
      <c r="F131" s="8"/>
      <c r="G131" s="10">
        <f>+$G$3</f>
        <v>2024</v>
      </c>
      <c r="H131" s="10">
        <f>+G131</f>
        <v>2024</v>
      </c>
      <c r="I131" s="10">
        <f t="shared" ref="I131:M132" si="35">+H131</f>
        <v>2024</v>
      </c>
      <c r="J131" s="10">
        <f t="shared" si="35"/>
        <v>2024</v>
      </c>
      <c r="K131" s="10">
        <f t="shared" si="35"/>
        <v>2024</v>
      </c>
      <c r="L131" s="10">
        <f t="shared" si="35"/>
        <v>2024</v>
      </c>
      <c r="M131" s="10">
        <f t="shared" si="35"/>
        <v>2024</v>
      </c>
      <c r="N131" s="11"/>
      <c r="O131" s="44"/>
      <c r="P131" s="44"/>
      <c r="Q131" s="44"/>
      <c r="S131" s="12" t="str">
        <f>+C131</f>
        <v>Mpolonjeni CLC</v>
      </c>
      <c r="T131" s="13" t="e">
        <f>+L135</f>
        <v>#REF!</v>
      </c>
      <c r="U131" s="13" t="e">
        <f>+L136+L137</f>
        <v>#REF!</v>
      </c>
      <c r="V131" s="13" t="e">
        <f>+L138+L139</f>
        <v>#REF!</v>
      </c>
      <c r="W131" s="13" t="e">
        <f>+L142</f>
        <v>#REF!</v>
      </c>
      <c r="X131" s="13" t="e">
        <f>+L140</f>
        <v>#REF!</v>
      </c>
    </row>
    <row r="132" spans="1:24" x14ac:dyDescent="0.25">
      <c r="A132" s="14"/>
      <c r="B132" s="15"/>
      <c r="C132" s="41" t="str">
        <f>+$C116</f>
        <v>Year to Date 2024/2025</v>
      </c>
      <c r="D132" s="18"/>
      <c r="E132" s="18"/>
      <c r="F132" s="18"/>
      <c r="G132" s="20" t="str">
        <f>+$G$4</f>
        <v>Week</v>
      </c>
      <c r="H132" s="20" t="str">
        <f>+G132</f>
        <v>Week</v>
      </c>
      <c r="I132" s="20" t="str">
        <f t="shared" si="35"/>
        <v>Week</v>
      </c>
      <c r="J132" s="20" t="str">
        <f t="shared" si="35"/>
        <v>Week</v>
      </c>
      <c r="K132" s="20" t="str">
        <f t="shared" si="35"/>
        <v>Week</v>
      </c>
      <c r="L132" s="20" t="str">
        <f t="shared" si="35"/>
        <v>Week</v>
      </c>
      <c r="M132" s="20" t="str">
        <f t="shared" si="35"/>
        <v>Week</v>
      </c>
      <c r="N132" s="21"/>
      <c r="O132" s="44"/>
      <c r="P132" s="44"/>
      <c r="Q132" s="44"/>
    </row>
    <row r="133" spans="1:24" ht="15.75" thickBot="1" x14ac:dyDescent="0.3">
      <c r="A133" s="14"/>
      <c r="B133" s="22"/>
      <c r="C133" s="23"/>
      <c r="D133" s="23"/>
      <c r="E133" s="23"/>
      <c r="F133" s="23"/>
      <c r="G133" s="25">
        <f>+$G$5</f>
        <v>1</v>
      </c>
      <c r="H133" s="25">
        <f>+$H$5</f>
        <v>2</v>
      </c>
      <c r="I133" s="25">
        <f>+$I$5</f>
        <v>3</v>
      </c>
      <c r="J133" s="25">
        <f>+$J$5</f>
        <v>4</v>
      </c>
      <c r="K133" s="25">
        <f>+$K$5</f>
        <v>5</v>
      </c>
      <c r="L133" s="25" t="s">
        <v>6</v>
      </c>
      <c r="M133" s="25" t="s">
        <v>7</v>
      </c>
      <c r="N133" s="26"/>
      <c r="O133" s="44"/>
      <c r="P133" s="44"/>
      <c r="Q133" s="44"/>
    </row>
    <row r="134" spans="1:24" x14ac:dyDescent="0.25">
      <c r="A134" s="14"/>
      <c r="B134" s="27"/>
      <c r="C134" s="28"/>
      <c r="D134" s="28"/>
      <c r="E134" s="28"/>
      <c r="F134" s="28"/>
      <c r="G134" s="29"/>
      <c r="H134" s="29"/>
      <c r="I134" s="29"/>
      <c r="J134" s="29"/>
      <c r="K134" s="28"/>
      <c r="L134" s="28"/>
      <c r="M134" s="28"/>
      <c r="N134" s="30"/>
      <c r="O134" s="44"/>
      <c r="P134" s="44"/>
      <c r="Q134" s="44"/>
    </row>
    <row r="135" spans="1:24" x14ac:dyDescent="0.25">
      <c r="A135" s="14"/>
      <c r="B135" s="27"/>
      <c r="C135" s="28" t="s">
        <v>8</v>
      </c>
      <c r="D135" s="28"/>
      <c r="E135" s="28"/>
      <c r="F135" s="28"/>
      <c r="G135" s="31" t="e">
        <f>SUM(G136:G139)</f>
        <v>#REF!</v>
      </c>
      <c r="H135" s="31" t="e">
        <f t="shared" ref="H135:L135" si="36">SUM(H136:H139)</f>
        <v>#REF!</v>
      </c>
      <c r="I135" s="31" t="e">
        <f t="shared" si="36"/>
        <v>#REF!</v>
      </c>
      <c r="J135" s="31" t="e">
        <f t="shared" si="36"/>
        <v>#REF!</v>
      </c>
      <c r="K135" s="31" t="e">
        <f t="shared" si="36"/>
        <v>#REF!</v>
      </c>
      <c r="L135" s="31" t="e">
        <f t="shared" si="36"/>
        <v>#REF!</v>
      </c>
      <c r="M135" s="31" t="e">
        <f>ROUND((L135/$E$1),0)</f>
        <v>#REF!</v>
      </c>
      <c r="N135" s="32"/>
      <c r="O135" s="44"/>
      <c r="P135" s="44"/>
      <c r="Q135" s="44"/>
    </row>
    <row r="136" spans="1:24" x14ac:dyDescent="0.25">
      <c r="A136" s="14"/>
      <c r="B136" s="27"/>
      <c r="C136" s="28"/>
      <c r="D136" s="28" t="s">
        <v>9</v>
      </c>
      <c r="E136" s="28"/>
      <c r="F136" s="28"/>
      <c r="G136" s="42" t="e">
        <f>+'Jul-24'!G136+'Aug-24'!G136+'Sep-24'!G136+'Oct-24'!G136+'Nov-24'!G136+'Dec-24'!G136+'Jan-25'!G136+'Feb-25'!G136+#REF!+#REF!+#REF!+'Dec-25'!G136</f>
        <v>#REF!</v>
      </c>
      <c r="H136" s="42" t="e">
        <f>+'Jul-24'!H136+'Aug-24'!H136+'Sep-24'!H136+'Oct-24'!H136+'Nov-24'!H136+'Dec-24'!H136+'Jan-25'!H136+'Feb-25'!H136+#REF!+#REF!+#REF!+'Dec-25'!H136</f>
        <v>#REF!</v>
      </c>
      <c r="I136" s="42" t="e">
        <f>+'Jul-24'!I136+'Aug-24'!I136+'Sep-24'!I136+'Oct-24'!I136+'Nov-24'!I136+'Dec-24'!I136+'Jan-25'!I136+'Feb-25'!I136+#REF!+#REF!+#REF!+'Dec-25'!I136</f>
        <v>#REF!</v>
      </c>
      <c r="J136" s="42" t="e">
        <f>+'Jul-24'!J136+'Aug-24'!J136+'Sep-24'!J136+'Oct-24'!J136+'Nov-24'!J136+'Dec-24'!J136+'Jan-25'!J136+'Feb-25'!J136+#REF!+#REF!+#REF!+'Dec-25'!J136</f>
        <v>#REF!</v>
      </c>
      <c r="K136" s="42" t="e">
        <f>+'Jul-24'!K136+'Aug-24'!K136+'Sep-24'!K136+'Oct-24'!K136+'Nov-24'!K136+'Dec-24'!K136+'Jan-25'!K136+'Feb-25'!K136+#REF!+#REF!+#REF!+'Dec-25'!K136</f>
        <v>#REF!</v>
      </c>
      <c r="L136" s="35" t="e">
        <f>SUM(G136:K136)</f>
        <v>#REF!</v>
      </c>
      <c r="M136" s="35" t="e">
        <f t="shared" ref="M136:M144" si="37">ROUND((L136/$E$1),0)</f>
        <v>#REF!</v>
      </c>
      <c r="N136" s="32"/>
      <c r="O136" s="44"/>
      <c r="P136" s="44"/>
      <c r="Q136" s="44"/>
    </row>
    <row r="137" spans="1:24" x14ac:dyDescent="0.25">
      <c r="A137" s="14"/>
      <c r="B137" s="27"/>
      <c r="C137" s="28"/>
      <c r="D137" s="28" t="s">
        <v>10</v>
      </c>
      <c r="E137" s="28"/>
      <c r="F137" s="28"/>
      <c r="G137" s="42" t="e">
        <f>+'Jul-24'!G137+'Aug-24'!G137+'Sep-24'!G137+'Oct-24'!G137+'Nov-24'!G137+'Dec-24'!G137+'Jan-25'!G137+'Feb-25'!G137+#REF!+#REF!+#REF!+'Dec-25'!G137</f>
        <v>#REF!</v>
      </c>
      <c r="H137" s="42" t="e">
        <f>+'Jul-24'!H137+'Aug-24'!H137+'Sep-24'!H137+'Oct-24'!H137+'Nov-24'!H137+'Dec-24'!H137+'Jan-25'!H137+'Feb-25'!H137+#REF!+#REF!+#REF!+'Dec-25'!H137</f>
        <v>#REF!</v>
      </c>
      <c r="I137" s="42" t="e">
        <f>+'Jul-24'!I137+'Aug-24'!I137+'Sep-24'!I137+'Oct-24'!I137+'Nov-24'!I137+'Dec-24'!I137+'Jan-25'!I137+'Feb-25'!I137+#REF!+#REF!+#REF!+'Dec-25'!I137</f>
        <v>#REF!</v>
      </c>
      <c r="J137" s="42" t="e">
        <f>+'Jul-24'!J137+'Aug-24'!J137+'Sep-24'!J137+'Oct-24'!J137+'Nov-24'!J137+'Dec-24'!J137+'Jan-25'!J137+'Feb-25'!J137+#REF!+#REF!+#REF!+'Dec-25'!J137</f>
        <v>#REF!</v>
      </c>
      <c r="K137" s="42" t="e">
        <f>+'Jul-24'!K137+'Aug-24'!K137+'Sep-24'!K137+'Oct-24'!K137+'Nov-24'!K137+'Dec-24'!K137+'Jan-25'!K137+'Feb-25'!K137+#REF!+#REF!+#REF!+'Dec-25'!K137</f>
        <v>#REF!</v>
      </c>
      <c r="L137" s="35" t="e">
        <f t="shared" ref="L137:L144" si="38">SUM(G137:K137)</f>
        <v>#REF!</v>
      </c>
      <c r="M137" s="35" t="e">
        <f t="shared" si="37"/>
        <v>#REF!</v>
      </c>
      <c r="N137" s="32"/>
      <c r="O137" s="44"/>
      <c r="P137" s="44"/>
      <c r="Q137" s="44"/>
    </row>
    <row r="138" spans="1:24" x14ac:dyDescent="0.25">
      <c r="A138" s="14"/>
      <c r="B138" s="27"/>
      <c r="C138" s="28"/>
      <c r="D138" s="28" t="s">
        <v>11</v>
      </c>
      <c r="E138" s="28"/>
      <c r="F138" s="28"/>
      <c r="G138" s="42" t="e">
        <f>+'Jul-24'!G138+'Aug-24'!G138+'Sep-24'!G138+'Oct-24'!G138+'Nov-24'!G138+'Dec-24'!G138+'Jan-25'!G138+'Feb-25'!G138+#REF!+#REF!+#REF!+'Dec-25'!G138</f>
        <v>#REF!</v>
      </c>
      <c r="H138" s="42" t="e">
        <f>+'Jul-24'!H138+'Aug-24'!H138+'Sep-24'!H138+'Oct-24'!H138+'Nov-24'!H138+'Dec-24'!H138+'Jan-25'!H138+'Feb-25'!H138+#REF!+#REF!+#REF!+'Dec-25'!H138</f>
        <v>#REF!</v>
      </c>
      <c r="I138" s="42" t="e">
        <f>+'Jul-24'!I138+'Aug-24'!I138+'Sep-24'!I138+'Oct-24'!I138+'Nov-24'!I138+'Dec-24'!I138+'Jan-25'!I138+'Feb-25'!I138+#REF!+#REF!+#REF!+'Dec-25'!I138</f>
        <v>#REF!</v>
      </c>
      <c r="J138" s="42" t="e">
        <f>+'Jul-24'!J138+'Aug-24'!J138+'Sep-24'!J138+'Oct-24'!J138+'Nov-24'!J138+'Dec-24'!J138+'Jan-25'!J138+'Feb-25'!J138+#REF!+#REF!+#REF!+'Dec-25'!J138</f>
        <v>#REF!</v>
      </c>
      <c r="K138" s="42" t="e">
        <f>+'Jul-24'!K138+'Aug-24'!K138+'Sep-24'!K138+'Oct-24'!K138+'Nov-24'!K138+'Dec-24'!K138+'Jan-25'!K138+'Feb-25'!K138+#REF!+#REF!+#REF!+'Dec-25'!K138</f>
        <v>#REF!</v>
      </c>
      <c r="L138" s="35" t="e">
        <f t="shared" si="38"/>
        <v>#REF!</v>
      </c>
      <c r="M138" s="35" t="e">
        <f t="shared" si="37"/>
        <v>#REF!</v>
      </c>
      <c r="N138" s="32"/>
      <c r="O138" s="44"/>
      <c r="P138" s="44"/>
      <c r="Q138" s="44"/>
    </row>
    <row r="139" spans="1:24" x14ac:dyDescent="0.25">
      <c r="A139" s="14"/>
      <c r="B139" s="27"/>
      <c r="C139" s="28"/>
      <c r="D139" s="28" t="s">
        <v>12</v>
      </c>
      <c r="E139" s="28"/>
      <c r="F139" s="28"/>
      <c r="G139" s="43" t="e">
        <f>+'Jul-24'!G139+'Aug-24'!G139+'Sep-24'!G139+'Oct-24'!G139+'Nov-24'!G139+'Dec-24'!G139+'Jan-25'!G139+'Feb-25'!G139+#REF!+#REF!+#REF!+'Dec-25'!G139</f>
        <v>#REF!</v>
      </c>
      <c r="H139" s="43" t="e">
        <f>+'Jul-24'!H139+'Aug-24'!H139+'Sep-24'!H139+'Oct-24'!H139+'Nov-24'!H139+'Dec-24'!H139+'Jan-25'!H139+'Feb-25'!H139+#REF!+#REF!+#REF!+'Dec-25'!H139</f>
        <v>#REF!</v>
      </c>
      <c r="I139" s="43" t="e">
        <f>+'Jul-24'!I139+'Aug-24'!I139+'Sep-24'!I139+'Oct-24'!I139+'Nov-24'!I139+'Dec-24'!I139+'Jan-25'!I139+'Feb-25'!I139+#REF!+#REF!+#REF!+'Dec-25'!I139</f>
        <v>#REF!</v>
      </c>
      <c r="J139" s="43" t="e">
        <f>+'Jul-24'!J139+'Aug-24'!J139+'Sep-24'!J139+'Oct-24'!J139+'Nov-24'!J139+'Dec-24'!J139+'Jan-25'!J139+'Feb-25'!J139+#REF!+#REF!+#REF!+'Dec-25'!J139</f>
        <v>#REF!</v>
      </c>
      <c r="K139" s="43" t="e">
        <f>+'Jul-24'!K139+'Aug-24'!K139+'Sep-24'!K139+'Oct-24'!K139+'Nov-24'!K139+'Dec-24'!K139+'Jan-25'!K139+'Feb-25'!K139+#REF!+#REF!+#REF!+'Dec-25'!K139</f>
        <v>#REF!</v>
      </c>
      <c r="L139" s="31" t="e">
        <f t="shared" si="38"/>
        <v>#REF!</v>
      </c>
      <c r="M139" s="31" t="e">
        <f t="shared" si="37"/>
        <v>#REF!</v>
      </c>
      <c r="N139" s="32"/>
      <c r="O139" s="44"/>
      <c r="P139" s="44"/>
      <c r="Q139" s="44"/>
    </row>
    <row r="140" spans="1:24" x14ac:dyDescent="0.25">
      <c r="A140" s="14"/>
      <c r="B140" s="27"/>
      <c r="C140" s="28" t="s">
        <v>13</v>
      </c>
      <c r="D140" s="28"/>
      <c r="E140" s="28"/>
      <c r="F140" s="28"/>
      <c r="G140" s="42" t="e">
        <f>+'Jul-24'!G140+'Aug-24'!G140+'Sep-24'!G140+'Oct-24'!G140+'Nov-24'!G140+'Dec-24'!G140+'Jan-25'!G140+'Feb-25'!G140+#REF!+#REF!+#REF!+'Dec-25'!G140</f>
        <v>#REF!</v>
      </c>
      <c r="H140" s="42" t="e">
        <f>+'Jul-24'!H140+'Aug-24'!H140+'Sep-24'!H140+'Oct-24'!H140+'Nov-24'!H140+'Dec-24'!H140+'Jan-25'!H140+'Feb-25'!H140+#REF!+#REF!+#REF!+'Dec-25'!H140</f>
        <v>#REF!</v>
      </c>
      <c r="I140" s="42" t="e">
        <f>+'Jul-24'!I140+'Aug-24'!I140+'Sep-24'!I140+'Oct-24'!I140+'Nov-24'!I140+'Dec-24'!I140+'Jan-25'!I140+'Feb-25'!I140+#REF!+#REF!+#REF!+'Dec-25'!I140</f>
        <v>#REF!</v>
      </c>
      <c r="J140" s="42" t="e">
        <f>+'Jul-24'!J140+'Aug-24'!J140+'Sep-24'!J140+'Oct-24'!J140+'Nov-24'!J140+'Dec-24'!J140+'Jan-25'!J140+'Feb-25'!J140+#REF!+#REF!+#REF!+'Dec-25'!J140</f>
        <v>#REF!</v>
      </c>
      <c r="K140" s="42" t="e">
        <f>+'Jul-24'!K140+'Aug-24'!K140+'Sep-24'!K140+'Oct-24'!K140+'Nov-24'!K140+'Dec-24'!K140+'Jan-25'!K140+'Feb-25'!K140+#REF!+#REF!+#REF!+'Dec-25'!K140</f>
        <v>#REF!</v>
      </c>
      <c r="L140" s="35" t="e">
        <f t="shared" si="38"/>
        <v>#REF!</v>
      </c>
      <c r="M140" s="35" t="e">
        <f t="shared" si="37"/>
        <v>#REF!</v>
      </c>
      <c r="N140" s="32"/>
      <c r="O140" s="44"/>
      <c r="P140" s="44"/>
      <c r="Q140" s="44"/>
    </row>
    <row r="141" spans="1:24" x14ac:dyDescent="0.25">
      <c r="A141" s="14"/>
      <c r="B141" s="27"/>
      <c r="C141" s="28" t="s">
        <v>14</v>
      </c>
      <c r="D141" s="28"/>
      <c r="E141" s="28"/>
      <c r="F141" s="28"/>
      <c r="G141" s="42" t="e">
        <f>+'Jul-24'!G141+'Aug-24'!G141+'Sep-24'!G141+'Oct-24'!G141+'Nov-24'!G141+'Dec-24'!G141+'Jan-25'!G141+'Feb-25'!G141+#REF!+#REF!+#REF!+'Dec-25'!G141</f>
        <v>#REF!</v>
      </c>
      <c r="H141" s="42" t="e">
        <f>+'Jul-24'!H141+'Aug-24'!H141+'Sep-24'!H141+'Oct-24'!H141+'Nov-24'!H141+'Dec-24'!H141+'Jan-25'!H141+'Feb-25'!H141+#REF!+#REF!+#REF!+'Dec-25'!H141</f>
        <v>#REF!</v>
      </c>
      <c r="I141" s="42" t="e">
        <f>+'Jul-24'!I141+'Aug-24'!I141+'Sep-24'!I141+'Oct-24'!I141+'Nov-24'!I141+'Dec-24'!I141+'Jan-25'!I141+'Feb-25'!I141+#REF!+#REF!+#REF!+'Dec-25'!I141</f>
        <v>#REF!</v>
      </c>
      <c r="J141" s="42" t="e">
        <f>+'Jul-24'!J141+'Aug-24'!J141+'Sep-24'!J141+'Oct-24'!J141+'Nov-24'!J141+'Dec-24'!J141+'Jan-25'!J141+'Feb-25'!J141+#REF!+#REF!+#REF!+'Dec-25'!J141</f>
        <v>#REF!</v>
      </c>
      <c r="K141" s="42" t="e">
        <f>+'Jul-24'!K141+'Aug-24'!K141+'Sep-24'!K141+'Oct-24'!K141+'Nov-24'!K141+'Dec-24'!K141+'Jan-25'!K141+'Feb-25'!K141+#REF!+#REF!+#REF!+'Dec-25'!K141</f>
        <v>#REF!</v>
      </c>
      <c r="L141" s="35" t="e">
        <f t="shared" si="38"/>
        <v>#REF!</v>
      </c>
      <c r="M141" s="35" t="e">
        <f t="shared" si="37"/>
        <v>#REF!</v>
      </c>
      <c r="N141" s="32"/>
      <c r="O141" s="44"/>
      <c r="P141" s="44"/>
      <c r="Q141" s="44"/>
    </row>
    <row r="142" spans="1:24" x14ac:dyDescent="0.25">
      <c r="A142" s="14"/>
      <c r="B142" s="27"/>
      <c r="C142" s="28" t="s">
        <v>4</v>
      </c>
      <c r="D142" s="28"/>
      <c r="E142" s="28"/>
      <c r="F142" s="28"/>
      <c r="G142" s="42" t="e">
        <f>+'Jul-24'!G142+'Aug-24'!G142+'Sep-24'!G142+'Oct-24'!G142+'Nov-24'!G142+'Dec-24'!G142+'Jan-25'!G142+'Feb-25'!G142+#REF!+#REF!+#REF!+'Dec-25'!G142</f>
        <v>#REF!</v>
      </c>
      <c r="H142" s="42" t="e">
        <f>+'Jul-24'!H142+'Aug-24'!H142+'Sep-24'!H142+'Oct-24'!H142+'Nov-24'!H142+'Dec-24'!H142+'Jan-25'!H142+'Feb-25'!H142+#REF!+#REF!+#REF!+'Dec-25'!H142</f>
        <v>#REF!</v>
      </c>
      <c r="I142" s="42" t="e">
        <f>+'Jul-24'!I142+'Aug-24'!I142+'Sep-24'!I142+'Oct-24'!I142+'Nov-24'!I142+'Dec-24'!I142+'Jan-25'!I142+'Feb-25'!I142+#REF!+#REF!+#REF!+'Dec-25'!I142</f>
        <v>#REF!</v>
      </c>
      <c r="J142" s="42" t="e">
        <f>+'Jul-24'!J142+'Aug-24'!J142+'Sep-24'!J142+'Oct-24'!J142+'Nov-24'!J142+'Dec-24'!J142+'Jan-25'!J142+'Feb-25'!J142+#REF!+#REF!+#REF!+'Dec-25'!J142</f>
        <v>#REF!</v>
      </c>
      <c r="K142" s="42" t="e">
        <f>+'Jul-24'!K142+'Aug-24'!K142+'Sep-24'!K142+'Oct-24'!K142+'Nov-24'!K142+'Dec-24'!K142+'Jan-25'!K142+'Feb-25'!K142+#REF!+#REF!+#REF!+'Dec-25'!K142</f>
        <v>#REF!</v>
      </c>
      <c r="L142" s="35" t="e">
        <f t="shared" si="38"/>
        <v>#REF!</v>
      </c>
      <c r="M142" s="35" t="e">
        <f t="shared" si="37"/>
        <v>#REF!</v>
      </c>
      <c r="N142" s="32"/>
      <c r="O142" s="44"/>
      <c r="P142" s="44"/>
      <c r="Q142" s="44"/>
    </row>
    <row r="143" spans="1:24" x14ac:dyDescent="0.25">
      <c r="A143" s="14"/>
      <c r="B143" s="27"/>
      <c r="C143" s="28" t="s">
        <v>15</v>
      </c>
      <c r="D143" s="28"/>
      <c r="E143" s="28"/>
      <c r="F143" s="28"/>
      <c r="G143" s="42" t="e">
        <f>+'Jul-24'!G143+'Aug-24'!G143+'Sep-24'!G143+'Oct-24'!G143+'Nov-24'!G143+'Dec-24'!G143+'Jan-25'!G143+'Feb-25'!G143+#REF!+#REF!+#REF!+'Dec-25'!G143</f>
        <v>#REF!</v>
      </c>
      <c r="H143" s="42" t="e">
        <f>+'Jul-24'!H143+'Aug-24'!H143+'Sep-24'!H143+'Oct-24'!H143+'Nov-24'!H143+'Dec-24'!H143+'Jan-25'!H143+'Feb-25'!H143+#REF!+#REF!+#REF!+'Dec-25'!H143</f>
        <v>#REF!</v>
      </c>
      <c r="I143" s="42" t="e">
        <f>+'Jul-24'!I143+'Aug-24'!I143+'Sep-24'!I143+'Oct-24'!I143+'Nov-24'!I143+'Dec-24'!I143+'Jan-25'!I143+'Feb-25'!I143+#REF!+#REF!+#REF!+'Dec-25'!I143</f>
        <v>#REF!</v>
      </c>
      <c r="J143" s="42" t="e">
        <f>+'Jul-24'!J143+'Aug-24'!J143+'Sep-24'!J143+'Oct-24'!J143+'Nov-24'!J143+'Dec-24'!J143+'Jan-25'!J143+'Feb-25'!J143+#REF!+#REF!+#REF!+'Dec-25'!J143</f>
        <v>#REF!</v>
      </c>
      <c r="K143" s="42" t="e">
        <f>+'Jul-24'!K143+'Aug-24'!K143+'Sep-24'!K143+'Oct-24'!K143+'Nov-24'!K143+'Dec-24'!K143+'Jan-25'!K143+'Feb-25'!K143+#REF!+#REF!+#REF!+'Dec-25'!K143</f>
        <v>#REF!</v>
      </c>
      <c r="L143" s="35" t="e">
        <f t="shared" si="38"/>
        <v>#REF!</v>
      </c>
      <c r="M143" s="35" t="e">
        <f t="shared" si="37"/>
        <v>#REF!</v>
      </c>
      <c r="N143" s="32"/>
      <c r="O143" s="44"/>
      <c r="P143" s="44"/>
      <c r="Q143" s="44"/>
    </row>
    <row r="144" spans="1:24" x14ac:dyDescent="0.25">
      <c r="A144" s="14"/>
      <c r="B144" s="27"/>
      <c r="C144" s="28" t="s">
        <v>16</v>
      </c>
      <c r="D144" s="28"/>
      <c r="E144" s="28"/>
      <c r="F144" s="28"/>
      <c r="G144" s="42" t="e">
        <f>+'Jul-24'!G144+'Aug-24'!G144+'Sep-24'!G144+'Oct-24'!G144+'Nov-24'!G144+'Dec-24'!G144+'Jan-25'!G144+'Feb-25'!G144+#REF!+#REF!+#REF!+'Dec-25'!G144</f>
        <v>#REF!</v>
      </c>
      <c r="H144" s="42" t="e">
        <f>+'Jul-24'!H144+'Aug-24'!H144+'Sep-24'!H144+'Oct-24'!H144+'Nov-24'!H144+'Dec-24'!H144+'Jan-25'!H144+'Feb-25'!H144+#REF!+#REF!+#REF!+'Dec-25'!H144</f>
        <v>#REF!</v>
      </c>
      <c r="I144" s="42" t="e">
        <f>+'Jul-24'!I144+'Aug-24'!I144+'Sep-24'!I144+'Oct-24'!I144+'Nov-24'!I144+'Dec-24'!I144+'Jan-25'!I144+'Feb-25'!I144+#REF!+#REF!+#REF!+'Dec-25'!I144</f>
        <v>#REF!</v>
      </c>
      <c r="J144" s="42" t="e">
        <f>+'Jul-24'!J144+'Aug-24'!J144+'Sep-24'!J144+'Oct-24'!J144+'Nov-24'!J144+'Dec-24'!J144+'Jan-25'!J144+'Feb-25'!J144+#REF!+#REF!+#REF!+'Dec-25'!J144</f>
        <v>#REF!</v>
      </c>
      <c r="K144" s="42" t="e">
        <f>+'Jul-24'!K144+'Aug-24'!K144+'Sep-24'!K144+'Oct-24'!K144+'Nov-24'!K144+'Dec-24'!K144+'Jan-25'!K144+'Feb-25'!K144+#REF!+#REF!+#REF!+'Dec-25'!K144</f>
        <v>#REF!</v>
      </c>
      <c r="L144" s="35" t="e">
        <f t="shared" si="38"/>
        <v>#REF!</v>
      </c>
      <c r="M144" s="35" t="e">
        <f t="shared" si="37"/>
        <v>#REF!</v>
      </c>
      <c r="N144" s="32"/>
      <c r="O144" s="44"/>
      <c r="P144" s="44"/>
      <c r="Q144" s="44"/>
    </row>
    <row r="145" spans="1:24" ht="15.75" thickBot="1" x14ac:dyDescent="0.3">
      <c r="A145" s="14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4"/>
      <c r="P145" s="44"/>
      <c r="Q145" s="44"/>
    </row>
    <row r="146" spans="1:24" ht="15.75" thickBot="1" x14ac:dyDescent="0.3">
      <c r="A146" s="14"/>
      <c r="G146" s="33"/>
      <c r="H146" s="33"/>
      <c r="I146" s="33"/>
      <c r="J146" s="33"/>
      <c r="K146" s="33"/>
      <c r="L146" s="33"/>
      <c r="M146" s="33"/>
      <c r="N146" s="33"/>
      <c r="O146" s="44"/>
      <c r="P146" s="44"/>
      <c r="Q146" s="44"/>
    </row>
    <row r="147" spans="1:24" x14ac:dyDescent="0.25">
      <c r="A147" s="4">
        <f>+A131+1</f>
        <v>9</v>
      </c>
      <c r="B147" s="40"/>
      <c r="C147" s="6" t="s">
        <v>25</v>
      </c>
      <c r="D147" s="7"/>
      <c r="E147" s="8"/>
      <c r="F147" s="8"/>
      <c r="G147" s="10">
        <f>+$G$3</f>
        <v>2024</v>
      </c>
      <c r="H147" s="10">
        <f>+G147</f>
        <v>2024</v>
      </c>
      <c r="I147" s="10">
        <f t="shared" ref="I147:M148" si="39">+H147</f>
        <v>2024</v>
      </c>
      <c r="J147" s="10">
        <f t="shared" si="39"/>
        <v>2024</v>
      </c>
      <c r="K147" s="10">
        <f t="shared" si="39"/>
        <v>2024</v>
      </c>
      <c r="L147" s="10">
        <f t="shared" si="39"/>
        <v>2024</v>
      </c>
      <c r="M147" s="10">
        <f t="shared" si="39"/>
        <v>2024</v>
      </c>
      <c r="N147" s="11"/>
      <c r="O147" s="44"/>
      <c r="P147" s="44"/>
      <c r="Q147" s="44"/>
      <c r="S147" s="12" t="str">
        <f>+C147</f>
        <v>Msahweni CLC</v>
      </c>
      <c r="T147" s="13" t="e">
        <f>+L151</f>
        <v>#REF!</v>
      </c>
      <c r="U147" s="13" t="e">
        <f>+L152+L153</f>
        <v>#REF!</v>
      </c>
      <c r="V147" s="13" t="e">
        <f>+L154+L155</f>
        <v>#REF!</v>
      </c>
      <c r="W147" s="13" t="e">
        <f>+L158</f>
        <v>#REF!</v>
      </c>
      <c r="X147" s="13" t="e">
        <f>+L156</f>
        <v>#REF!</v>
      </c>
    </row>
    <row r="148" spans="1:24" x14ac:dyDescent="0.25">
      <c r="A148" s="14"/>
      <c r="B148" s="15"/>
      <c r="C148" s="41" t="str">
        <f>+$C132</f>
        <v>Year to Date 2024/2025</v>
      </c>
      <c r="D148" s="18"/>
      <c r="E148" s="18"/>
      <c r="F148" s="18"/>
      <c r="G148" s="20" t="str">
        <f>+$G$4</f>
        <v>Week</v>
      </c>
      <c r="H148" s="20" t="str">
        <f>+G148</f>
        <v>Week</v>
      </c>
      <c r="I148" s="20" t="str">
        <f t="shared" si="39"/>
        <v>Week</v>
      </c>
      <c r="J148" s="20" t="str">
        <f t="shared" si="39"/>
        <v>Week</v>
      </c>
      <c r="K148" s="20" t="str">
        <f t="shared" si="39"/>
        <v>Week</v>
      </c>
      <c r="L148" s="20" t="str">
        <f t="shared" si="39"/>
        <v>Week</v>
      </c>
      <c r="M148" s="20" t="str">
        <f t="shared" si="39"/>
        <v>Week</v>
      </c>
      <c r="N148" s="21"/>
      <c r="O148" s="44"/>
      <c r="P148" s="44"/>
      <c r="Q148" s="44"/>
    </row>
    <row r="149" spans="1:24" ht="15.75" thickBot="1" x14ac:dyDescent="0.3">
      <c r="A149" s="14"/>
      <c r="B149" s="22"/>
      <c r="C149" s="23"/>
      <c r="D149" s="23"/>
      <c r="E149" s="23"/>
      <c r="F149" s="23"/>
      <c r="G149" s="25">
        <f>+$G$5</f>
        <v>1</v>
      </c>
      <c r="H149" s="25">
        <f>+$H$5</f>
        <v>2</v>
      </c>
      <c r="I149" s="25">
        <f>+$I$5</f>
        <v>3</v>
      </c>
      <c r="J149" s="25">
        <f>+$J$5</f>
        <v>4</v>
      </c>
      <c r="K149" s="25">
        <f>+$K$5</f>
        <v>5</v>
      </c>
      <c r="L149" s="25" t="s">
        <v>6</v>
      </c>
      <c r="M149" s="25" t="s">
        <v>7</v>
      </c>
      <c r="N149" s="26"/>
      <c r="O149" s="44"/>
      <c r="P149" s="44"/>
      <c r="Q149" s="44"/>
    </row>
    <row r="150" spans="1:24" x14ac:dyDescent="0.25">
      <c r="A150" s="14"/>
      <c r="B150" s="27"/>
      <c r="C150" s="28"/>
      <c r="D150" s="28"/>
      <c r="E150" s="28"/>
      <c r="F150" s="28"/>
      <c r="G150" s="29"/>
      <c r="H150" s="29"/>
      <c r="I150" s="29"/>
      <c r="J150" s="29"/>
      <c r="K150" s="28"/>
      <c r="L150" s="28"/>
      <c r="M150" s="28"/>
      <c r="N150" s="30"/>
      <c r="O150" s="44"/>
      <c r="P150" s="44"/>
      <c r="Q150" s="44"/>
    </row>
    <row r="151" spans="1:24" x14ac:dyDescent="0.25">
      <c r="A151" s="14"/>
      <c r="B151" s="27"/>
      <c r="C151" s="28" t="s">
        <v>8</v>
      </c>
      <c r="D151" s="28"/>
      <c r="E151" s="28"/>
      <c r="F151" s="28"/>
      <c r="G151" s="31" t="e">
        <f>SUM(G152:G155)</f>
        <v>#REF!</v>
      </c>
      <c r="H151" s="31" t="e">
        <f t="shared" ref="H151:L151" si="40">SUM(H152:H155)</f>
        <v>#REF!</v>
      </c>
      <c r="I151" s="31" t="e">
        <f t="shared" si="40"/>
        <v>#REF!</v>
      </c>
      <c r="J151" s="31" t="e">
        <f t="shared" si="40"/>
        <v>#REF!</v>
      </c>
      <c r="K151" s="31" t="e">
        <f t="shared" si="40"/>
        <v>#REF!</v>
      </c>
      <c r="L151" s="31" t="e">
        <f t="shared" si="40"/>
        <v>#REF!</v>
      </c>
      <c r="M151" s="31" t="e">
        <f>ROUND((L151/$E$1),0)</f>
        <v>#REF!</v>
      </c>
      <c r="N151" s="32"/>
      <c r="O151" s="44"/>
      <c r="P151" s="44"/>
      <c r="Q151" s="44"/>
    </row>
    <row r="152" spans="1:24" x14ac:dyDescent="0.25">
      <c r="A152" s="14"/>
      <c r="B152" s="27"/>
      <c r="C152" s="28"/>
      <c r="D152" s="28" t="s">
        <v>9</v>
      </c>
      <c r="E152" s="28"/>
      <c r="F152" s="28"/>
      <c r="G152" s="42" t="e">
        <f>+'Jul-24'!G152+'Aug-24'!G152+'Sep-24'!G152+'Oct-24'!G152+'Nov-24'!G152+'Dec-24'!G152+'Jan-25'!G152+'Feb-25'!G152+#REF!+#REF!+#REF!+'Dec-25'!G152</f>
        <v>#REF!</v>
      </c>
      <c r="H152" s="42" t="e">
        <f>+'Jul-24'!H152+'Aug-24'!H152+'Sep-24'!H152+'Oct-24'!H152+'Nov-24'!H152+'Dec-24'!H152+'Jan-25'!H152+'Feb-25'!H152+#REF!+#REF!+#REF!+'Dec-25'!H152</f>
        <v>#REF!</v>
      </c>
      <c r="I152" s="42" t="e">
        <f>+'Jul-24'!I152+'Aug-24'!I152+'Sep-24'!I152+'Oct-24'!I152+'Nov-24'!I152+'Dec-24'!I152+'Jan-25'!I152+'Feb-25'!I152+#REF!+#REF!+#REF!+'Dec-25'!I152</f>
        <v>#REF!</v>
      </c>
      <c r="J152" s="42" t="e">
        <f>+'Jul-24'!J152+'Aug-24'!J152+'Sep-24'!J152+'Oct-24'!J152+'Nov-24'!J152+'Dec-24'!J152+'Jan-25'!J152+'Feb-25'!J152+#REF!+#REF!+#REF!+'Dec-25'!J152</f>
        <v>#REF!</v>
      </c>
      <c r="K152" s="42" t="e">
        <f>+'Jul-24'!K152+'Aug-24'!K152+'Sep-24'!K152+'Oct-24'!K152+'Nov-24'!K152+'Dec-24'!K152+'Jan-25'!K152+'Feb-25'!K152+#REF!+#REF!+#REF!+'Dec-25'!K152</f>
        <v>#REF!</v>
      </c>
      <c r="L152" s="35" t="e">
        <f>SUM(G152:K152)</f>
        <v>#REF!</v>
      </c>
      <c r="M152" s="35" t="e">
        <f t="shared" ref="M152:M160" si="41">ROUND((L152/$E$1),0)</f>
        <v>#REF!</v>
      </c>
      <c r="N152" s="32"/>
      <c r="O152" s="44"/>
      <c r="P152" s="44"/>
      <c r="Q152" s="44"/>
    </row>
    <row r="153" spans="1:24" x14ac:dyDescent="0.25">
      <c r="A153" s="14"/>
      <c r="B153" s="27"/>
      <c r="C153" s="28"/>
      <c r="D153" s="28" t="s">
        <v>10</v>
      </c>
      <c r="E153" s="28"/>
      <c r="F153" s="28"/>
      <c r="G153" s="42" t="e">
        <f>+'Jul-24'!G153+'Aug-24'!G153+'Sep-24'!G153+'Oct-24'!G153+'Nov-24'!G153+'Dec-24'!G153+'Jan-25'!G153+'Feb-25'!G153+#REF!+#REF!+#REF!+'Dec-25'!G153</f>
        <v>#REF!</v>
      </c>
      <c r="H153" s="42" t="e">
        <f>+'Jul-24'!H153+'Aug-24'!H153+'Sep-24'!H153+'Oct-24'!H153+'Nov-24'!H153+'Dec-24'!H153+'Jan-25'!H153+'Feb-25'!H153+#REF!+#REF!+#REF!+'Dec-25'!H153</f>
        <v>#REF!</v>
      </c>
      <c r="I153" s="42" t="e">
        <f>+'Jul-24'!I153+'Aug-24'!I153+'Sep-24'!I153+'Oct-24'!I153+'Nov-24'!I153+'Dec-24'!I153+'Jan-25'!I153+'Feb-25'!I153+#REF!+#REF!+#REF!+'Dec-25'!I153</f>
        <v>#REF!</v>
      </c>
      <c r="J153" s="42" t="e">
        <f>+'Jul-24'!J153+'Aug-24'!J153+'Sep-24'!J153+'Oct-24'!J153+'Nov-24'!J153+'Dec-24'!J153+'Jan-25'!J153+'Feb-25'!J153+#REF!+#REF!+#REF!+'Dec-25'!J153</f>
        <v>#REF!</v>
      </c>
      <c r="K153" s="42" t="e">
        <f>+'Jul-24'!K153+'Aug-24'!K153+'Sep-24'!K153+'Oct-24'!K153+'Nov-24'!K153+'Dec-24'!K153+'Jan-25'!K153+'Feb-25'!K153+#REF!+#REF!+#REF!+'Dec-25'!K153</f>
        <v>#REF!</v>
      </c>
      <c r="L153" s="35" t="e">
        <f t="shared" ref="L153:L160" si="42">SUM(G153:K153)</f>
        <v>#REF!</v>
      </c>
      <c r="M153" s="35" t="e">
        <f t="shared" si="41"/>
        <v>#REF!</v>
      </c>
      <c r="N153" s="32"/>
      <c r="O153" s="44"/>
      <c r="P153" s="44"/>
      <c r="Q153" s="44"/>
    </row>
    <row r="154" spans="1:24" x14ac:dyDescent="0.25">
      <c r="A154" s="14"/>
      <c r="B154" s="27"/>
      <c r="C154" s="28"/>
      <c r="D154" s="28" t="s">
        <v>11</v>
      </c>
      <c r="E154" s="28"/>
      <c r="F154" s="28"/>
      <c r="G154" s="42" t="e">
        <f>+'Jul-24'!G154+'Aug-24'!G154+'Sep-24'!G154+'Oct-24'!G154+'Nov-24'!G154+'Dec-24'!G154+'Jan-25'!G154+'Feb-25'!G154+#REF!+#REF!+#REF!+'Dec-25'!G154</f>
        <v>#REF!</v>
      </c>
      <c r="H154" s="42" t="e">
        <f>+'Jul-24'!H154+'Aug-24'!H154+'Sep-24'!H154+'Oct-24'!H154+'Nov-24'!H154+'Dec-24'!H154+'Jan-25'!H154+'Feb-25'!H154+#REF!+#REF!+#REF!+'Dec-25'!H154</f>
        <v>#REF!</v>
      </c>
      <c r="I154" s="42" t="e">
        <f>+'Jul-24'!I154+'Aug-24'!I154+'Sep-24'!I154+'Oct-24'!I154+'Nov-24'!I154+'Dec-24'!I154+'Jan-25'!I154+'Feb-25'!I154+#REF!+#REF!+#REF!+'Dec-25'!I154</f>
        <v>#REF!</v>
      </c>
      <c r="J154" s="42" t="e">
        <f>+'Jul-24'!J154+'Aug-24'!J154+'Sep-24'!J154+'Oct-24'!J154+'Nov-24'!J154+'Dec-24'!J154+'Jan-25'!J154+'Feb-25'!J154+#REF!+#REF!+#REF!+'Dec-25'!J154</f>
        <v>#REF!</v>
      </c>
      <c r="K154" s="42" t="e">
        <f>+'Jul-24'!K154+'Aug-24'!K154+'Sep-24'!K154+'Oct-24'!K154+'Nov-24'!K154+'Dec-24'!K154+'Jan-25'!K154+'Feb-25'!K154+#REF!+#REF!+#REF!+'Dec-25'!K154</f>
        <v>#REF!</v>
      </c>
      <c r="L154" s="35" t="e">
        <f t="shared" si="42"/>
        <v>#REF!</v>
      </c>
      <c r="M154" s="35" t="e">
        <f t="shared" si="41"/>
        <v>#REF!</v>
      </c>
      <c r="N154" s="32"/>
      <c r="O154" s="44"/>
      <c r="P154" s="44"/>
      <c r="Q154" s="44"/>
    </row>
    <row r="155" spans="1:24" x14ac:dyDescent="0.25">
      <c r="A155" s="14"/>
      <c r="B155" s="27"/>
      <c r="C155" s="28"/>
      <c r="D155" s="28" t="s">
        <v>12</v>
      </c>
      <c r="E155" s="28"/>
      <c r="F155" s="28"/>
      <c r="G155" s="43" t="e">
        <f>+'Jul-24'!G155+'Aug-24'!G155+'Sep-24'!G155+'Oct-24'!G155+'Nov-24'!G155+'Dec-24'!G155+'Jan-25'!G155+'Feb-25'!G155+#REF!+#REF!+#REF!+'Dec-25'!G155</f>
        <v>#REF!</v>
      </c>
      <c r="H155" s="43" t="e">
        <f>+'Jul-24'!H155+'Aug-24'!H155+'Sep-24'!H155+'Oct-24'!H155+'Nov-24'!H155+'Dec-24'!H155+'Jan-25'!H155+'Feb-25'!H155+#REF!+#REF!+#REF!+'Dec-25'!H155</f>
        <v>#REF!</v>
      </c>
      <c r="I155" s="43" t="e">
        <f>+'Jul-24'!I155+'Aug-24'!I155+'Sep-24'!I155+'Oct-24'!I155+'Nov-24'!I155+'Dec-24'!I155+'Jan-25'!I155+'Feb-25'!I155+#REF!+#REF!+#REF!+'Dec-25'!I155</f>
        <v>#REF!</v>
      </c>
      <c r="J155" s="43" t="e">
        <f>+'Jul-24'!J155+'Aug-24'!J155+'Sep-24'!J155+'Oct-24'!J155+'Nov-24'!J155+'Dec-24'!J155+'Jan-25'!J155+'Feb-25'!J155+#REF!+#REF!+#REF!+'Dec-25'!J155</f>
        <v>#REF!</v>
      </c>
      <c r="K155" s="43" t="e">
        <f>+'Jul-24'!K155+'Aug-24'!K155+'Sep-24'!K155+'Oct-24'!K155+'Nov-24'!K155+'Dec-24'!K155+'Jan-25'!K155+'Feb-25'!K155+#REF!+#REF!+#REF!+'Dec-25'!K155</f>
        <v>#REF!</v>
      </c>
      <c r="L155" s="31" t="e">
        <f t="shared" si="42"/>
        <v>#REF!</v>
      </c>
      <c r="M155" s="31" t="e">
        <f t="shared" si="41"/>
        <v>#REF!</v>
      </c>
      <c r="N155" s="32"/>
      <c r="O155" s="44"/>
      <c r="P155" s="44"/>
      <c r="Q155" s="44"/>
    </row>
    <row r="156" spans="1:24" x14ac:dyDescent="0.25">
      <c r="A156" s="14"/>
      <c r="B156" s="27"/>
      <c r="C156" s="28" t="s">
        <v>13</v>
      </c>
      <c r="D156" s="28"/>
      <c r="E156" s="28"/>
      <c r="F156" s="28"/>
      <c r="G156" s="42" t="e">
        <f>+'Jul-24'!G156+'Aug-24'!G156+'Sep-24'!G156+'Oct-24'!G156+'Nov-24'!G156+'Dec-24'!G156+'Jan-25'!G156+'Feb-25'!G156+#REF!+#REF!+#REF!+'Dec-25'!G156</f>
        <v>#REF!</v>
      </c>
      <c r="H156" s="42" t="e">
        <f>+'Jul-24'!H156+'Aug-24'!H156+'Sep-24'!H156+'Oct-24'!H156+'Nov-24'!H156+'Dec-24'!H156+'Jan-25'!H156+'Feb-25'!H156+#REF!+#REF!+#REF!+'Dec-25'!H156</f>
        <v>#REF!</v>
      </c>
      <c r="I156" s="42" t="e">
        <f>+'Jul-24'!I156+'Aug-24'!I156+'Sep-24'!I156+'Oct-24'!I156+'Nov-24'!I156+'Dec-24'!I156+'Jan-25'!I156+'Feb-25'!I156+#REF!+#REF!+#REF!+'Dec-25'!I156</f>
        <v>#REF!</v>
      </c>
      <c r="J156" s="42" t="e">
        <f>+'Jul-24'!J156+'Aug-24'!J156+'Sep-24'!J156+'Oct-24'!J156+'Nov-24'!J156+'Dec-24'!J156+'Jan-25'!J156+'Feb-25'!J156+#REF!+#REF!+#REF!+'Dec-25'!J156</f>
        <v>#REF!</v>
      </c>
      <c r="K156" s="42" t="e">
        <f>+'Jul-24'!K156+'Aug-24'!K156+'Sep-24'!K156+'Oct-24'!K156+'Nov-24'!K156+'Dec-24'!K156+'Jan-25'!K156+'Feb-25'!K156+#REF!+#REF!+#REF!+'Dec-25'!K156</f>
        <v>#REF!</v>
      </c>
      <c r="L156" s="35" t="e">
        <f t="shared" si="42"/>
        <v>#REF!</v>
      </c>
      <c r="M156" s="35" t="e">
        <f t="shared" si="41"/>
        <v>#REF!</v>
      </c>
      <c r="N156" s="32"/>
      <c r="O156" s="44"/>
      <c r="P156" s="44"/>
      <c r="Q156" s="44"/>
    </row>
    <row r="157" spans="1:24" x14ac:dyDescent="0.25">
      <c r="A157" s="14"/>
      <c r="B157" s="27"/>
      <c r="C157" s="28" t="s">
        <v>14</v>
      </c>
      <c r="D157" s="28"/>
      <c r="E157" s="28"/>
      <c r="F157" s="28"/>
      <c r="G157" s="42" t="e">
        <f>+'Jul-24'!G157+'Aug-24'!G157+'Sep-24'!G157+'Oct-24'!G157+'Nov-24'!G157+'Dec-24'!G157+'Jan-25'!G157+'Feb-25'!G157+#REF!+#REF!+#REF!+'Dec-25'!G157</f>
        <v>#REF!</v>
      </c>
      <c r="H157" s="42" t="e">
        <f>+'Jul-24'!H157+'Aug-24'!H157+'Sep-24'!H157+'Oct-24'!H157+'Nov-24'!H157+'Dec-24'!H157+'Jan-25'!H157+'Feb-25'!H157+#REF!+#REF!+#REF!+'Dec-25'!H157</f>
        <v>#REF!</v>
      </c>
      <c r="I157" s="42" t="e">
        <f>+'Jul-24'!I157+'Aug-24'!I157+'Sep-24'!I157+'Oct-24'!I157+'Nov-24'!I157+'Dec-24'!I157+'Jan-25'!I157+'Feb-25'!I157+#REF!+#REF!+#REF!+'Dec-25'!I157</f>
        <v>#REF!</v>
      </c>
      <c r="J157" s="42" t="e">
        <f>+'Jul-24'!J157+'Aug-24'!J157+'Sep-24'!J157+'Oct-24'!J157+'Nov-24'!J157+'Dec-24'!J157+'Jan-25'!J157+'Feb-25'!J157+#REF!+#REF!+#REF!+'Dec-25'!J157</f>
        <v>#REF!</v>
      </c>
      <c r="K157" s="42" t="e">
        <f>+'Jul-24'!K157+'Aug-24'!K157+'Sep-24'!K157+'Oct-24'!K157+'Nov-24'!K157+'Dec-24'!K157+'Jan-25'!K157+'Feb-25'!K157+#REF!+#REF!+#REF!+'Dec-25'!K157</f>
        <v>#REF!</v>
      </c>
      <c r="L157" s="35" t="e">
        <f t="shared" si="42"/>
        <v>#REF!</v>
      </c>
      <c r="M157" s="35" t="e">
        <f t="shared" si="41"/>
        <v>#REF!</v>
      </c>
      <c r="N157" s="32"/>
      <c r="O157" s="44"/>
      <c r="P157" s="44"/>
      <c r="Q157" s="44"/>
    </row>
    <row r="158" spans="1:24" x14ac:dyDescent="0.25">
      <c r="A158" s="14"/>
      <c r="B158" s="27"/>
      <c r="C158" s="28" t="s">
        <v>4</v>
      </c>
      <c r="D158" s="28"/>
      <c r="E158" s="28"/>
      <c r="F158" s="28"/>
      <c r="G158" s="42" t="e">
        <f>+'Jul-24'!G158+'Aug-24'!G158+'Sep-24'!G158+'Oct-24'!G158+'Nov-24'!G158+'Dec-24'!G158+'Jan-25'!G158+'Feb-25'!G158+#REF!+#REF!+#REF!+'Dec-25'!G158</f>
        <v>#REF!</v>
      </c>
      <c r="H158" s="42" t="e">
        <f>+'Jul-24'!H158+'Aug-24'!H158+'Sep-24'!H158+'Oct-24'!H158+'Nov-24'!H158+'Dec-24'!H158+'Jan-25'!H158+'Feb-25'!H158+#REF!+#REF!+#REF!+'Dec-25'!H158</f>
        <v>#REF!</v>
      </c>
      <c r="I158" s="42" t="e">
        <f>+'Jul-24'!I158+'Aug-24'!I158+'Sep-24'!I158+'Oct-24'!I158+'Nov-24'!I158+'Dec-24'!I158+'Jan-25'!I158+'Feb-25'!I158+#REF!+#REF!+#REF!+'Dec-25'!I158</f>
        <v>#REF!</v>
      </c>
      <c r="J158" s="42" t="e">
        <f>+'Jul-24'!J158+'Aug-24'!J158+'Sep-24'!J158+'Oct-24'!J158+'Nov-24'!J158+'Dec-24'!J158+'Jan-25'!J158+'Feb-25'!J158+#REF!+#REF!+#REF!+'Dec-25'!J158</f>
        <v>#REF!</v>
      </c>
      <c r="K158" s="42" t="e">
        <f>+'Jul-24'!K158+'Aug-24'!K158+'Sep-24'!K158+'Oct-24'!K158+'Nov-24'!K158+'Dec-24'!K158+'Jan-25'!K158+'Feb-25'!K158+#REF!+#REF!+#REF!+'Dec-25'!K158</f>
        <v>#REF!</v>
      </c>
      <c r="L158" s="35" t="e">
        <f t="shared" si="42"/>
        <v>#REF!</v>
      </c>
      <c r="M158" s="35" t="e">
        <f t="shared" si="41"/>
        <v>#REF!</v>
      </c>
      <c r="N158" s="32"/>
      <c r="O158" s="44"/>
      <c r="P158" s="44"/>
      <c r="Q158" s="44"/>
    </row>
    <row r="159" spans="1:24" x14ac:dyDescent="0.25">
      <c r="A159" s="14"/>
      <c r="B159" s="27"/>
      <c r="C159" s="28" t="s">
        <v>15</v>
      </c>
      <c r="D159" s="28"/>
      <c r="E159" s="28"/>
      <c r="F159" s="28"/>
      <c r="G159" s="42" t="e">
        <f>+'Jul-24'!G159+'Aug-24'!G159+'Sep-24'!G159+'Oct-24'!G159+'Nov-24'!G159+'Dec-24'!G159+'Jan-25'!G159+'Feb-25'!G159+#REF!+#REF!+#REF!+'Dec-25'!G159</f>
        <v>#REF!</v>
      </c>
      <c r="H159" s="42" t="e">
        <f>+'Jul-24'!H159+'Aug-24'!H159+'Sep-24'!H159+'Oct-24'!H159+'Nov-24'!H159+'Dec-24'!H159+'Jan-25'!H159+'Feb-25'!H159+#REF!+#REF!+#REF!+'Dec-25'!H159</f>
        <v>#REF!</v>
      </c>
      <c r="I159" s="42" t="e">
        <f>+'Jul-24'!I159+'Aug-24'!I159+'Sep-24'!I159+'Oct-24'!I159+'Nov-24'!I159+'Dec-24'!I159+'Jan-25'!I159+'Feb-25'!I159+#REF!+#REF!+#REF!+'Dec-25'!I159</f>
        <v>#REF!</v>
      </c>
      <c r="J159" s="42" t="e">
        <f>+'Jul-24'!J159+'Aug-24'!J159+'Sep-24'!J159+'Oct-24'!J159+'Nov-24'!J159+'Dec-24'!J159+'Jan-25'!J159+'Feb-25'!J159+#REF!+#REF!+#REF!+'Dec-25'!J159</f>
        <v>#REF!</v>
      </c>
      <c r="K159" s="42" t="e">
        <f>+'Jul-24'!K159+'Aug-24'!K159+'Sep-24'!K159+'Oct-24'!K159+'Nov-24'!K159+'Dec-24'!K159+'Jan-25'!K159+'Feb-25'!K159+#REF!+#REF!+#REF!+'Dec-25'!K159</f>
        <v>#REF!</v>
      </c>
      <c r="L159" s="35" t="e">
        <f t="shared" si="42"/>
        <v>#REF!</v>
      </c>
      <c r="M159" s="35" t="e">
        <f t="shared" si="41"/>
        <v>#REF!</v>
      </c>
      <c r="N159" s="32"/>
      <c r="O159" s="44"/>
      <c r="P159" s="44"/>
      <c r="Q159" s="44"/>
    </row>
    <row r="160" spans="1:24" x14ac:dyDescent="0.25">
      <c r="A160" s="14"/>
      <c r="B160" s="27"/>
      <c r="C160" s="28" t="s">
        <v>16</v>
      </c>
      <c r="D160" s="28"/>
      <c r="E160" s="28"/>
      <c r="F160" s="28"/>
      <c r="G160" s="42" t="e">
        <f>+'Jul-24'!G160+'Aug-24'!G160+'Sep-24'!G160+'Oct-24'!G160+'Nov-24'!G160+'Dec-24'!G160+'Jan-25'!G160+'Feb-25'!G160+#REF!+#REF!+#REF!+'Dec-25'!G160</f>
        <v>#REF!</v>
      </c>
      <c r="H160" s="42" t="e">
        <f>+'Jul-24'!H160+'Aug-24'!H160+'Sep-24'!H160+'Oct-24'!H160+'Nov-24'!H160+'Dec-24'!H160+'Jan-25'!H160+'Feb-25'!H160+#REF!+#REF!+#REF!+'Dec-25'!H160</f>
        <v>#REF!</v>
      </c>
      <c r="I160" s="42" t="e">
        <f>+'Jul-24'!I160+'Aug-24'!I160+'Sep-24'!I160+'Oct-24'!I160+'Nov-24'!I160+'Dec-24'!I160+'Jan-25'!I160+'Feb-25'!I160+#REF!+#REF!+#REF!+'Dec-25'!I160</f>
        <v>#REF!</v>
      </c>
      <c r="J160" s="42" t="e">
        <f>+'Jul-24'!J160+'Aug-24'!J160+'Sep-24'!J160+'Oct-24'!J160+'Nov-24'!J160+'Dec-24'!J160+'Jan-25'!J160+'Feb-25'!J160+#REF!+#REF!+#REF!+'Dec-25'!J160</f>
        <v>#REF!</v>
      </c>
      <c r="K160" s="42" t="e">
        <f>+'Jul-24'!K160+'Aug-24'!K160+'Sep-24'!K160+'Oct-24'!K160+'Nov-24'!K160+'Dec-24'!K160+'Jan-25'!K160+'Feb-25'!K160+#REF!+#REF!+#REF!+'Dec-25'!K160</f>
        <v>#REF!</v>
      </c>
      <c r="L160" s="35" t="e">
        <f t="shared" si="42"/>
        <v>#REF!</v>
      </c>
      <c r="M160" s="35" t="e">
        <f t="shared" si="41"/>
        <v>#REF!</v>
      </c>
      <c r="N160" s="32"/>
      <c r="O160" s="44"/>
      <c r="P160" s="44"/>
      <c r="Q160" s="44"/>
    </row>
    <row r="161" spans="1:24" ht="15.75" thickBot="1" x14ac:dyDescent="0.3">
      <c r="A161" s="14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4"/>
      <c r="P161" s="44"/>
      <c r="Q161" s="44"/>
    </row>
    <row r="162" spans="1:24" ht="15.75" thickBot="1" x14ac:dyDescent="0.3"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</row>
    <row r="163" spans="1:24" x14ac:dyDescent="0.25">
      <c r="A163" s="4">
        <f>+A147+1</f>
        <v>10</v>
      </c>
      <c r="B163" s="40"/>
      <c r="C163" s="6" t="s">
        <v>26</v>
      </c>
      <c r="D163" s="7"/>
      <c r="E163" s="8"/>
      <c r="F163" s="8"/>
      <c r="G163" s="10">
        <f>+$G$3</f>
        <v>2024</v>
      </c>
      <c r="H163" s="10">
        <f>+G163</f>
        <v>2024</v>
      </c>
      <c r="I163" s="10">
        <f t="shared" ref="I163:M164" si="43">+H163</f>
        <v>2024</v>
      </c>
      <c r="J163" s="10">
        <f t="shared" si="43"/>
        <v>2024</v>
      </c>
      <c r="K163" s="10">
        <f t="shared" si="43"/>
        <v>2024</v>
      </c>
      <c r="L163" s="10">
        <f t="shared" si="43"/>
        <v>2024</v>
      </c>
      <c r="M163" s="10">
        <f t="shared" si="43"/>
        <v>2024</v>
      </c>
      <c r="N163" s="11"/>
      <c r="O163" s="44"/>
      <c r="P163" s="44"/>
      <c r="Q163" s="44"/>
      <c r="S163" s="12" t="str">
        <f>+C163</f>
        <v>Mhlangatane</v>
      </c>
      <c r="T163" s="13" t="e">
        <f>+L167</f>
        <v>#REF!</v>
      </c>
      <c r="U163" s="13" t="e">
        <f>+L168+L169</f>
        <v>#REF!</v>
      </c>
      <c r="V163" s="13" t="e">
        <f>+L170+L171</f>
        <v>#REF!</v>
      </c>
      <c r="W163" s="13" t="e">
        <f>+L174</f>
        <v>#REF!</v>
      </c>
      <c r="X163" s="13" t="e">
        <f>+L172</f>
        <v>#REF!</v>
      </c>
    </row>
    <row r="164" spans="1:24" x14ac:dyDescent="0.25">
      <c r="A164" s="14"/>
      <c r="B164" s="15"/>
      <c r="C164" s="41" t="str">
        <f>+$C148</f>
        <v>Year to Date 2024/2025</v>
      </c>
      <c r="D164" s="18"/>
      <c r="E164" s="18"/>
      <c r="F164" s="18"/>
      <c r="G164" s="20" t="str">
        <f>+$G$4</f>
        <v>Week</v>
      </c>
      <c r="H164" s="20" t="str">
        <f>+G164</f>
        <v>Week</v>
      </c>
      <c r="I164" s="20" t="str">
        <f t="shared" si="43"/>
        <v>Week</v>
      </c>
      <c r="J164" s="20" t="str">
        <f t="shared" si="43"/>
        <v>Week</v>
      </c>
      <c r="K164" s="20" t="str">
        <f t="shared" si="43"/>
        <v>Week</v>
      </c>
      <c r="L164" s="20" t="str">
        <f t="shared" si="43"/>
        <v>Week</v>
      </c>
      <c r="M164" s="20" t="str">
        <f t="shared" si="43"/>
        <v>Week</v>
      </c>
      <c r="N164" s="21"/>
      <c r="O164" s="44"/>
      <c r="P164" s="44"/>
      <c r="Q164" s="44"/>
    </row>
    <row r="165" spans="1:24" ht="15.75" thickBot="1" x14ac:dyDescent="0.3">
      <c r="A165" s="14"/>
      <c r="B165" s="22"/>
      <c r="C165" s="23"/>
      <c r="D165" s="23"/>
      <c r="E165" s="23"/>
      <c r="F165" s="23"/>
      <c r="G165" s="25">
        <f>+$G$5</f>
        <v>1</v>
      </c>
      <c r="H165" s="25">
        <f>+$H$5</f>
        <v>2</v>
      </c>
      <c r="I165" s="25">
        <f>+$I$5</f>
        <v>3</v>
      </c>
      <c r="J165" s="25">
        <f>+$J$5</f>
        <v>4</v>
      </c>
      <c r="K165" s="25">
        <f>+$K$5</f>
        <v>5</v>
      </c>
      <c r="L165" s="25" t="s">
        <v>6</v>
      </c>
      <c r="M165" s="25" t="s">
        <v>7</v>
      </c>
      <c r="N165" s="26"/>
      <c r="O165" s="44"/>
      <c r="P165" s="44"/>
      <c r="Q165" s="44"/>
    </row>
    <row r="166" spans="1:24" x14ac:dyDescent="0.25">
      <c r="A166" s="14"/>
      <c r="B166" s="27"/>
      <c r="C166" s="28"/>
      <c r="D166" s="28"/>
      <c r="E166" s="28"/>
      <c r="F166" s="28"/>
      <c r="G166" s="29"/>
      <c r="H166" s="29"/>
      <c r="I166" s="29"/>
      <c r="J166" s="29"/>
      <c r="K166" s="28"/>
      <c r="L166" s="28"/>
      <c r="M166" s="28"/>
      <c r="N166" s="30"/>
      <c r="O166" s="44"/>
      <c r="P166" s="44"/>
      <c r="Q166" s="44"/>
    </row>
    <row r="167" spans="1:24" x14ac:dyDescent="0.25">
      <c r="A167" s="14"/>
      <c r="B167" s="27"/>
      <c r="C167" s="28" t="s">
        <v>8</v>
      </c>
      <c r="D167" s="28"/>
      <c r="E167" s="28"/>
      <c r="F167" s="28"/>
      <c r="G167" s="31" t="e">
        <f>SUM(G168:G171)</f>
        <v>#REF!</v>
      </c>
      <c r="H167" s="31" t="e">
        <f t="shared" ref="H167:L167" si="44">SUM(H168:H171)</f>
        <v>#REF!</v>
      </c>
      <c r="I167" s="31" t="e">
        <f t="shared" si="44"/>
        <v>#REF!</v>
      </c>
      <c r="J167" s="31" t="e">
        <f t="shared" si="44"/>
        <v>#REF!</v>
      </c>
      <c r="K167" s="31" t="e">
        <f t="shared" si="44"/>
        <v>#REF!</v>
      </c>
      <c r="L167" s="31" t="e">
        <f t="shared" si="44"/>
        <v>#REF!</v>
      </c>
      <c r="M167" s="31" t="e">
        <f>ROUND((L167/$E$1),0)</f>
        <v>#REF!</v>
      </c>
      <c r="N167" s="32"/>
      <c r="O167" s="44"/>
      <c r="P167" s="44"/>
      <c r="Q167" s="44"/>
    </row>
    <row r="168" spans="1:24" x14ac:dyDescent="0.25">
      <c r="A168" s="14"/>
      <c r="B168" s="27"/>
      <c r="C168" s="28"/>
      <c r="D168" s="28" t="s">
        <v>9</v>
      </c>
      <c r="E168" s="28"/>
      <c r="F168" s="28"/>
      <c r="G168" s="42" t="e">
        <f>+'Jul-24'!G168+'Aug-24'!G168+'Sep-24'!G168+'Oct-24'!G168+'Nov-24'!G168+'Dec-24'!G168+'Jan-25'!G168+'Feb-25'!G168+#REF!+#REF!+#REF!+'Dec-25'!G168</f>
        <v>#REF!</v>
      </c>
      <c r="H168" s="42" t="e">
        <f>+'Jul-24'!H168+'Aug-24'!H168+'Sep-24'!H168+'Oct-24'!H168+'Nov-24'!H168+'Dec-24'!H168+'Jan-25'!H168+'Feb-25'!H168+#REF!+#REF!+#REF!+'Dec-25'!H168</f>
        <v>#REF!</v>
      </c>
      <c r="I168" s="42" t="e">
        <f>+'Jul-24'!I168+'Aug-24'!I168+'Sep-24'!I168+'Oct-24'!I168+'Nov-24'!I168+'Dec-24'!I168+'Jan-25'!I168+'Feb-25'!I168+#REF!+#REF!+#REF!+'Dec-25'!I168</f>
        <v>#REF!</v>
      </c>
      <c r="J168" s="42" t="e">
        <f>+'Jul-24'!J168+'Aug-24'!J168+'Sep-24'!J168+'Oct-24'!J168+'Nov-24'!J168+'Dec-24'!J168+'Jan-25'!J168+'Feb-25'!J168+#REF!+#REF!+#REF!+'Dec-25'!J168</f>
        <v>#REF!</v>
      </c>
      <c r="K168" s="42" t="e">
        <f>+'Jul-24'!K168+'Aug-24'!K168+'Sep-24'!K168+'Oct-24'!K168+'Nov-24'!K168+'Dec-24'!K168+'Jan-25'!K168+'Feb-25'!K168+#REF!+#REF!+#REF!+'Dec-25'!K168</f>
        <v>#REF!</v>
      </c>
      <c r="L168" s="35" t="e">
        <f>SUM(G168:K168)</f>
        <v>#REF!</v>
      </c>
      <c r="M168" s="35" t="e">
        <f t="shared" ref="M168:M176" si="45">ROUND((L168/$E$1),0)</f>
        <v>#REF!</v>
      </c>
      <c r="N168" s="32"/>
      <c r="O168" s="44"/>
      <c r="P168" s="44"/>
      <c r="Q168" s="44"/>
    </row>
    <row r="169" spans="1:24" x14ac:dyDescent="0.25">
      <c r="A169" s="14"/>
      <c r="B169" s="27"/>
      <c r="C169" s="28"/>
      <c r="D169" s="28" t="s">
        <v>10</v>
      </c>
      <c r="E169" s="28"/>
      <c r="F169" s="28"/>
      <c r="G169" s="42" t="e">
        <f>+'Jul-24'!G169+'Aug-24'!G169+'Sep-24'!G169+'Oct-24'!G169+'Nov-24'!G169+'Dec-24'!G169+'Jan-25'!G169+'Feb-25'!G169+#REF!+#REF!+#REF!+'Dec-25'!G169</f>
        <v>#REF!</v>
      </c>
      <c r="H169" s="42" t="e">
        <f>+'Jul-24'!H169+'Aug-24'!H169+'Sep-24'!H169+'Oct-24'!H169+'Nov-24'!H169+'Dec-24'!H169+'Jan-25'!H169+'Feb-25'!H169+#REF!+#REF!+#REF!+'Dec-25'!H169</f>
        <v>#REF!</v>
      </c>
      <c r="I169" s="42" t="e">
        <f>+'Jul-24'!I169+'Aug-24'!I169+'Sep-24'!I169+'Oct-24'!I169+'Nov-24'!I169+'Dec-24'!I169+'Jan-25'!I169+'Feb-25'!I169+#REF!+#REF!+#REF!+'Dec-25'!I169</f>
        <v>#REF!</v>
      </c>
      <c r="J169" s="42" t="e">
        <f>+'Jul-24'!J169+'Aug-24'!J169+'Sep-24'!J169+'Oct-24'!J169+'Nov-24'!J169+'Dec-24'!J169+'Jan-25'!J169+'Feb-25'!J169+#REF!+#REF!+#REF!+'Dec-25'!J169</f>
        <v>#REF!</v>
      </c>
      <c r="K169" s="42" t="e">
        <f>+'Jul-24'!K169+'Aug-24'!K169+'Sep-24'!K169+'Oct-24'!K169+'Nov-24'!K169+'Dec-24'!K169+'Jan-25'!K169+'Feb-25'!K169+#REF!+#REF!+#REF!+'Dec-25'!K169</f>
        <v>#REF!</v>
      </c>
      <c r="L169" s="35" t="e">
        <f t="shared" ref="L169:L176" si="46">SUM(G169:K169)</f>
        <v>#REF!</v>
      </c>
      <c r="M169" s="35" t="e">
        <f t="shared" si="45"/>
        <v>#REF!</v>
      </c>
      <c r="N169" s="32"/>
      <c r="O169" s="44"/>
      <c r="P169" s="44"/>
      <c r="Q169" s="44"/>
    </row>
    <row r="170" spans="1:24" x14ac:dyDescent="0.25">
      <c r="A170" s="14"/>
      <c r="B170" s="27"/>
      <c r="C170" s="28"/>
      <c r="D170" s="28" t="s">
        <v>11</v>
      </c>
      <c r="E170" s="28"/>
      <c r="F170" s="28"/>
      <c r="G170" s="42" t="e">
        <f>+'Jul-24'!G170+'Aug-24'!G170+'Sep-24'!G170+'Oct-24'!G170+'Nov-24'!G170+'Dec-24'!G170+'Jan-25'!G170+'Feb-25'!G170+#REF!+#REF!+#REF!+'Dec-25'!G170</f>
        <v>#REF!</v>
      </c>
      <c r="H170" s="42" t="e">
        <f>+'Jul-24'!H170+'Aug-24'!H170+'Sep-24'!H170+'Oct-24'!H170+'Nov-24'!H170+'Dec-24'!H170+'Jan-25'!H170+'Feb-25'!H170+#REF!+#REF!+#REF!+'Dec-25'!H170</f>
        <v>#REF!</v>
      </c>
      <c r="I170" s="42" t="e">
        <f>+'Jul-24'!I170+'Aug-24'!I170+'Sep-24'!I170+'Oct-24'!I170+'Nov-24'!I170+'Dec-24'!I170+'Jan-25'!I170+'Feb-25'!I170+#REF!+#REF!+#REF!+'Dec-25'!I170</f>
        <v>#REF!</v>
      </c>
      <c r="J170" s="42" t="e">
        <f>+'Jul-24'!J170+'Aug-24'!J170+'Sep-24'!J170+'Oct-24'!J170+'Nov-24'!J170+'Dec-24'!J170+'Jan-25'!J170+'Feb-25'!J170+#REF!+#REF!+#REF!+'Dec-25'!J170</f>
        <v>#REF!</v>
      </c>
      <c r="K170" s="42" t="e">
        <f>+'Jul-24'!K170+'Aug-24'!K170+'Sep-24'!K170+'Oct-24'!K170+'Nov-24'!K170+'Dec-24'!K170+'Jan-25'!K170+'Feb-25'!K170+#REF!+#REF!+#REF!+'Dec-25'!K170</f>
        <v>#REF!</v>
      </c>
      <c r="L170" s="35" t="e">
        <f t="shared" si="46"/>
        <v>#REF!</v>
      </c>
      <c r="M170" s="35" t="e">
        <f t="shared" si="45"/>
        <v>#REF!</v>
      </c>
      <c r="N170" s="32"/>
      <c r="O170" s="44"/>
      <c r="P170" s="44"/>
      <c r="Q170" s="44"/>
    </row>
    <row r="171" spans="1:24" x14ac:dyDescent="0.25">
      <c r="A171" s="14"/>
      <c r="B171" s="27"/>
      <c r="C171" s="28"/>
      <c r="D171" s="28" t="s">
        <v>12</v>
      </c>
      <c r="E171" s="28"/>
      <c r="F171" s="28"/>
      <c r="G171" s="43" t="e">
        <f>+'Jul-24'!G171+'Aug-24'!G171+'Sep-24'!G171+'Oct-24'!G171+'Nov-24'!G171+'Dec-24'!G171+'Jan-25'!G171+'Feb-25'!G171+#REF!+#REF!+#REF!+'Dec-25'!G171</f>
        <v>#REF!</v>
      </c>
      <c r="H171" s="43" t="e">
        <f>+'Jul-24'!H171+'Aug-24'!H171+'Sep-24'!H171+'Oct-24'!H171+'Nov-24'!H171+'Dec-24'!H171+'Jan-25'!H171+'Feb-25'!H171+#REF!+#REF!+#REF!+'Dec-25'!H171</f>
        <v>#REF!</v>
      </c>
      <c r="I171" s="43" t="e">
        <f>+'Jul-24'!I171+'Aug-24'!I171+'Sep-24'!I171+'Oct-24'!I171+'Nov-24'!I171+'Dec-24'!I171+'Jan-25'!I171+'Feb-25'!I171+#REF!+#REF!+#REF!+'Dec-25'!I171</f>
        <v>#REF!</v>
      </c>
      <c r="J171" s="43" t="e">
        <f>+'Jul-24'!J171+'Aug-24'!J171+'Sep-24'!J171+'Oct-24'!J171+'Nov-24'!J171+'Dec-24'!J171+'Jan-25'!J171+'Feb-25'!J171+#REF!+#REF!+#REF!+'Dec-25'!J171</f>
        <v>#REF!</v>
      </c>
      <c r="K171" s="43" t="e">
        <f>+'Jul-24'!K171+'Aug-24'!K171+'Sep-24'!K171+'Oct-24'!K171+'Nov-24'!K171+'Dec-24'!K171+'Jan-25'!K171+'Feb-25'!K171+#REF!+#REF!+#REF!+'Dec-25'!K171</f>
        <v>#REF!</v>
      </c>
      <c r="L171" s="31" t="e">
        <f t="shared" si="46"/>
        <v>#REF!</v>
      </c>
      <c r="M171" s="31" t="e">
        <f t="shared" si="45"/>
        <v>#REF!</v>
      </c>
      <c r="N171" s="32"/>
      <c r="O171" s="44"/>
      <c r="P171" s="44"/>
      <c r="Q171" s="44"/>
    </row>
    <row r="172" spans="1:24" x14ac:dyDescent="0.25">
      <c r="A172" s="14"/>
      <c r="B172" s="27"/>
      <c r="C172" s="28" t="s">
        <v>13</v>
      </c>
      <c r="D172" s="28"/>
      <c r="E172" s="28"/>
      <c r="F172" s="28"/>
      <c r="G172" s="42" t="e">
        <f>+'Jul-24'!G172+'Aug-24'!G172+'Sep-24'!G172+'Oct-24'!G172+'Nov-24'!G172+'Dec-24'!G172+'Jan-25'!G172+'Feb-25'!G172+#REF!+#REF!+#REF!+'Dec-25'!G172</f>
        <v>#REF!</v>
      </c>
      <c r="H172" s="42" t="e">
        <f>+'Jul-24'!H172+'Aug-24'!H172+'Sep-24'!H172+'Oct-24'!H172+'Nov-24'!H172+'Dec-24'!H172+'Jan-25'!H172+'Feb-25'!H172+#REF!+#REF!+#REF!+'Dec-25'!H172</f>
        <v>#REF!</v>
      </c>
      <c r="I172" s="42" t="e">
        <f>+'Jul-24'!I172+'Aug-24'!I172+'Sep-24'!I172+'Oct-24'!I172+'Nov-24'!I172+'Dec-24'!I172+'Jan-25'!I172+'Feb-25'!I172+#REF!+#REF!+#REF!+'Dec-25'!I172</f>
        <v>#REF!</v>
      </c>
      <c r="J172" s="42" t="e">
        <f>+'Jul-24'!J172+'Aug-24'!J172+'Sep-24'!J172+'Oct-24'!J172+'Nov-24'!J172+'Dec-24'!J172+'Jan-25'!J172+'Feb-25'!J172+#REF!+#REF!+#REF!+'Dec-25'!J172</f>
        <v>#REF!</v>
      </c>
      <c r="K172" s="42" t="e">
        <f>+'Jul-24'!K172+'Aug-24'!K172+'Sep-24'!K172+'Oct-24'!K172+'Nov-24'!K172+'Dec-24'!K172+'Jan-25'!K172+'Feb-25'!K172+#REF!+#REF!+#REF!+'Dec-25'!K172</f>
        <v>#REF!</v>
      </c>
      <c r="L172" s="35" t="e">
        <f t="shared" si="46"/>
        <v>#REF!</v>
      </c>
      <c r="M172" s="35" t="e">
        <f t="shared" si="45"/>
        <v>#REF!</v>
      </c>
      <c r="N172" s="32"/>
      <c r="O172" s="44"/>
      <c r="P172" s="44"/>
      <c r="Q172" s="44"/>
    </row>
    <row r="173" spans="1:24" x14ac:dyDescent="0.25">
      <c r="A173" s="14"/>
      <c r="B173" s="27"/>
      <c r="C173" s="28" t="s">
        <v>14</v>
      </c>
      <c r="D173" s="28"/>
      <c r="E173" s="28"/>
      <c r="F173" s="28"/>
      <c r="G173" s="42" t="e">
        <f>+'Jul-24'!G173+'Aug-24'!G173+'Sep-24'!G173+'Oct-24'!G173+'Nov-24'!G173+'Dec-24'!G173+'Jan-25'!G173+'Feb-25'!G173+#REF!+#REF!+#REF!+'Dec-25'!G173</f>
        <v>#REF!</v>
      </c>
      <c r="H173" s="42" t="e">
        <f>+'Jul-24'!H173+'Aug-24'!H173+'Sep-24'!H173+'Oct-24'!H173+'Nov-24'!H173+'Dec-24'!H173+'Jan-25'!H173+'Feb-25'!H173+#REF!+#REF!+#REF!+'Dec-25'!H173</f>
        <v>#REF!</v>
      </c>
      <c r="I173" s="42" t="e">
        <f>+'Jul-24'!I173+'Aug-24'!I173+'Sep-24'!I173+'Oct-24'!I173+'Nov-24'!I173+'Dec-24'!I173+'Jan-25'!I173+'Feb-25'!I173+#REF!+#REF!+#REF!+'Dec-25'!I173</f>
        <v>#REF!</v>
      </c>
      <c r="J173" s="42" t="e">
        <f>+'Jul-24'!J173+'Aug-24'!J173+'Sep-24'!J173+'Oct-24'!J173+'Nov-24'!J173+'Dec-24'!J173+'Jan-25'!J173+'Feb-25'!J173+#REF!+#REF!+#REF!+'Dec-25'!J173</f>
        <v>#REF!</v>
      </c>
      <c r="K173" s="42" t="e">
        <f>+'Jul-24'!K173+'Aug-24'!K173+'Sep-24'!K173+'Oct-24'!K173+'Nov-24'!K173+'Dec-24'!K173+'Jan-25'!K173+'Feb-25'!K173+#REF!+#REF!+#REF!+'Dec-25'!K173</f>
        <v>#REF!</v>
      </c>
      <c r="L173" s="35" t="e">
        <f t="shared" si="46"/>
        <v>#REF!</v>
      </c>
      <c r="M173" s="35" t="e">
        <f t="shared" si="45"/>
        <v>#REF!</v>
      </c>
      <c r="N173" s="32"/>
      <c r="O173" s="44"/>
      <c r="P173" s="44"/>
      <c r="Q173" s="44"/>
    </row>
    <row r="174" spans="1:24" x14ac:dyDescent="0.25">
      <c r="A174" s="14"/>
      <c r="B174" s="27"/>
      <c r="C174" s="28" t="s">
        <v>4</v>
      </c>
      <c r="D174" s="28"/>
      <c r="E174" s="28"/>
      <c r="F174" s="28"/>
      <c r="G174" s="42" t="e">
        <f>+'Jul-24'!G174+'Aug-24'!G174+'Sep-24'!G174+'Oct-24'!G174+'Nov-24'!G174+'Dec-24'!G174+'Jan-25'!G174+'Feb-25'!G174+#REF!+#REF!+#REF!+'Dec-25'!G174</f>
        <v>#REF!</v>
      </c>
      <c r="H174" s="42" t="e">
        <f>+'Jul-24'!H174+'Aug-24'!H174+'Sep-24'!H174+'Oct-24'!H174+'Nov-24'!H174+'Dec-24'!H174+'Jan-25'!H174+'Feb-25'!H174+#REF!+#REF!+#REF!+'Dec-25'!H174</f>
        <v>#REF!</v>
      </c>
      <c r="I174" s="42" t="e">
        <f>+'Jul-24'!I174+'Aug-24'!I174+'Sep-24'!I174+'Oct-24'!I174+'Nov-24'!I174+'Dec-24'!I174+'Jan-25'!I174+'Feb-25'!I174+#REF!+#REF!+#REF!+'Dec-25'!I174</f>
        <v>#REF!</v>
      </c>
      <c r="J174" s="42" t="e">
        <f>+'Jul-24'!J174+'Aug-24'!J174+'Sep-24'!J174+'Oct-24'!J174+'Nov-24'!J174+'Dec-24'!J174+'Jan-25'!J174+'Feb-25'!J174+#REF!+#REF!+#REF!+'Dec-25'!J174</f>
        <v>#REF!</v>
      </c>
      <c r="K174" s="42" t="e">
        <f>+'Jul-24'!K174+'Aug-24'!K174+'Sep-24'!K174+'Oct-24'!K174+'Nov-24'!K174+'Dec-24'!K174+'Jan-25'!K174+'Feb-25'!K174+#REF!+#REF!+#REF!+'Dec-25'!K174</f>
        <v>#REF!</v>
      </c>
      <c r="L174" s="35" t="e">
        <f t="shared" si="46"/>
        <v>#REF!</v>
      </c>
      <c r="M174" s="35" t="e">
        <f t="shared" si="45"/>
        <v>#REF!</v>
      </c>
      <c r="N174" s="32"/>
      <c r="O174" s="44"/>
      <c r="P174" s="44"/>
      <c r="Q174" s="44"/>
    </row>
    <row r="175" spans="1:24" x14ac:dyDescent="0.25">
      <c r="A175" s="14"/>
      <c r="B175" s="27"/>
      <c r="C175" s="28" t="s">
        <v>15</v>
      </c>
      <c r="D175" s="28"/>
      <c r="E175" s="28"/>
      <c r="F175" s="28"/>
      <c r="G175" s="42" t="e">
        <f>+'Jul-24'!G175+'Aug-24'!G175+'Sep-24'!G175+'Oct-24'!G175+'Nov-24'!G175+'Dec-24'!G175+'Jan-25'!G175+'Feb-25'!G175+#REF!+#REF!+#REF!+'Dec-25'!G175</f>
        <v>#REF!</v>
      </c>
      <c r="H175" s="42" t="e">
        <f>+'Jul-24'!H175+'Aug-24'!H175+'Sep-24'!H175+'Oct-24'!H175+'Nov-24'!H175+'Dec-24'!H175+'Jan-25'!H175+'Feb-25'!H175+#REF!+#REF!+#REF!+'Dec-25'!H175</f>
        <v>#REF!</v>
      </c>
      <c r="I175" s="42" t="e">
        <f>+'Jul-24'!I175+'Aug-24'!I175+'Sep-24'!I175+'Oct-24'!I175+'Nov-24'!I175+'Dec-24'!I175+'Jan-25'!I175+'Feb-25'!I175+#REF!+#REF!+#REF!+'Dec-25'!I175</f>
        <v>#REF!</v>
      </c>
      <c r="J175" s="42" t="e">
        <f>+'Jul-24'!J175+'Aug-24'!J175+'Sep-24'!J175+'Oct-24'!J175+'Nov-24'!J175+'Dec-24'!J175+'Jan-25'!J175+'Feb-25'!J175+#REF!+#REF!+#REF!+'Dec-25'!J175</f>
        <v>#REF!</v>
      </c>
      <c r="K175" s="42" t="e">
        <f>+'Jul-24'!K175+'Aug-24'!K175+'Sep-24'!K175+'Oct-24'!K175+'Nov-24'!K175+'Dec-24'!K175+'Jan-25'!K175+'Feb-25'!K175+#REF!+#REF!+#REF!+'Dec-25'!K175</f>
        <v>#REF!</v>
      </c>
      <c r="L175" s="35" t="e">
        <f t="shared" si="46"/>
        <v>#REF!</v>
      </c>
      <c r="M175" s="35" t="e">
        <f t="shared" si="45"/>
        <v>#REF!</v>
      </c>
      <c r="N175" s="32"/>
      <c r="O175" s="44"/>
      <c r="P175" s="44"/>
      <c r="Q175" s="44"/>
    </row>
    <row r="176" spans="1:24" x14ac:dyDescent="0.25">
      <c r="A176" s="14"/>
      <c r="B176" s="27"/>
      <c r="C176" s="28" t="s">
        <v>16</v>
      </c>
      <c r="D176" s="28"/>
      <c r="E176" s="28"/>
      <c r="F176" s="28"/>
      <c r="G176" s="42" t="e">
        <f>+'Jul-24'!G176+'Aug-24'!G176+'Sep-24'!G176+'Oct-24'!G176+'Nov-24'!G176+'Dec-24'!G176+'Jan-25'!G176+'Feb-25'!G176+#REF!+#REF!+#REF!+'Dec-25'!G176</f>
        <v>#REF!</v>
      </c>
      <c r="H176" s="42" t="e">
        <f>+'Jul-24'!H176+'Aug-24'!H176+'Sep-24'!H176+'Oct-24'!H176+'Nov-24'!H176+'Dec-24'!H176+'Jan-25'!H176+'Feb-25'!H176+#REF!+#REF!+#REF!+'Dec-25'!H176</f>
        <v>#REF!</v>
      </c>
      <c r="I176" s="42" t="e">
        <f>+'Jul-24'!I176+'Aug-24'!I176+'Sep-24'!I176+'Oct-24'!I176+'Nov-24'!I176+'Dec-24'!I176+'Jan-25'!I176+'Feb-25'!I176+#REF!+#REF!+#REF!+'Dec-25'!I176</f>
        <v>#REF!</v>
      </c>
      <c r="J176" s="42" t="e">
        <f>+'Jul-24'!J176+'Aug-24'!J176+'Sep-24'!J176+'Oct-24'!J176+'Nov-24'!J176+'Dec-24'!J176+'Jan-25'!J176+'Feb-25'!J176+#REF!+#REF!+#REF!+'Dec-25'!J176</f>
        <v>#REF!</v>
      </c>
      <c r="K176" s="42" t="e">
        <f>+'Jul-24'!K176+'Aug-24'!K176+'Sep-24'!K176+'Oct-24'!K176+'Nov-24'!K176+'Dec-24'!K176+'Jan-25'!K176+'Feb-25'!K176+#REF!+#REF!+#REF!+'Dec-25'!K176</f>
        <v>#REF!</v>
      </c>
      <c r="L176" s="35" t="e">
        <f t="shared" si="46"/>
        <v>#REF!</v>
      </c>
      <c r="M176" s="35" t="e">
        <f t="shared" si="45"/>
        <v>#REF!</v>
      </c>
      <c r="N176" s="32"/>
      <c r="O176" s="44"/>
      <c r="P176" s="44"/>
      <c r="Q176" s="44"/>
    </row>
    <row r="177" spans="1:24" ht="15.75" thickBot="1" x14ac:dyDescent="0.3">
      <c r="A177" s="14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4"/>
      <c r="P177" s="44"/>
      <c r="Q177" s="44"/>
    </row>
    <row r="178" spans="1:24" ht="15.75" thickBot="1" x14ac:dyDescent="0.3">
      <c r="A178" s="14"/>
      <c r="G178" s="33"/>
      <c r="H178" s="33"/>
      <c r="I178" s="33"/>
      <c r="J178" s="33"/>
      <c r="K178" s="33"/>
      <c r="L178" s="33"/>
      <c r="M178" s="33"/>
      <c r="N178" s="33"/>
      <c r="O178" s="44"/>
      <c r="P178" s="44"/>
      <c r="Q178" s="44"/>
    </row>
    <row r="179" spans="1:24" x14ac:dyDescent="0.25">
      <c r="A179" s="4">
        <f>+A163+1</f>
        <v>11</v>
      </c>
      <c r="B179" s="5"/>
      <c r="C179" s="6" t="s">
        <v>27</v>
      </c>
      <c r="D179" s="7"/>
      <c r="E179" s="8"/>
      <c r="F179" s="8"/>
      <c r="G179" s="10">
        <f>+$G$3</f>
        <v>2024</v>
      </c>
      <c r="H179" s="10">
        <f>+G179</f>
        <v>2024</v>
      </c>
      <c r="I179" s="10">
        <f t="shared" ref="I179:M180" si="47">+H179</f>
        <v>2024</v>
      </c>
      <c r="J179" s="10">
        <f t="shared" si="47"/>
        <v>2024</v>
      </c>
      <c r="K179" s="10">
        <f t="shared" si="47"/>
        <v>2024</v>
      </c>
      <c r="L179" s="10">
        <f t="shared" si="47"/>
        <v>2024</v>
      </c>
      <c r="M179" s="10">
        <f t="shared" si="47"/>
        <v>2024</v>
      </c>
      <c r="N179" s="11"/>
      <c r="O179" s="44"/>
      <c r="P179" s="44"/>
      <c r="Q179" s="44"/>
      <c r="S179" s="12" t="str">
        <f>+C179</f>
        <v>Tibane</v>
      </c>
      <c r="T179" s="13" t="e">
        <f>+L183</f>
        <v>#REF!</v>
      </c>
      <c r="U179" s="13" t="e">
        <f>+L184+L185</f>
        <v>#REF!</v>
      </c>
      <c r="V179" s="13" t="e">
        <f>+L186+L187</f>
        <v>#REF!</v>
      </c>
      <c r="W179" s="13" t="e">
        <f>+L190</f>
        <v>#REF!</v>
      </c>
      <c r="X179" s="13" t="e">
        <f>+L188</f>
        <v>#REF!</v>
      </c>
    </row>
    <row r="180" spans="1:24" x14ac:dyDescent="0.25">
      <c r="A180" s="14"/>
      <c r="B180" s="15"/>
      <c r="C180" s="41" t="str">
        <f>+$C164</f>
        <v>Year to Date 2024/2025</v>
      </c>
      <c r="D180" s="18"/>
      <c r="E180" s="18"/>
      <c r="F180" s="18"/>
      <c r="G180" s="20" t="str">
        <f>+$G$4</f>
        <v>Week</v>
      </c>
      <c r="H180" s="20" t="str">
        <f>+G180</f>
        <v>Week</v>
      </c>
      <c r="I180" s="20" t="str">
        <f t="shared" si="47"/>
        <v>Week</v>
      </c>
      <c r="J180" s="20" t="str">
        <f t="shared" si="47"/>
        <v>Week</v>
      </c>
      <c r="K180" s="20" t="str">
        <f t="shared" si="47"/>
        <v>Week</v>
      </c>
      <c r="L180" s="20" t="str">
        <f t="shared" si="47"/>
        <v>Week</v>
      </c>
      <c r="M180" s="20" t="str">
        <f t="shared" si="47"/>
        <v>Week</v>
      </c>
      <c r="N180" s="21"/>
      <c r="O180" s="44"/>
      <c r="P180" s="44"/>
      <c r="Q180" s="44"/>
    </row>
    <row r="181" spans="1:24" ht="15.75" thickBot="1" x14ac:dyDescent="0.3">
      <c r="A181" s="14"/>
      <c r="B181" s="22"/>
      <c r="C181" s="23"/>
      <c r="D181" s="23"/>
      <c r="E181" s="23"/>
      <c r="F181" s="23"/>
      <c r="G181" s="25">
        <f>+$G$5</f>
        <v>1</v>
      </c>
      <c r="H181" s="25">
        <f>+$H$5</f>
        <v>2</v>
      </c>
      <c r="I181" s="25">
        <f>+$I$5</f>
        <v>3</v>
      </c>
      <c r="J181" s="25">
        <f>+$J$5</f>
        <v>4</v>
      </c>
      <c r="K181" s="25">
        <f>+$K$5</f>
        <v>5</v>
      </c>
      <c r="L181" s="25" t="s">
        <v>6</v>
      </c>
      <c r="M181" s="25" t="s">
        <v>7</v>
      </c>
      <c r="N181" s="26"/>
      <c r="O181" s="44"/>
      <c r="P181" s="44"/>
      <c r="Q181" s="44"/>
    </row>
    <row r="182" spans="1:24" x14ac:dyDescent="0.25">
      <c r="A182" s="14"/>
      <c r="B182" s="27"/>
      <c r="C182" s="28"/>
      <c r="D182" s="28"/>
      <c r="E182" s="28"/>
      <c r="F182" s="28"/>
      <c r="G182" s="29"/>
      <c r="H182" s="29"/>
      <c r="I182" s="29"/>
      <c r="J182" s="29"/>
      <c r="K182" s="28"/>
      <c r="L182" s="28"/>
      <c r="M182" s="28"/>
      <c r="N182" s="30"/>
      <c r="O182" s="44"/>
      <c r="P182" s="44"/>
      <c r="Q182" s="44"/>
    </row>
    <row r="183" spans="1:24" x14ac:dyDescent="0.25">
      <c r="A183" s="14"/>
      <c r="B183" s="27"/>
      <c r="C183" s="28" t="s">
        <v>8</v>
      </c>
      <c r="D183" s="28"/>
      <c r="E183" s="28"/>
      <c r="F183" s="28"/>
      <c r="G183" s="31" t="e">
        <f>SUM(G184:G187)</f>
        <v>#REF!</v>
      </c>
      <c r="H183" s="31" t="e">
        <f t="shared" ref="H183:L183" si="48">SUM(H184:H187)</f>
        <v>#REF!</v>
      </c>
      <c r="I183" s="31" t="e">
        <f t="shared" si="48"/>
        <v>#REF!</v>
      </c>
      <c r="J183" s="31" t="e">
        <f t="shared" si="48"/>
        <v>#REF!</v>
      </c>
      <c r="K183" s="31" t="e">
        <f t="shared" si="48"/>
        <v>#REF!</v>
      </c>
      <c r="L183" s="31" t="e">
        <f t="shared" si="48"/>
        <v>#REF!</v>
      </c>
      <c r="M183" s="31" t="e">
        <f>ROUND((L183/$E$1),0)</f>
        <v>#REF!</v>
      </c>
      <c r="N183" s="32"/>
      <c r="O183" s="44"/>
      <c r="P183" s="44"/>
      <c r="Q183" s="44"/>
    </row>
    <row r="184" spans="1:24" x14ac:dyDescent="0.25">
      <c r="A184" s="14"/>
      <c r="B184" s="27"/>
      <c r="C184" s="28"/>
      <c r="D184" s="28" t="s">
        <v>9</v>
      </c>
      <c r="E184" s="28"/>
      <c r="F184" s="28"/>
      <c r="G184" s="42" t="e">
        <f>+'Jul-24'!G184+'Aug-24'!G184+'Sep-24'!G184+'Oct-24'!G184+'Nov-24'!G184+'Dec-24'!G184+'Jan-25'!G184+'Feb-25'!G184+#REF!+#REF!+#REF!+'Dec-25'!G184</f>
        <v>#REF!</v>
      </c>
      <c r="H184" s="42" t="e">
        <f>+'Jul-24'!H184+'Aug-24'!H184+'Sep-24'!H184+'Oct-24'!H184+'Nov-24'!H184+'Dec-24'!H184+'Jan-25'!H184+'Feb-25'!H184+#REF!+#REF!+#REF!+'Dec-25'!H184</f>
        <v>#REF!</v>
      </c>
      <c r="I184" s="42" t="e">
        <f>+'Jul-24'!I184+'Aug-24'!I184+'Sep-24'!I184+'Oct-24'!I184+'Nov-24'!I184+'Dec-24'!I184+'Jan-25'!I184+'Feb-25'!I184+#REF!+#REF!+#REF!+'Dec-25'!I184</f>
        <v>#REF!</v>
      </c>
      <c r="J184" s="42" t="e">
        <f>+'Jul-24'!J184+'Aug-24'!J184+'Sep-24'!J184+'Oct-24'!J184+'Nov-24'!J184+'Dec-24'!J184+'Jan-25'!J184+'Feb-25'!J184+#REF!+#REF!+#REF!+'Dec-25'!J184</f>
        <v>#REF!</v>
      </c>
      <c r="K184" s="42" t="e">
        <f>+'Jul-24'!K184+'Aug-24'!K184+'Sep-24'!K184+'Oct-24'!K184+'Nov-24'!K184+'Dec-24'!K184+'Jan-25'!K184+'Feb-25'!K184+#REF!+#REF!+#REF!+'Dec-25'!K184</f>
        <v>#REF!</v>
      </c>
      <c r="L184" s="35" t="e">
        <f>SUM(G184:K184)</f>
        <v>#REF!</v>
      </c>
      <c r="M184" s="35" t="e">
        <f t="shared" ref="M184:M192" si="49">ROUND((L184/$E$1),0)</f>
        <v>#REF!</v>
      </c>
      <c r="N184" s="32"/>
      <c r="O184" s="44"/>
      <c r="P184" s="44"/>
      <c r="Q184" s="44"/>
    </row>
    <row r="185" spans="1:24" x14ac:dyDescent="0.25">
      <c r="A185" s="14"/>
      <c r="B185" s="27"/>
      <c r="C185" s="28"/>
      <c r="D185" s="28" t="s">
        <v>10</v>
      </c>
      <c r="E185" s="28"/>
      <c r="F185" s="28"/>
      <c r="G185" s="42" t="e">
        <f>+'Jul-24'!G185+'Aug-24'!G185+'Sep-24'!G185+'Oct-24'!G185+'Nov-24'!G185+'Dec-24'!G185+'Jan-25'!G185+'Feb-25'!G185+#REF!+#REF!+#REF!+'Dec-25'!G185</f>
        <v>#REF!</v>
      </c>
      <c r="H185" s="42" t="e">
        <f>+'Jul-24'!H185+'Aug-24'!H185+'Sep-24'!H185+'Oct-24'!H185+'Nov-24'!H185+'Dec-24'!H185+'Jan-25'!H185+'Feb-25'!H185+#REF!+#REF!+#REF!+'Dec-25'!H185</f>
        <v>#REF!</v>
      </c>
      <c r="I185" s="42" t="e">
        <f>+'Jul-24'!I185+'Aug-24'!I185+'Sep-24'!I185+'Oct-24'!I185+'Nov-24'!I185+'Dec-24'!I185+'Jan-25'!I185+'Feb-25'!I185+#REF!+#REF!+#REF!+'Dec-25'!I185</f>
        <v>#REF!</v>
      </c>
      <c r="J185" s="42" t="e">
        <f>+'Jul-24'!J185+'Aug-24'!J185+'Sep-24'!J185+'Oct-24'!J185+'Nov-24'!J185+'Dec-24'!J185+'Jan-25'!J185+'Feb-25'!J185+#REF!+#REF!+#REF!+'Dec-25'!J185</f>
        <v>#REF!</v>
      </c>
      <c r="K185" s="42" t="e">
        <f>+'Jul-24'!K185+'Aug-24'!K185+'Sep-24'!K185+'Oct-24'!K185+'Nov-24'!K185+'Dec-24'!K185+'Jan-25'!K185+'Feb-25'!K185+#REF!+#REF!+#REF!+'Dec-25'!K185</f>
        <v>#REF!</v>
      </c>
      <c r="L185" s="35" t="e">
        <f t="shared" ref="L185:L192" si="50">SUM(G185:K185)</f>
        <v>#REF!</v>
      </c>
      <c r="M185" s="35" t="e">
        <f t="shared" si="49"/>
        <v>#REF!</v>
      </c>
      <c r="N185" s="32"/>
      <c r="O185" s="44"/>
      <c r="P185" s="44"/>
      <c r="Q185" s="44"/>
    </row>
    <row r="186" spans="1:24" x14ac:dyDescent="0.25">
      <c r="A186" s="14"/>
      <c r="B186" s="27"/>
      <c r="C186" s="28"/>
      <c r="D186" s="28" t="s">
        <v>11</v>
      </c>
      <c r="E186" s="28"/>
      <c r="F186" s="28"/>
      <c r="G186" s="42" t="e">
        <f>+'Jul-24'!G186+'Aug-24'!G186+'Sep-24'!G186+'Oct-24'!G186+'Nov-24'!G186+'Dec-24'!G186+'Jan-25'!G186+'Feb-25'!G186+#REF!+#REF!+#REF!+'Dec-25'!G186</f>
        <v>#REF!</v>
      </c>
      <c r="H186" s="42" t="e">
        <f>+'Jul-24'!H186+'Aug-24'!H186+'Sep-24'!H186+'Oct-24'!H186+'Nov-24'!H186+'Dec-24'!H186+'Jan-25'!H186+'Feb-25'!H186+#REF!+#REF!+#REF!+'Dec-25'!H186</f>
        <v>#REF!</v>
      </c>
      <c r="I186" s="42" t="e">
        <f>+'Jul-24'!I186+'Aug-24'!I186+'Sep-24'!I186+'Oct-24'!I186+'Nov-24'!I186+'Dec-24'!I186+'Jan-25'!I186+'Feb-25'!I186+#REF!+#REF!+#REF!+'Dec-25'!I186</f>
        <v>#REF!</v>
      </c>
      <c r="J186" s="42" t="e">
        <f>+'Jul-24'!J186+'Aug-24'!J186+'Sep-24'!J186+'Oct-24'!J186+'Nov-24'!J186+'Dec-24'!J186+'Jan-25'!J186+'Feb-25'!J186+#REF!+#REF!+#REF!+'Dec-25'!J186</f>
        <v>#REF!</v>
      </c>
      <c r="K186" s="42" t="e">
        <f>+'Jul-24'!K186+'Aug-24'!K186+'Sep-24'!K186+'Oct-24'!K186+'Nov-24'!K186+'Dec-24'!K186+'Jan-25'!K186+'Feb-25'!K186+#REF!+#REF!+#REF!+'Dec-25'!K186</f>
        <v>#REF!</v>
      </c>
      <c r="L186" s="35" t="e">
        <f t="shared" si="50"/>
        <v>#REF!</v>
      </c>
      <c r="M186" s="35" t="e">
        <f t="shared" si="49"/>
        <v>#REF!</v>
      </c>
      <c r="N186" s="32"/>
      <c r="O186" s="44"/>
      <c r="P186" s="44"/>
      <c r="Q186" s="44"/>
    </row>
    <row r="187" spans="1:24" x14ac:dyDescent="0.25">
      <c r="A187" s="14"/>
      <c r="B187" s="27"/>
      <c r="C187" s="28"/>
      <c r="D187" s="28" t="s">
        <v>12</v>
      </c>
      <c r="E187" s="28"/>
      <c r="F187" s="28"/>
      <c r="G187" s="43" t="e">
        <f>+'Jul-24'!G187+'Aug-24'!G187+'Sep-24'!G187+'Oct-24'!G187+'Nov-24'!G187+'Dec-24'!G187+'Jan-25'!G187+'Feb-25'!G187+#REF!+#REF!+#REF!+'Dec-25'!G187</f>
        <v>#REF!</v>
      </c>
      <c r="H187" s="43" t="e">
        <f>+'Jul-24'!H187+'Aug-24'!H187+'Sep-24'!H187+'Oct-24'!H187+'Nov-24'!H187+'Dec-24'!H187+'Jan-25'!H187+'Feb-25'!H187+#REF!+#REF!+#REF!+'Dec-25'!H187</f>
        <v>#REF!</v>
      </c>
      <c r="I187" s="43" t="e">
        <f>+'Jul-24'!I187+'Aug-24'!I187+'Sep-24'!I187+'Oct-24'!I187+'Nov-24'!I187+'Dec-24'!I187+'Jan-25'!I187+'Feb-25'!I187+#REF!+#REF!+#REF!+'Dec-25'!I187</f>
        <v>#REF!</v>
      </c>
      <c r="J187" s="43" t="e">
        <f>+'Jul-24'!J187+'Aug-24'!J187+'Sep-24'!J187+'Oct-24'!J187+'Nov-24'!J187+'Dec-24'!J187+'Jan-25'!J187+'Feb-25'!J187+#REF!+#REF!+#REF!+'Dec-25'!J187</f>
        <v>#REF!</v>
      </c>
      <c r="K187" s="43" t="e">
        <f>+'Jul-24'!K187+'Aug-24'!K187+'Sep-24'!K187+'Oct-24'!K187+'Nov-24'!K187+'Dec-24'!K187+'Jan-25'!K187+'Feb-25'!K187+#REF!+#REF!+#REF!+'Dec-25'!K187</f>
        <v>#REF!</v>
      </c>
      <c r="L187" s="31" t="e">
        <f t="shared" si="50"/>
        <v>#REF!</v>
      </c>
      <c r="M187" s="31" t="e">
        <f t="shared" si="49"/>
        <v>#REF!</v>
      </c>
      <c r="N187" s="32"/>
      <c r="O187" s="44"/>
      <c r="P187" s="44"/>
      <c r="Q187" s="44"/>
    </row>
    <row r="188" spans="1:24" x14ac:dyDescent="0.25">
      <c r="A188" s="14"/>
      <c r="B188" s="27"/>
      <c r="C188" s="28" t="s">
        <v>13</v>
      </c>
      <c r="D188" s="28"/>
      <c r="E188" s="28"/>
      <c r="F188" s="28"/>
      <c r="G188" s="42" t="e">
        <f>+'Jul-24'!G188+'Aug-24'!G188+'Sep-24'!G188+'Oct-24'!G188+'Nov-24'!G188+'Dec-24'!G188+'Jan-25'!G188+'Feb-25'!G188+#REF!+#REF!+#REF!+'Dec-25'!G188</f>
        <v>#REF!</v>
      </c>
      <c r="H188" s="42" t="e">
        <f>+'Jul-24'!H188+'Aug-24'!H188+'Sep-24'!H188+'Oct-24'!H188+'Nov-24'!H188+'Dec-24'!H188+'Jan-25'!H188+'Feb-25'!H188+#REF!+#REF!+#REF!+'Dec-25'!H188</f>
        <v>#REF!</v>
      </c>
      <c r="I188" s="42" t="e">
        <f>+'Jul-24'!I188+'Aug-24'!I188+'Sep-24'!I188+'Oct-24'!I188+'Nov-24'!I188+'Dec-24'!I188+'Jan-25'!I188+'Feb-25'!I188+#REF!+#REF!+#REF!+'Dec-25'!I188</f>
        <v>#REF!</v>
      </c>
      <c r="J188" s="42" t="e">
        <f>+'Jul-24'!J188+'Aug-24'!J188+'Sep-24'!J188+'Oct-24'!J188+'Nov-24'!J188+'Dec-24'!J188+'Jan-25'!J188+'Feb-25'!J188+#REF!+#REF!+#REF!+'Dec-25'!J188</f>
        <v>#REF!</v>
      </c>
      <c r="K188" s="42" t="e">
        <f>+'Jul-24'!K188+'Aug-24'!K188+'Sep-24'!K188+'Oct-24'!K188+'Nov-24'!K188+'Dec-24'!K188+'Jan-25'!K188+'Feb-25'!K188+#REF!+#REF!+#REF!+'Dec-25'!K188</f>
        <v>#REF!</v>
      </c>
      <c r="L188" s="35" t="e">
        <f t="shared" si="50"/>
        <v>#REF!</v>
      </c>
      <c r="M188" s="35" t="e">
        <f t="shared" si="49"/>
        <v>#REF!</v>
      </c>
      <c r="N188" s="32"/>
      <c r="O188" s="44"/>
      <c r="P188" s="44"/>
      <c r="Q188" s="44"/>
    </row>
    <row r="189" spans="1:24" x14ac:dyDescent="0.25">
      <c r="A189" s="14"/>
      <c r="B189" s="27"/>
      <c r="C189" s="28" t="s">
        <v>14</v>
      </c>
      <c r="D189" s="28"/>
      <c r="E189" s="28"/>
      <c r="F189" s="28"/>
      <c r="G189" s="42" t="e">
        <f>+'Jul-24'!G189+'Aug-24'!G189+'Sep-24'!G189+'Oct-24'!G189+'Nov-24'!G189+'Dec-24'!G189+'Jan-25'!G189+'Feb-25'!G189+#REF!+#REF!+#REF!+'Dec-25'!G189</f>
        <v>#REF!</v>
      </c>
      <c r="H189" s="42" t="e">
        <f>+'Jul-24'!H189+'Aug-24'!H189+'Sep-24'!H189+'Oct-24'!H189+'Nov-24'!H189+'Dec-24'!H189+'Jan-25'!H189+'Feb-25'!H189+#REF!+#REF!+#REF!+'Dec-25'!H189</f>
        <v>#REF!</v>
      </c>
      <c r="I189" s="42" t="e">
        <f>+'Jul-24'!I189+'Aug-24'!I189+'Sep-24'!I189+'Oct-24'!I189+'Nov-24'!I189+'Dec-24'!I189+'Jan-25'!I189+'Feb-25'!I189+#REF!+#REF!+#REF!+'Dec-25'!I189</f>
        <v>#REF!</v>
      </c>
      <c r="J189" s="42" t="e">
        <f>+'Jul-24'!J189+'Aug-24'!J189+'Sep-24'!J189+'Oct-24'!J189+'Nov-24'!J189+'Dec-24'!J189+'Jan-25'!J189+'Feb-25'!J189+#REF!+#REF!+#REF!+'Dec-25'!J189</f>
        <v>#REF!</v>
      </c>
      <c r="K189" s="42" t="e">
        <f>+'Jul-24'!K189+'Aug-24'!K189+'Sep-24'!K189+'Oct-24'!K189+'Nov-24'!K189+'Dec-24'!K189+'Jan-25'!K189+'Feb-25'!K189+#REF!+#REF!+#REF!+'Dec-25'!K189</f>
        <v>#REF!</v>
      </c>
      <c r="L189" s="35" t="e">
        <f t="shared" si="50"/>
        <v>#REF!</v>
      </c>
      <c r="M189" s="35" t="e">
        <f t="shared" si="49"/>
        <v>#REF!</v>
      </c>
      <c r="N189" s="32"/>
      <c r="O189" s="44"/>
      <c r="P189" s="44"/>
      <c r="Q189" s="44"/>
    </row>
    <row r="190" spans="1:24" x14ac:dyDescent="0.25">
      <c r="A190" s="14"/>
      <c r="B190" s="27"/>
      <c r="C190" s="28" t="s">
        <v>4</v>
      </c>
      <c r="D190" s="28"/>
      <c r="E190" s="28"/>
      <c r="F190" s="28"/>
      <c r="G190" s="42" t="e">
        <f>+'Jul-24'!G190+'Aug-24'!G190+'Sep-24'!G190+'Oct-24'!G190+'Nov-24'!G190+'Dec-24'!G190+'Jan-25'!G190+'Feb-25'!G190+#REF!+#REF!+#REF!+'Dec-25'!G190</f>
        <v>#REF!</v>
      </c>
      <c r="H190" s="42" t="e">
        <f>+'Jul-24'!H190+'Aug-24'!H190+'Sep-24'!H190+'Oct-24'!H190+'Nov-24'!H190+'Dec-24'!H190+'Jan-25'!H190+'Feb-25'!H190+#REF!+#REF!+#REF!+'Dec-25'!H190</f>
        <v>#REF!</v>
      </c>
      <c r="I190" s="42" t="e">
        <f>+'Jul-24'!I190+'Aug-24'!I190+'Sep-24'!I190+'Oct-24'!I190+'Nov-24'!I190+'Dec-24'!I190+'Jan-25'!I190+'Feb-25'!I190+#REF!+#REF!+#REF!+'Dec-25'!I190</f>
        <v>#REF!</v>
      </c>
      <c r="J190" s="42" t="e">
        <f>+'Jul-24'!J190+'Aug-24'!J190+'Sep-24'!J190+'Oct-24'!J190+'Nov-24'!J190+'Dec-24'!J190+'Jan-25'!J190+'Feb-25'!J190+#REF!+#REF!+#REF!+'Dec-25'!J190</f>
        <v>#REF!</v>
      </c>
      <c r="K190" s="42" t="e">
        <f>+'Jul-24'!K190+'Aug-24'!K190+'Sep-24'!K190+'Oct-24'!K190+'Nov-24'!K190+'Dec-24'!K190+'Jan-25'!K190+'Feb-25'!K190+#REF!+#REF!+#REF!+'Dec-25'!K190</f>
        <v>#REF!</v>
      </c>
      <c r="L190" s="35" t="e">
        <f t="shared" si="50"/>
        <v>#REF!</v>
      </c>
      <c r="M190" s="35" t="e">
        <f t="shared" si="49"/>
        <v>#REF!</v>
      </c>
      <c r="N190" s="32"/>
      <c r="O190" s="44"/>
      <c r="P190" s="44"/>
      <c r="Q190" s="44"/>
    </row>
    <row r="191" spans="1:24" x14ac:dyDescent="0.25">
      <c r="A191" s="14"/>
      <c r="B191" s="27"/>
      <c r="C191" s="28" t="s">
        <v>15</v>
      </c>
      <c r="D191" s="28"/>
      <c r="E191" s="28"/>
      <c r="F191" s="28"/>
      <c r="G191" s="42" t="e">
        <f>+'Jul-24'!G191+'Aug-24'!G191+'Sep-24'!G191+'Oct-24'!G191+'Nov-24'!G191+'Dec-24'!G191+'Jan-25'!G191+'Feb-25'!G191+#REF!+#REF!+#REF!+'Dec-25'!G191</f>
        <v>#REF!</v>
      </c>
      <c r="H191" s="42" t="e">
        <f>+'Jul-24'!H191+'Aug-24'!H191+'Sep-24'!H191+'Oct-24'!H191+'Nov-24'!H191+'Dec-24'!H191+'Jan-25'!H191+'Feb-25'!H191+#REF!+#REF!+#REF!+'Dec-25'!H191</f>
        <v>#REF!</v>
      </c>
      <c r="I191" s="42" t="e">
        <f>+'Jul-24'!I191+'Aug-24'!I191+'Sep-24'!I191+'Oct-24'!I191+'Nov-24'!I191+'Dec-24'!I191+'Jan-25'!I191+'Feb-25'!I191+#REF!+#REF!+#REF!+'Dec-25'!I191</f>
        <v>#REF!</v>
      </c>
      <c r="J191" s="42" t="e">
        <f>+'Jul-24'!J191+'Aug-24'!J191+'Sep-24'!J191+'Oct-24'!J191+'Nov-24'!J191+'Dec-24'!J191+'Jan-25'!J191+'Feb-25'!J191+#REF!+#REF!+#REF!+'Dec-25'!J191</f>
        <v>#REF!</v>
      </c>
      <c r="K191" s="42" t="e">
        <f>+'Jul-24'!K191+'Aug-24'!K191+'Sep-24'!K191+'Oct-24'!K191+'Nov-24'!K191+'Dec-24'!K191+'Jan-25'!K191+'Feb-25'!K191+#REF!+#REF!+#REF!+'Dec-25'!K191</f>
        <v>#REF!</v>
      </c>
      <c r="L191" s="35" t="e">
        <f t="shared" si="50"/>
        <v>#REF!</v>
      </c>
      <c r="M191" s="35" t="e">
        <f t="shared" si="49"/>
        <v>#REF!</v>
      </c>
      <c r="N191" s="32"/>
      <c r="O191" s="44"/>
      <c r="P191" s="44"/>
      <c r="Q191" s="44"/>
    </row>
    <row r="192" spans="1:24" x14ac:dyDescent="0.25">
      <c r="A192" s="14"/>
      <c r="B192" s="27"/>
      <c r="C192" s="28" t="s">
        <v>16</v>
      </c>
      <c r="D192" s="28"/>
      <c r="E192" s="28"/>
      <c r="F192" s="28"/>
      <c r="G192" s="42" t="e">
        <f>+'Jul-24'!G192+'Aug-24'!G192+'Sep-24'!G192+'Oct-24'!G192+'Nov-24'!G192+'Dec-24'!G192+'Jan-25'!G192+'Feb-25'!G192+#REF!+#REF!+#REF!+'Dec-25'!G192</f>
        <v>#REF!</v>
      </c>
      <c r="H192" s="42" t="e">
        <f>+'Jul-24'!H192+'Aug-24'!H192+'Sep-24'!H192+'Oct-24'!H192+'Nov-24'!H192+'Dec-24'!H192+'Jan-25'!H192+'Feb-25'!H192+#REF!+#REF!+#REF!+'Dec-25'!H192</f>
        <v>#REF!</v>
      </c>
      <c r="I192" s="42" t="e">
        <f>+'Jul-24'!I192+'Aug-24'!I192+'Sep-24'!I192+'Oct-24'!I192+'Nov-24'!I192+'Dec-24'!I192+'Jan-25'!I192+'Feb-25'!I192+#REF!+#REF!+#REF!+'Dec-25'!I192</f>
        <v>#REF!</v>
      </c>
      <c r="J192" s="42" t="e">
        <f>+'Jul-24'!J192+'Aug-24'!J192+'Sep-24'!J192+'Oct-24'!J192+'Nov-24'!J192+'Dec-24'!J192+'Jan-25'!J192+'Feb-25'!J192+#REF!+#REF!+#REF!+'Dec-25'!J192</f>
        <v>#REF!</v>
      </c>
      <c r="K192" s="42" t="e">
        <f>+'Jul-24'!K192+'Aug-24'!K192+'Sep-24'!K192+'Oct-24'!K192+'Nov-24'!K192+'Dec-24'!K192+'Jan-25'!K192+'Feb-25'!K192+#REF!+#REF!+#REF!+'Dec-25'!K192</f>
        <v>#REF!</v>
      </c>
      <c r="L192" s="35" t="e">
        <f t="shared" si="50"/>
        <v>#REF!</v>
      </c>
      <c r="M192" s="35" t="e">
        <f t="shared" si="49"/>
        <v>#REF!</v>
      </c>
      <c r="N192" s="32"/>
      <c r="O192" s="44"/>
      <c r="P192" s="44"/>
      <c r="Q192" s="44"/>
    </row>
    <row r="193" spans="1:24" ht="15.75" thickBot="1" x14ac:dyDescent="0.3">
      <c r="A193" s="14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4"/>
      <c r="P193" s="44"/>
      <c r="Q193" s="44"/>
    </row>
    <row r="194" spans="1:24" ht="15.75" thickBot="1" x14ac:dyDescent="0.3">
      <c r="A194" s="14"/>
      <c r="G194" s="33"/>
      <c r="H194" s="33"/>
      <c r="I194" s="33"/>
      <c r="J194" s="33"/>
      <c r="K194" s="33"/>
      <c r="L194" s="33"/>
      <c r="M194" s="33"/>
      <c r="N194" s="33"/>
      <c r="O194" s="44"/>
      <c r="P194" s="44"/>
      <c r="Q194" s="44"/>
    </row>
    <row r="195" spans="1:24" x14ac:dyDescent="0.25">
      <c r="A195" s="4">
        <f>+A179+1</f>
        <v>12</v>
      </c>
      <c r="B195" s="40"/>
      <c r="C195" s="6" t="s">
        <v>28</v>
      </c>
      <c r="D195" s="7"/>
      <c r="E195" s="8"/>
      <c r="F195" s="8"/>
      <c r="G195" s="10">
        <f>+$G$3</f>
        <v>2024</v>
      </c>
      <c r="H195" s="10">
        <f>+G195</f>
        <v>2024</v>
      </c>
      <c r="I195" s="10">
        <f t="shared" ref="I195:M196" si="51">+H195</f>
        <v>2024</v>
      </c>
      <c r="J195" s="10">
        <f t="shared" si="51"/>
        <v>2024</v>
      </c>
      <c r="K195" s="10">
        <f t="shared" si="51"/>
        <v>2024</v>
      </c>
      <c r="L195" s="10">
        <f t="shared" si="51"/>
        <v>2024</v>
      </c>
      <c r="M195" s="10">
        <f t="shared" si="51"/>
        <v>2024</v>
      </c>
      <c r="N195" s="11"/>
      <c r="O195" s="44"/>
      <c r="P195" s="44"/>
      <c r="Q195" s="44"/>
      <c r="S195" s="12" t="str">
        <f>+C195</f>
        <v>Nyathela</v>
      </c>
      <c r="T195" s="13" t="e">
        <f>+L199</f>
        <v>#REF!</v>
      </c>
      <c r="U195" s="13" t="e">
        <f>+L200+L201</f>
        <v>#REF!</v>
      </c>
      <c r="V195" s="13" t="e">
        <f>+L202+L203</f>
        <v>#REF!</v>
      </c>
      <c r="W195" s="13" t="e">
        <f>+L206</f>
        <v>#REF!</v>
      </c>
      <c r="X195" s="13" t="e">
        <f>+L204</f>
        <v>#REF!</v>
      </c>
    </row>
    <row r="196" spans="1:24" x14ac:dyDescent="0.25">
      <c r="A196" s="14"/>
      <c r="B196" s="15"/>
      <c r="C196" s="41" t="str">
        <f>+$C180</f>
        <v>Year to Date 2024/2025</v>
      </c>
      <c r="D196" s="18"/>
      <c r="E196" s="18"/>
      <c r="F196" s="18"/>
      <c r="G196" s="20" t="str">
        <f>+$G$4</f>
        <v>Week</v>
      </c>
      <c r="H196" s="20" t="str">
        <f>+G196</f>
        <v>Week</v>
      </c>
      <c r="I196" s="20" t="str">
        <f t="shared" si="51"/>
        <v>Week</v>
      </c>
      <c r="J196" s="20" t="str">
        <f t="shared" si="51"/>
        <v>Week</v>
      </c>
      <c r="K196" s="20" t="str">
        <f t="shared" si="51"/>
        <v>Week</v>
      </c>
      <c r="L196" s="20" t="str">
        <f t="shared" si="51"/>
        <v>Week</v>
      </c>
      <c r="M196" s="20" t="str">
        <f t="shared" si="51"/>
        <v>Week</v>
      </c>
      <c r="N196" s="21"/>
      <c r="O196" s="44"/>
      <c r="P196" s="44"/>
      <c r="Q196" s="44"/>
    </row>
    <row r="197" spans="1:24" ht="15.75" thickBot="1" x14ac:dyDescent="0.3">
      <c r="A197" s="14"/>
      <c r="B197" s="22"/>
      <c r="C197" s="23"/>
      <c r="D197" s="23"/>
      <c r="E197" s="23"/>
      <c r="F197" s="23"/>
      <c r="G197" s="25">
        <f>+$G$5</f>
        <v>1</v>
      </c>
      <c r="H197" s="25">
        <f>+$H$5</f>
        <v>2</v>
      </c>
      <c r="I197" s="25">
        <f>+$I$5</f>
        <v>3</v>
      </c>
      <c r="J197" s="25">
        <f>+$J$5</f>
        <v>4</v>
      </c>
      <c r="K197" s="25">
        <f>+$K$5</f>
        <v>5</v>
      </c>
      <c r="L197" s="25" t="s">
        <v>6</v>
      </c>
      <c r="M197" s="25" t="s">
        <v>7</v>
      </c>
      <c r="N197" s="26"/>
      <c r="O197" s="44"/>
      <c r="P197" s="44"/>
      <c r="Q197" s="44"/>
    </row>
    <row r="198" spans="1:24" x14ac:dyDescent="0.25">
      <c r="A198" s="14"/>
      <c r="B198" s="27"/>
      <c r="C198" s="28"/>
      <c r="D198" s="28"/>
      <c r="E198" s="28"/>
      <c r="F198" s="28"/>
      <c r="G198" s="29"/>
      <c r="H198" s="29"/>
      <c r="I198" s="29"/>
      <c r="J198" s="29"/>
      <c r="K198" s="28"/>
      <c r="L198" s="28"/>
      <c r="M198" s="28"/>
      <c r="N198" s="30"/>
      <c r="O198" s="44"/>
      <c r="P198" s="44"/>
      <c r="Q198" s="44"/>
    </row>
    <row r="199" spans="1:24" x14ac:dyDescent="0.25">
      <c r="A199" s="14"/>
      <c r="B199" s="27"/>
      <c r="C199" s="28" t="s">
        <v>8</v>
      </c>
      <c r="D199" s="28"/>
      <c r="E199" s="28"/>
      <c r="F199" s="28"/>
      <c r="G199" s="31" t="e">
        <f>SUM(G200:G203)</f>
        <v>#REF!</v>
      </c>
      <c r="H199" s="31" t="e">
        <f t="shared" ref="H199:L199" si="52">SUM(H200:H203)</f>
        <v>#REF!</v>
      </c>
      <c r="I199" s="31" t="e">
        <f t="shared" si="52"/>
        <v>#REF!</v>
      </c>
      <c r="J199" s="31" t="e">
        <f t="shared" si="52"/>
        <v>#REF!</v>
      </c>
      <c r="K199" s="31" t="e">
        <f t="shared" si="52"/>
        <v>#REF!</v>
      </c>
      <c r="L199" s="31" t="e">
        <f t="shared" si="52"/>
        <v>#REF!</v>
      </c>
      <c r="M199" s="31" t="e">
        <f>ROUND((L199/$E$1),0)</f>
        <v>#REF!</v>
      </c>
      <c r="N199" s="32"/>
      <c r="O199" s="44"/>
      <c r="P199" s="44"/>
      <c r="Q199" s="44"/>
    </row>
    <row r="200" spans="1:24" x14ac:dyDescent="0.25">
      <c r="A200" s="14"/>
      <c r="B200" s="27"/>
      <c r="C200" s="28"/>
      <c r="D200" s="28" t="s">
        <v>9</v>
      </c>
      <c r="E200" s="28"/>
      <c r="F200" s="28"/>
      <c r="G200" s="42" t="e">
        <f>+'Jul-24'!G200+'Aug-24'!G200+'Sep-24'!G200+'Oct-24'!G200+'Nov-24'!G200+'Dec-24'!G200+'Jan-25'!G200+'Feb-25'!G200+#REF!+#REF!+#REF!+'Dec-25'!G200</f>
        <v>#REF!</v>
      </c>
      <c r="H200" s="42" t="e">
        <f>+'Jul-24'!H200+'Aug-24'!H200+'Sep-24'!H200+'Oct-24'!H200+'Nov-24'!H200+'Dec-24'!H200+'Jan-25'!H200+'Feb-25'!H200+#REF!+#REF!+#REF!+'Dec-25'!H200</f>
        <v>#REF!</v>
      </c>
      <c r="I200" s="42" t="e">
        <f>+'Jul-24'!I200+'Aug-24'!I200+'Sep-24'!I200+'Oct-24'!I200+'Nov-24'!I200+'Dec-24'!I200+'Jan-25'!I200+'Feb-25'!I200+#REF!+#REF!+#REF!+'Dec-25'!I200</f>
        <v>#REF!</v>
      </c>
      <c r="J200" s="42" t="e">
        <f>+'Jul-24'!J200+'Aug-24'!J200+'Sep-24'!J200+'Oct-24'!J200+'Nov-24'!J200+'Dec-24'!J200+'Jan-25'!J200+'Feb-25'!J200+#REF!+#REF!+#REF!+'Dec-25'!J200</f>
        <v>#REF!</v>
      </c>
      <c r="K200" s="42" t="e">
        <f>+'Jul-24'!K200+'Aug-24'!K200+'Sep-24'!K200+'Oct-24'!K200+'Nov-24'!K200+'Dec-24'!K200+'Jan-25'!K200+'Feb-25'!K200+#REF!+#REF!+#REF!+'Dec-25'!K200</f>
        <v>#REF!</v>
      </c>
      <c r="L200" s="35" t="e">
        <f>SUM(G200:K200)</f>
        <v>#REF!</v>
      </c>
      <c r="M200" s="35" t="e">
        <f t="shared" ref="M200:M208" si="53">ROUND((L200/$E$1),0)</f>
        <v>#REF!</v>
      </c>
      <c r="N200" s="32"/>
      <c r="O200" s="44"/>
      <c r="P200" s="44"/>
      <c r="Q200" s="44"/>
    </row>
    <row r="201" spans="1:24" x14ac:dyDescent="0.25">
      <c r="A201" s="14"/>
      <c r="B201" s="27"/>
      <c r="C201" s="28"/>
      <c r="D201" s="28" t="s">
        <v>10</v>
      </c>
      <c r="E201" s="28"/>
      <c r="F201" s="28"/>
      <c r="G201" s="42" t="e">
        <f>+'Jul-24'!G201+'Aug-24'!G201+'Sep-24'!G201+'Oct-24'!G201+'Nov-24'!G201+'Dec-24'!G201+'Jan-25'!G201+'Feb-25'!G201+#REF!+#REF!+#REF!+'Dec-25'!G201</f>
        <v>#REF!</v>
      </c>
      <c r="H201" s="42" t="e">
        <f>+'Jul-24'!H201+'Aug-24'!H201+'Sep-24'!H201+'Oct-24'!H201+'Nov-24'!H201+'Dec-24'!H201+'Jan-25'!H201+'Feb-25'!H201+#REF!+#REF!+#REF!+'Dec-25'!H201</f>
        <v>#REF!</v>
      </c>
      <c r="I201" s="42" t="e">
        <f>+'Jul-24'!I201+'Aug-24'!I201+'Sep-24'!I201+'Oct-24'!I201+'Nov-24'!I201+'Dec-24'!I201+'Jan-25'!I201+'Feb-25'!I201+#REF!+#REF!+#REF!+'Dec-25'!I201</f>
        <v>#REF!</v>
      </c>
      <c r="J201" s="42" t="e">
        <f>+'Jul-24'!J201+'Aug-24'!J201+'Sep-24'!J201+'Oct-24'!J201+'Nov-24'!J201+'Dec-24'!J201+'Jan-25'!J201+'Feb-25'!J201+#REF!+#REF!+#REF!+'Dec-25'!J201</f>
        <v>#REF!</v>
      </c>
      <c r="K201" s="42" t="e">
        <f>+'Jul-24'!K201+'Aug-24'!K201+'Sep-24'!K201+'Oct-24'!K201+'Nov-24'!K201+'Dec-24'!K201+'Jan-25'!K201+'Feb-25'!K201+#REF!+#REF!+#REF!+'Dec-25'!K201</f>
        <v>#REF!</v>
      </c>
      <c r="L201" s="35" t="e">
        <f t="shared" ref="L201:L208" si="54">SUM(G201:K201)</f>
        <v>#REF!</v>
      </c>
      <c r="M201" s="35" t="e">
        <f t="shared" si="53"/>
        <v>#REF!</v>
      </c>
      <c r="N201" s="32"/>
      <c r="O201" s="44"/>
      <c r="P201" s="44"/>
      <c r="Q201" s="44"/>
    </row>
    <row r="202" spans="1:24" x14ac:dyDescent="0.25">
      <c r="A202" s="14"/>
      <c r="B202" s="27"/>
      <c r="C202" s="28"/>
      <c r="D202" s="28" t="s">
        <v>11</v>
      </c>
      <c r="E202" s="28"/>
      <c r="F202" s="28"/>
      <c r="G202" s="42" t="e">
        <f>+'Jul-24'!G202+'Aug-24'!G202+'Sep-24'!G202+'Oct-24'!G202+'Nov-24'!G202+'Dec-24'!G202+'Jan-25'!G202+'Feb-25'!G202+#REF!+#REF!+#REF!+'Dec-25'!G202</f>
        <v>#REF!</v>
      </c>
      <c r="H202" s="42" t="e">
        <f>+'Jul-24'!H202+'Aug-24'!H202+'Sep-24'!H202+'Oct-24'!H202+'Nov-24'!H202+'Dec-24'!H202+'Jan-25'!H202+'Feb-25'!H202+#REF!+#REF!+#REF!+'Dec-25'!H202</f>
        <v>#REF!</v>
      </c>
      <c r="I202" s="42" t="e">
        <f>+'Jul-24'!I202+'Aug-24'!I202+'Sep-24'!I202+'Oct-24'!I202+'Nov-24'!I202+'Dec-24'!I202+'Jan-25'!I202+'Feb-25'!I202+#REF!+#REF!+#REF!+'Dec-25'!I202</f>
        <v>#REF!</v>
      </c>
      <c r="J202" s="42" t="e">
        <f>+'Jul-24'!J202+'Aug-24'!J202+'Sep-24'!J202+'Oct-24'!J202+'Nov-24'!J202+'Dec-24'!J202+'Jan-25'!J202+'Feb-25'!J202+#REF!+#REF!+#REF!+'Dec-25'!J202</f>
        <v>#REF!</v>
      </c>
      <c r="K202" s="42" t="e">
        <f>+'Jul-24'!K202+'Aug-24'!K202+'Sep-24'!K202+'Oct-24'!K202+'Nov-24'!K202+'Dec-24'!K202+'Jan-25'!K202+'Feb-25'!K202+#REF!+#REF!+#REF!+'Dec-25'!K202</f>
        <v>#REF!</v>
      </c>
      <c r="L202" s="35" t="e">
        <f t="shared" si="54"/>
        <v>#REF!</v>
      </c>
      <c r="M202" s="35" t="e">
        <f t="shared" si="53"/>
        <v>#REF!</v>
      </c>
      <c r="N202" s="32"/>
      <c r="O202" s="44"/>
      <c r="P202" s="44"/>
      <c r="Q202" s="44"/>
    </row>
    <row r="203" spans="1:24" x14ac:dyDescent="0.25">
      <c r="A203" s="14"/>
      <c r="B203" s="27"/>
      <c r="C203" s="28"/>
      <c r="D203" s="28" t="s">
        <v>12</v>
      </c>
      <c r="E203" s="28"/>
      <c r="F203" s="28"/>
      <c r="G203" s="43" t="e">
        <f>+'Jul-24'!G203+'Aug-24'!G203+'Sep-24'!G203+'Oct-24'!G203+'Nov-24'!G203+'Dec-24'!G203+'Jan-25'!G203+'Feb-25'!G203+#REF!+#REF!+#REF!+'Dec-25'!G203</f>
        <v>#REF!</v>
      </c>
      <c r="H203" s="43" t="e">
        <f>+'Jul-24'!H203+'Aug-24'!H203+'Sep-24'!H203+'Oct-24'!H203+'Nov-24'!H203+'Dec-24'!H203+'Jan-25'!H203+'Feb-25'!H203+#REF!+#REF!+#REF!+'Dec-25'!H203</f>
        <v>#REF!</v>
      </c>
      <c r="I203" s="43" t="e">
        <f>+'Jul-24'!I203+'Aug-24'!I203+'Sep-24'!I203+'Oct-24'!I203+'Nov-24'!I203+'Dec-24'!I203+'Jan-25'!I203+'Feb-25'!I203+#REF!+#REF!+#REF!+'Dec-25'!I203</f>
        <v>#REF!</v>
      </c>
      <c r="J203" s="43" t="e">
        <f>+'Jul-24'!J203+'Aug-24'!J203+'Sep-24'!J203+'Oct-24'!J203+'Nov-24'!J203+'Dec-24'!J203+'Jan-25'!J203+'Feb-25'!J203+#REF!+#REF!+#REF!+'Dec-25'!J203</f>
        <v>#REF!</v>
      </c>
      <c r="K203" s="43" t="e">
        <f>+'Jul-24'!K203+'Aug-24'!K203+'Sep-24'!K203+'Oct-24'!K203+'Nov-24'!K203+'Dec-24'!K203+'Jan-25'!K203+'Feb-25'!K203+#REF!+#REF!+#REF!+'Dec-25'!K203</f>
        <v>#REF!</v>
      </c>
      <c r="L203" s="31" t="e">
        <f t="shared" si="54"/>
        <v>#REF!</v>
      </c>
      <c r="M203" s="31" t="e">
        <f t="shared" si="53"/>
        <v>#REF!</v>
      </c>
      <c r="N203" s="32"/>
      <c r="O203" s="44"/>
      <c r="P203" s="44"/>
      <c r="Q203" s="44"/>
    </row>
    <row r="204" spans="1:24" x14ac:dyDescent="0.25">
      <c r="A204" s="14"/>
      <c r="B204" s="27"/>
      <c r="C204" s="28" t="s">
        <v>13</v>
      </c>
      <c r="D204" s="28"/>
      <c r="E204" s="28"/>
      <c r="F204" s="28"/>
      <c r="G204" s="42" t="e">
        <f>+'Jul-24'!G204+'Aug-24'!G204+'Sep-24'!G204+'Oct-24'!G204+'Nov-24'!G204+'Dec-24'!G204+'Jan-25'!G204+'Feb-25'!G204+#REF!+#REF!+#REF!+'Dec-25'!G204</f>
        <v>#REF!</v>
      </c>
      <c r="H204" s="42" t="e">
        <f>+'Jul-24'!H204+'Aug-24'!H204+'Sep-24'!H204+'Oct-24'!H204+'Nov-24'!H204+'Dec-24'!H204+'Jan-25'!H204+'Feb-25'!H204+#REF!+#REF!+#REF!+'Dec-25'!H204</f>
        <v>#REF!</v>
      </c>
      <c r="I204" s="42" t="e">
        <f>+'Jul-24'!I204+'Aug-24'!I204+'Sep-24'!I204+'Oct-24'!I204+'Nov-24'!I204+'Dec-24'!I204+'Jan-25'!I204+'Feb-25'!I204+#REF!+#REF!+#REF!+'Dec-25'!I204</f>
        <v>#REF!</v>
      </c>
      <c r="J204" s="42" t="e">
        <f>+'Jul-24'!J204+'Aug-24'!J204+'Sep-24'!J204+'Oct-24'!J204+'Nov-24'!J204+'Dec-24'!J204+'Jan-25'!J204+'Feb-25'!J204+#REF!+#REF!+#REF!+'Dec-25'!J204</f>
        <v>#REF!</v>
      </c>
      <c r="K204" s="42" t="e">
        <f>+'Jul-24'!K204+'Aug-24'!K204+'Sep-24'!K204+'Oct-24'!K204+'Nov-24'!K204+'Dec-24'!K204+'Jan-25'!K204+'Feb-25'!K204+#REF!+#REF!+#REF!+'Dec-25'!K204</f>
        <v>#REF!</v>
      </c>
      <c r="L204" s="35" t="e">
        <f t="shared" si="54"/>
        <v>#REF!</v>
      </c>
      <c r="M204" s="35" t="e">
        <f t="shared" si="53"/>
        <v>#REF!</v>
      </c>
      <c r="N204" s="32"/>
      <c r="O204" s="44"/>
      <c r="P204" s="44"/>
      <c r="Q204" s="44"/>
    </row>
    <row r="205" spans="1:24" x14ac:dyDescent="0.25">
      <c r="A205" s="14"/>
      <c r="B205" s="27"/>
      <c r="C205" s="28" t="s">
        <v>14</v>
      </c>
      <c r="D205" s="28"/>
      <c r="E205" s="28"/>
      <c r="F205" s="28"/>
      <c r="G205" s="42" t="e">
        <f>+'Jul-24'!G205+'Aug-24'!G205+'Sep-24'!G205+'Oct-24'!G205+'Nov-24'!G205+'Dec-24'!G205+'Jan-25'!G205+'Feb-25'!G205+#REF!+#REF!+#REF!+'Dec-25'!G205</f>
        <v>#REF!</v>
      </c>
      <c r="H205" s="42" t="e">
        <f>+'Jul-24'!H205+'Aug-24'!H205+'Sep-24'!H205+'Oct-24'!H205+'Nov-24'!H205+'Dec-24'!H205+'Jan-25'!H205+'Feb-25'!H205+#REF!+#REF!+#REF!+'Dec-25'!H205</f>
        <v>#REF!</v>
      </c>
      <c r="I205" s="42" t="e">
        <f>+'Jul-24'!I205+'Aug-24'!I205+'Sep-24'!I205+'Oct-24'!I205+'Nov-24'!I205+'Dec-24'!I205+'Jan-25'!I205+'Feb-25'!I205+#REF!+#REF!+#REF!+'Dec-25'!I205</f>
        <v>#REF!</v>
      </c>
      <c r="J205" s="42" t="e">
        <f>+'Jul-24'!J205+'Aug-24'!J205+'Sep-24'!J205+'Oct-24'!J205+'Nov-24'!J205+'Dec-24'!J205+'Jan-25'!J205+'Feb-25'!J205+#REF!+#REF!+#REF!+'Dec-25'!J205</f>
        <v>#REF!</v>
      </c>
      <c r="K205" s="42" t="e">
        <f>+'Jul-24'!K205+'Aug-24'!K205+'Sep-24'!K205+'Oct-24'!K205+'Nov-24'!K205+'Dec-24'!K205+'Jan-25'!K205+'Feb-25'!K205+#REF!+#REF!+#REF!+'Dec-25'!K205</f>
        <v>#REF!</v>
      </c>
      <c r="L205" s="35" t="e">
        <f t="shared" si="54"/>
        <v>#REF!</v>
      </c>
      <c r="M205" s="35" t="e">
        <f t="shared" si="53"/>
        <v>#REF!</v>
      </c>
      <c r="N205" s="32"/>
      <c r="O205" s="44"/>
      <c r="P205" s="44"/>
      <c r="Q205" s="44"/>
    </row>
    <row r="206" spans="1:24" x14ac:dyDescent="0.25">
      <c r="A206" s="14"/>
      <c r="B206" s="27"/>
      <c r="C206" s="28" t="s">
        <v>4</v>
      </c>
      <c r="D206" s="28"/>
      <c r="E206" s="28"/>
      <c r="F206" s="28"/>
      <c r="G206" s="42" t="e">
        <f>+'Jul-24'!G206+'Aug-24'!G206+'Sep-24'!G206+'Oct-24'!G206+'Nov-24'!G206+'Dec-24'!G206+'Jan-25'!G206+'Feb-25'!G206+#REF!+#REF!+#REF!+'Dec-25'!G206</f>
        <v>#REF!</v>
      </c>
      <c r="H206" s="42" t="e">
        <f>+'Jul-24'!H206+'Aug-24'!H206+'Sep-24'!H206+'Oct-24'!H206+'Nov-24'!H206+'Dec-24'!H206+'Jan-25'!H206+'Feb-25'!H206+#REF!+#REF!+#REF!+'Dec-25'!H206</f>
        <v>#REF!</v>
      </c>
      <c r="I206" s="42" t="e">
        <f>+'Jul-24'!I206+'Aug-24'!I206+'Sep-24'!I206+'Oct-24'!I206+'Nov-24'!I206+'Dec-24'!I206+'Jan-25'!I206+'Feb-25'!I206+#REF!+#REF!+#REF!+'Dec-25'!I206</f>
        <v>#REF!</v>
      </c>
      <c r="J206" s="42" t="e">
        <f>+'Jul-24'!J206+'Aug-24'!J206+'Sep-24'!J206+'Oct-24'!J206+'Nov-24'!J206+'Dec-24'!J206+'Jan-25'!J206+'Feb-25'!J206+#REF!+#REF!+#REF!+'Dec-25'!J206</f>
        <v>#REF!</v>
      </c>
      <c r="K206" s="42" t="e">
        <f>+'Jul-24'!K206+'Aug-24'!K206+'Sep-24'!K206+'Oct-24'!K206+'Nov-24'!K206+'Dec-24'!K206+'Jan-25'!K206+'Feb-25'!K206+#REF!+#REF!+#REF!+'Dec-25'!K206</f>
        <v>#REF!</v>
      </c>
      <c r="L206" s="35" t="e">
        <f t="shared" si="54"/>
        <v>#REF!</v>
      </c>
      <c r="M206" s="35" t="e">
        <f t="shared" si="53"/>
        <v>#REF!</v>
      </c>
      <c r="N206" s="32"/>
      <c r="O206" s="44"/>
      <c r="P206" s="44"/>
      <c r="Q206" s="44"/>
    </row>
    <row r="207" spans="1:24" x14ac:dyDescent="0.25">
      <c r="A207" s="14"/>
      <c r="B207" s="27"/>
      <c r="C207" s="28" t="s">
        <v>15</v>
      </c>
      <c r="D207" s="28"/>
      <c r="E207" s="28"/>
      <c r="F207" s="28"/>
      <c r="G207" s="42" t="e">
        <f>+'Jul-24'!G207+'Aug-24'!G207+'Sep-24'!G207+'Oct-24'!G207+'Nov-24'!G207+'Dec-24'!G207+'Jan-25'!G207+'Feb-25'!G207+#REF!+#REF!+#REF!+'Dec-25'!G207</f>
        <v>#REF!</v>
      </c>
      <c r="H207" s="42" t="e">
        <f>+'Jul-24'!H207+'Aug-24'!H207+'Sep-24'!H207+'Oct-24'!H207+'Nov-24'!H207+'Dec-24'!H207+'Jan-25'!H207+'Feb-25'!H207+#REF!+#REF!+#REF!+'Dec-25'!H207</f>
        <v>#REF!</v>
      </c>
      <c r="I207" s="42" t="e">
        <f>+'Jul-24'!I207+'Aug-24'!I207+'Sep-24'!I207+'Oct-24'!I207+'Nov-24'!I207+'Dec-24'!I207+'Jan-25'!I207+'Feb-25'!I207+#REF!+#REF!+#REF!+'Dec-25'!I207</f>
        <v>#REF!</v>
      </c>
      <c r="J207" s="42" t="e">
        <f>+'Jul-24'!J207+'Aug-24'!J207+'Sep-24'!J207+'Oct-24'!J207+'Nov-24'!J207+'Dec-24'!J207+'Jan-25'!J207+'Feb-25'!J207+#REF!+#REF!+#REF!+'Dec-25'!J207</f>
        <v>#REF!</v>
      </c>
      <c r="K207" s="42" t="e">
        <f>+'Jul-24'!K207+'Aug-24'!K207+'Sep-24'!K207+'Oct-24'!K207+'Nov-24'!K207+'Dec-24'!K207+'Jan-25'!K207+'Feb-25'!K207+#REF!+#REF!+#REF!+'Dec-25'!K207</f>
        <v>#REF!</v>
      </c>
      <c r="L207" s="35" t="e">
        <f t="shared" si="54"/>
        <v>#REF!</v>
      </c>
      <c r="M207" s="35" t="e">
        <f t="shared" si="53"/>
        <v>#REF!</v>
      </c>
      <c r="N207" s="32"/>
      <c r="O207" s="44"/>
      <c r="P207" s="44"/>
      <c r="Q207" s="44"/>
    </row>
    <row r="208" spans="1:24" x14ac:dyDescent="0.25">
      <c r="A208" s="14"/>
      <c r="B208" s="27"/>
      <c r="C208" s="28" t="s">
        <v>16</v>
      </c>
      <c r="D208" s="28"/>
      <c r="E208" s="28"/>
      <c r="F208" s="28"/>
      <c r="G208" s="42" t="e">
        <f>+'Jul-24'!G208+'Aug-24'!G208+'Sep-24'!G208+'Oct-24'!G208+'Nov-24'!G208+'Dec-24'!G208+'Jan-25'!G208+'Feb-25'!G208+#REF!+#REF!+#REF!+'Dec-25'!G208</f>
        <v>#REF!</v>
      </c>
      <c r="H208" s="42" t="e">
        <f>+'Jul-24'!H208+'Aug-24'!H208+'Sep-24'!H208+'Oct-24'!H208+'Nov-24'!H208+'Dec-24'!H208+'Jan-25'!H208+'Feb-25'!H208+#REF!+#REF!+#REF!+'Dec-25'!H208</f>
        <v>#REF!</v>
      </c>
      <c r="I208" s="42" t="e">
        <f>+'Jul-24'!I208+'Aug-24'!I208+'Sep-24'!I208+'Oct-24'!I208+'Nov-24'!I208+'Dec-24'!I208+'Jan-25'!I208+'Feb-25'!I208+#REF!+#REF!+#REF!+'Dec-25'!I208</f>
        <v>#REF!</v>
      </c>
      <c r="J208" s="42" t="e">
        <f>+'Jul-24'!J208+'Aug-24'!J208+'Sep-24'!J208+'Oct-24'!J208+'Nov-24'!J208+'Dec-24'!J208+'Jan-25'!J208+'Feb-25'!J208+#REF!+#REF!+#REF!+'Dec-25'!J208</f>
        <v>#REF!</v>
      </c>
      <c r="K208" s="42" t="e">
        <f>+'Jul-24'!K208+'Aug-24'!K208+'Sep-24'!K208+'Oct-24'!K208+'Nov-24'!K208+'Dec-24'!K208+'Jan-25'!K208+'Feb-25'!K208+#REF!+#REF!+#REF!+'Dec-25'!K208</f>
        <v>#REF!</v>
      </c>
      <c r="L208" s="35" t="e">
        <f t="shared" si="54"/>
        <v>#REF!</v>
      </c>
      <c r="M208" s="35" t="e">
        <f t="shared" si="53"/>
        <v>#REF!</v>
      </c>
      <c r="N208" s="32"/>
      <c r="O208" s="44"/>
      <c r="P208" s="44"/>
      <c r="Q208" s="44"/>
    </row>
    <row r="209" spans="1:24" ht="15.75" thickBot="1" x14ac:dyDescent="0.3">
      <c r="A209" s="14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4"/>
      <c r="P209" s="44"/>
      <c r="Q209" s="44"/>
    </row>
    <row r="210" spans="1:24" ht="15.75" thickBot="1" x14ac:dyDescent="0.3"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1:24" x14ac:dyDescent="0.25">
      <c r="A211" s="4">
        <f>+A195+1</f>
        <v>13</v>
      </c>
      <c r="B211" s="40"/>
      <c r="C211" s="6" t="s">
        <v>29</v>
      </c>
      <c r="D211" s="7"/>
      <c r="E211" s="8"/>
      <c r="F211" s="8"/>
      <c r="G211" s="10">
        <f>+$G$3</f>
        <v>2024</v>
      </c>
      <c r="H211" s="10">
        <f>+G211</f>
        <v>2024</v>
      </c>
      <c r="I211" s="10">
        <f t="shared" ref="I211:M212" si="55">+H211</f>
        <v>2024</v>
      </c>
      <c r="J211" s="10">
        <f t="shared" si="55"/>
        <v>2024</v>
      </c>
      <c r="K211" s="10">
        <f t="shared" si="55"/>
        <v>2024</v>
      </c>
      <c r="L211" s="10">
        <f t="shared" si="55"/>
        <v>2024</v>
      </c>
      <c r="M211" s="10">
        <f t="shared" si="55"/>
        <v>2024</v>
      </c>
      <c r="N211" s="11"/>
      <c r="O211" s="44"/>
      <c r="P211" s="44"/>
      <c r="Q211" s="44"/>
      <c r="S211" s="12" t="str">
        <f>+C211</f>
        <v>Mlindazwe</v>
      </c>
      <c r="T211" s="13" t="e">
        <f>+L215</f>
        <v>#REF!</v>
      </c>
      <c r="U211" s="13" t="e">
        <f>+L216+L217</f>
        <v>#REF!</v>
      </c>
      <c r="V211" s="13" t="e">
        <f>+L218+L219</f>
        <v>#REF!</v>
      </c>
      <c r="W211" s="13" t="e">
        <f>+L222</f>
        <v>#REF!</v>
      </c>
      <c r="X211" s="13" t="e">
        <f>+L220</f>
        <v>#REF!</v>
      </c>
    </row>
    <row r="212" spans="1:24" x14ac:dyDescent="0.25">
      <c r="A212" s="14"/>
      <c r="B212" s="15"/>
      <c r="C212" s="41" t="str">
        <f>+$C196</f>
        <v>Year to Date 2024/2025</v>
      </c>
      <c r="D212" s="18"/>
      <c r="E212" s="18"/>
      <c r="F212" s="18"/>
      <c r="G212" s="20" t="str">
        <f>+$G$4</f>
        <v>Week</v>
      </c>
      <c r="H212" s="20" t="str">
        <f>+G212</f>
        <v>Week</v>
      </c>
      <c r="I212" s="20" t="str">
        <f t="shared" si="55"/>
        <v>Week</v>
      </c>
      <c r="J212" s="20" t="str">
        <f t="shared" si="55"/>
        <v>Week</v>
      </c>
      <c r="K212" s="20" t="str">
        <f t="shared" si="55"/>
        <v>Week</v>
      </c>
      <c r="L212" s="20" t="str">
        <f t="shared" si="55"/>
        <v>Week</v>
      </c>
      <c r="M212" s="20" t="str">
        <f t="shared" si="55"/>
        <v>Week</v>
      </c>
      <c r="N212" s="21"/>
      <c r="O212" s="44"/>
      <c r="P212" s="44"/>
    </row>
    <row r="213" spans="1:24" ht="15.75" thickBot="1" x14ac:dyDescent="0.3">
      <c r="A213" s="14"/>
      <c r="B213" s="22"/>
      <c r="C213" s="23"/>
      <c r="D213" s="23"/>
      <c r="E213" s="23"/>
      <c r="F213" s="23"/>
      <c r="G213" s="25">
        <f>+$G$5</f>
        <v>1</v>
      </c>
      <c r="H213" s="25">
        <f>+$H$5</f>
        <v>2</v>
      </c>
      <c r="I213" s="25">
        <f>+$I$5</f>
        <v>3</v>
      </c>
      <c r="J213" s="25">
        <f>+$J$5</f>
        <v>4</v>
      </c>
      <c r="K213" s="25">
        <f>+$K$5</f>
        <v>5</v>
      </c>
      <c r="L213" s="25" t="s">
        <v>6</v>
      </c>
      <c r="M213" s="25" t="s">
        <v>7</v>
      </c>
      <c r="N213" s="26"/>
      <c r="O213" s="44"/>
      <c r="P213" s="44"/>
      <c r="Q213" s="44"/>
    </row>
    <row r="214" spans="1:24" x14ac:dyDescent="0.25">
      <c r="A214" s="14"/>
      <c r="B214" s="27"/>
      <c r="C214" s="28"/>
      <c r="D214" s="28"/>
      <c r="E214" s="28"/>
      <c r="F214" s="28"/>
      <c r="G214" s="29"/>
      <c r="H214" s="29"/>
      <c r="I214" s="29"/>
      <c r="J214" s="29"/>
      <c r="K214" s="28"/>
      <c r="L214" s="28"/>
      <c r="M214" s="28"/>
      <c r="N214" s="30"/>
      <c r="O214" s="44"/>
      <c r="P214" s="44"/>
      <c r="Q214" s="44"/>
    </row>
    <row r="215" spans="1:24" x14ac:dyDescent="0.25">
      <c r="A215" s="14"/>
      <c r="B215" s="27"/>
      <c r="C215" s="28" t="s">
        <v>8</v>
      </c>
      <c r="D215" s="28"/>
      <c r="E215" s="28"/>
      <c r="F215" s="28"/>
      <c r="G215" s="31" t="e">
        <f>SUM(G216:G219)</f>
        <v>#REF!</v>
      </c>
      <c r="H215" s="31" t="e">
        <f t="shared" ref="H215:L215" si="56">SUM(H216:H219)</f>
        <v>#REF!</v>
      </c>
      <c r="I215" s="31" t="e">
        <f t="shared" si="56"/>
        <v>#REF!</v>
      </c>
      <c r="J215" s="31" t="e">
        <f t="shared" si="56"/>
        <v>#REF!</v>
      </c>
      <c r="K215" s="31" t="e">
        <f t="shared" si="56"/>
        <v>#REF!</v>
      </c>
      <c r="L215" s="31" t="e">
        <f t="shared" si="56"/>
        <v>#REF!</v>
      </c>
      <c r="M215" s="31" t="e">
        <f>ROUND((L215/$E$1),0)</f>
        <v>#REF!</v>
      </c>
      <c r="N215" s="32"/>
      <c r="O215" s="44"/>
      <c r="P215" s="44"/>
      <c r="Q215" s="44"/>
    </row>
    <row r="216" spans="1:24" x14ac:dyDescent="0.25">
      <c r="A216" s="14"/>
      <c r="B216" s="27"/>
      <c r="C216" s="28"/>
      <c r="D216" s="28" t="s">
        <v>9</v>
      </c>
      <c r="E216" s="28"/>
      <c r="F216" s="28"/>
      <c r="G216" s="42" t="e">
        <f>+'Jul-24'!G216+'Aug-24'!G216+'Sep-24'!G216+'Oct-24'!G216+'Nov-24'!G216+'Dec-24'!G216+'Jan-25'!G216+'Feb-25'!G216+#REF!+#REF!+#REF!+'Dec-25'!G216</f>
        <v>#REF!</v>
      </c>
      <c r="H216" s="42" t="e">
        <f>+'Jul-24'!H216+'Aug-24'!H216+'Sep-24'!H216+'Oct-24'!H216+'Nov-24'!H216+'Dec-24'!H216+'Jan-25'!H216+'Feb-25'!H216+#REF!+#REF!+#REF!+'Dec-25'!H216</f>
        <v>#REF!</v>
      </c>
      <c r="I216" s="42" t="e">
        <f>+'Jul-24'!I216+'Aug-24'!I216+'Sep-24'!I216+'Oct-24'!I216+'Nov-24'!I216+'Dec-24'!I216+'Jan-25'!I216+'Feb-25'!I216+#REF!+#REF!+#REF!+'Dec-25'!I216</f>
        <v>#REF!</v>
      </c>
      <c r="J216" s="42" t="e">
        <f>+'Jul-24'!J216+'Aug-24'!J216+'Sep-24'!J216+'Oct-24'!J216+'Nov-24'!J216+'Dec-24'!J216+'Jan-25'!J216+'Feb-25'!J216+#REF!+#REF!+#REF!+'Dec-25'!J216</f>
        <v>#REF!</v>
      </c>
      <c r="K216" s="42" t="e">
        <f>+'Jul-24'!K216+'Aug-24'!K216+'Sep-24'!K216+'Oct-24'!K216+'Nov-24'!K216+'Dec-24'!K216+'Jan-25'!K216+'Feb-25'!K216+#REF!+#REF!+#REF!+'Dec-25'!K216</f>
        <v>#REF!</v>
      </c>
      <c r="L216" s="35" t="e">
        <f>SUM(G216:K216)</f>
        <v>#REF!</v>
      </c>
      <c r="M216" s="35" t="e">
        <f t="shared" ref="M216:M224" si="57">ROUND((L216/$E$1),0)</f>
        <v>#REF!</v>
      </c>
      <c r="N216" s="32"/>
      <c r="O216" s="44"/>
      <c r="P216" s="44"/>
      <c r="Q216" s="44"/>
    </row>
    <row r="217" spans="1:24" x14ac:dyDescent="0.25">
      <c r="A217" s="14"/>
      <c r="B217" s="27"/>
      <c r="C217" s="28"/>
      <c r="D217" s="28" t="s">
        <v>10</v>
      </c>
      <c r="E217" s="28"/>
      <c r="F217" s="28"/>
      <c r="G217" s="42" t="e">
        <f>+'Jul-24'!G217+'Aug-24'!G217+'Sep-24'!G217+'Oct-24'!G217+'Nov-24'!G217+'Dec-24'!G217+'Jan-25'!G217+'Feb-25'!G217+#REF!+#REF!+#REF!+'Dec-25'!G217</f>
        <v>#REF!</v>
      </c>
      <c r="H217" s="42" t="e">
        <f>+'Jul-24'!H217+'Aug-24'!H217+'Sep-24'!H217+'Oct-24'!H217+'Nov-24'!H217+'Dec-24'!H217+'Jan-25'!H217+'Feb-25'!H217+#REF!+#REF!+#REF!+'Dec-25'!H217</f>
        <v>#REF!</v>
      </c>
      <c r="I217" s="42" t="e">
        <f>+'Jul-24'!I217+'Aug-24'!I217+'Sep-24'!I217+'Oct-24'!I217+'Nov-24'!I217+'Dec-24'!I217+'Jan-25'!I217+'Feb-25'!I217+#REF!+#REF!+#REF!+'Dec-25'!I217</f>
        <v>#REF!</v>
      </c>
      <c r="J217" s="42" t="e">
        <f>+'Jul-24'!J217+'Aug-24'!J217+'Sep-24'!J217+'Oct-24'!J217+'Nov-24'!J217+'Dec-24'!J217+'Jan-25'!J217+'Feb-25'!J217+#REF!+#REF!+#REF!+'Dec-25'!J217</f>
        <v>#REF!</v>
      </c>
      <c r="K217" s="42" t="e">
        <f>+'Jul-24'!K217+'Aug-24'!K217+'Sep-24'!K217+'Oct-24'!K217+'Nov-24'!K217+'Dec-24'!K217+'Jan-25'!K217+'Feb-25'!K217+#REF!+#REF!+#REF!+'Dec-25'!K217</f>
        <v>#REF!</v>
      </c>
      <c r="L217" s="35" t="e">
        <f t="shared" ref="L217:L224" si="58">SUM(G217:K217)</f>
        <v>#REF!</v>
      </c>
      <c r="M217" s="35" t="e">
        <f t="shared" si="57"/>
        <v>#REF!</v>
      </c>
      <c r="N217" s="32"/>
      <c r="O217" s="44"/>
      <c r="P217" s="44"/>
      <c r="Q217" s="44"/>
    </row>
    <row r="218" spans="1:24" x14ac:dyDescent="0.25">
      <c r="A218" s="14"/>
      <c r="B218" s="27"/>
      <c r="C218" s="28"/>
      <c r="D218" s="28" t="s">
        <v>11</v>
      </c>
      <c r="E218" s="28"/>
      <c r="F218" s="28"/>
      <c r="G218" s="42" t="e">
        <f>+'Jul-24'!G218+'Aug-24'!G218+'Sep-24'!G218+'Oct-24'!G218+'Nov-24'!G218+'Dec-24'!G218+'Jan-25'!G218+'Feb-25'!G218+#REF!+#REF!+#REF!+'Dec-25'!G218</f>
        <v>#REF!</v>
      </c>
      <c r="H218" s="42" t="e">
        <f>+'Jul-24'!H218+'Aug-24'!H218+'Sep-24'!H218+'Oct-24'!H218+'Nov-24'!H218+'Dec-24'!H218+'Jan-25'!H218+'Feb-25'!H218+#REF!+#REF!+#REF!+'Dec-25'!H218</f>
        <v>#REF!</v>
      </c>
      <c r="I218" s="42" t="e">
        <f>+'Jul-24'!I218+'Aug-24'!I218+'Sep-24'!I218+'Oct-24'!I218+'Nov-24'!I218+'Dec-24'!I218+'Jan-25'!I218+'Feb-25'!I218+#REF!+#REF!+#REF!+'Dec-25'!I218</f>
        <v>#REF!</v>
      </c>
      <c r="J218" s="42" t="e">
        <f>+'Jul-24'!J218+'Aug-24'!J218+'Sep-24'!J218+'Oct-24'!J218+'Nov-24'!J218+'Dec-24'!J218+'Jan-25'!J218+'Feb-25'!J218+#REF!+#REF!+#REF!+'Dec-25'!J218</f>
        <v>#REF!</v>
      </c>
      <c r="K218" s="42" t="e">
        <f>+'Jul-24'!K218+'Aug-24'!K218+'Sep-24'!K218+'Oct-24'!K218+'Nov-24'!K218+'Dec-24'!K218+'Jan-25'!K218+'Feb-25'!K218+#REF!+#REF!+#REF!+'Dec-25'!K218</f>
        <v>#REF!</v>
      </c>
      <c r="L218" s="35" t="e">
        <f t="shared" si="58"/>
        <v>#REF!</v>
      </c>
      <c r="M218" s="35" t="e">
        <f t="shared" si="57"/>
        <v>#REF!</v>
      </c>
      <c r="N218" s="32"/>
      <c r="O218" s="44"/>
      <c r="P218" s="44"/>
      <c r="Q218" s="44"/>
    </row>
    <row r="219" spans="1:24" x14ac:dyDescent="0.25">
      <c r="A219" s="14"/>
      <c r="B219" s="27"/>
      <c r="C219" s="28"/>
      <c r="D219" s="28" t="s">
        <v>12</v>
      </c>
      <c r="E219" s="28"/>
      <c r="F219" s="28"/>
      <c r="G219" s="43" t="e">
        <f>+'Jul-24'!G219+'Aug-24'!G219+'Sep-24'!G219+'Oct-24'!G219+'Nov-24'!G219+'Dec-24'!G219+'Jan-25'!G219+'Feb-25'!G219+#REF!+#REF!+#REF!+'Dec-25'!G219</f>
        <v>#REF!</v>
      </c>
      <c r="H219" s="43" t="e">
        <f>+'Jul-24'!H219+'Aug-24'!H219+'Sep-24'!H219+'Oct-24'!H219+'Nov-24'!H219+'Dec-24'!H219+'Jan-25'!H219+'Feb-25'!H219+#REF!+#REF!+#REF!+'Dec-25'!H219</f>
        <v>#REF!</v>
      </c>
      <c r="I219" s="43" t="e">
        <f>+'Jul-24'!I219+'Aug-24'!I219+'Sep-24'!I219+'Oct-24'!I219+'Nov-24'!I219+'Dec-24'!I219+'Jan-25'!I219+'Feb-25'!I219+#REF!+#REF!+#REF!+'Dec-25'!I219</f>
        <v>#REF!</v>
      </c>
      <c r="J219" s="43" t="e">
        <f>+'Jul-24'!J219+'Aug-24'!J219+'Sep-24'!J219+'Oct-24'!J219+'Nov-24'!J219+'Dec-24'!J219+'Jan-25'!J219+'Feb-25'!J219+#REF!+#REF!+#REF!+'Dec-25'!J219</f>
        <v>#REF!</v>
      </c>
      <c r="K219" s="43" t="e">
        <f>+'Jul-24'!K219+'Aug-24'!K219+'Sep-24'!K219+'Oct-24'!K219+'Nov-24'!K219+'Dec-24'!K219+'Jan-25'!K219+'Feb-25'!K219+#REF!+#REF!+#REF!+'Dec-25'!K219</f>
        <v>#REF!</v>
      </c>
      <c r="L219" s="31" t="e">
        <f t="shared" si="58"/>
        <v>#REF!</v>
      </c>
      <c r="M219" s="31" t="e">
        <f t="shared" si="57"/>
        <v>#REF!</v>
      </c>
      <c r="N219" s="32"/>
      <c r="O219" s="44"/>
      <c r="P219" s="44"/>
      <c r="Q219" s="44"/>
    </row>
    <row r="220" spans="1:24" x14ac:dyDescent="0.25">
      <c r="A220" s="14"/>
      <c r="B220" s="27"/>
      <c r="C220" s="28" t="s">
        <v>13</v>
      </c>
      <c r="D220" s="28"/>
      <c r="E220" s="28"/>
      <c r="F220" s="28"/>
      <c r="G220" s="42" t="e">
        <f>+'Jul-24'!G220+'Aug-24'!G220+'Sep-24'!G220+'Oct-24'!G220+'Nov-24'!G220+'Dec-24'!G220+'Jan-25'!G220+'Feb-25'!G220+#REF!+#REF!+#REF!+'Dec-25'!G220</f>
        <v>#REF!</v>
      </c>
      <c r="H220" s="42" t="e">
        <f>+'Jul-24'!H220+'Aug-24'!H220+'Sep-24'!H220+'Oct-24'!H220+'Nov-24'!H220+'Dec-24'!H220+'Jan-25'!H220+'Feb-25'!H220+#REF!+#REF!+#REF!+'Dec-25'!H220</f>
        <v>#REF!</v>
      </c>
      <c r="I220" s="42" t="e">
        <f>+'Jul-24'!I220+'Aug-24'!I220+'Sep-24'!I220+'Oct-24'!I220+'Nov-24'!I220+'Dec-24'!I220+'Jan-25'!I220+'Feb-25'!I220+#REF!+#REF!+#REF!+'Dec-25'!I220</f>
        <v>#REF!</v>
      </c>
      <c r="J220" s="42" t="e">
        <f>+'Jul-24'!J220+'Aug-24'!J220+'Sep-24'!J220+'Oct-24'!J220+'Nov-24'!J220+'Dec-24'!J220+'Jan-25'!J220+'Feb-25'!J220+#REF!+#REF!+#REF!+'Dec-25'!J220</f>
        <v>#REF!</v>
      </c>
      <c r="K220" s="42" t="e">
        <f>+'Jul-24'!K220+'Aug-24'!K220+'Sep-24'!K220+'Oct-24'!K220+'Nov-24'!K220+'Dec-24'!K220+'Jan-25'!K220+'Feb-25'!K220+#REF!+#REF!+#REF!+'Dec-25'!K220</f>
        <v>#REF!</v>
      </c>
      <c r="L220" s="35" t="e">
        <f t="shared" si="58"/>
        <v>#REF!</v>
      </c>
      <c r="M220" s="35" t="e">
        <f t="shared" si="57"/>
        <v>#REF!</v>
      </c>
      <c r="N220" s="32"/>
      <c r="O220" s="44"/>
      <c r="P220" s="44"/>
      <c r="Q220" s="44"/>
    </row>
    <row r="221" spans="1:24" x14ac:dyDescent="0.25">
      <c r="A221" s="14"/>
      <c r="B221" s="27"/>
      <c r="C221" s="28" t="s">
        <v>14</v>
      </c>
      <c r="D221" s="28"/>
      <c r="E221" s="28"/>
      <c r="F221" s="28"/>
      <c r="G221" s="42" t="e">
        <f>+'Jul-24'!G221+'Aug-24'!G221+'Sep-24'!G221+'Oct-24'!G221+'Nov-24'!G221+'Dec-24'!G221+'Jan-25'!G221+'Feb-25'!G221+#REF!+#REF!+#REF!+'Dec-25'!G221</f>
        <v>#REF!</v>
      </c>
      <c r="H221" s="42" t="e">
        <f>+'Jul-24'!H221+'Aug-24'!H221+'Sep-24'!H221+'Oct-24'!H221+'Nov-24'!H221+'Dec-24'!H221+'Jan-25'!H221+'Feb-25'!H221+#REF!+#REF!+#REF!+'Dec-25'!H221</f>
        <v>#REF!</v>
      </c>
      <c r="I221" s="42" t="e">
        <f>+'Jul-24'!I221+'Aug-24'!I221+'Sep-24'!I221+'Oct-24'!I221+'Nov-24'!I221+'Dec-24'!I221+'Jan-25'!I221+'Feb-25'!I221+#REF!+#REF!+#REF!+'Dec-25'!I221</f>
        <v>#REF!</v>
      </c>
      <c r="J221" s="42" t="e">
        <f>+'Jul-24'!J221+'Aug-24'!J221+'Sep-24'!J221+'Oct-24'!J221+'Nov-24'!J221+'Dec-24'!J221+'Jan-25'!J221+'Feb-25'!J221+#REF!+#REF!+#REF!+'Dec-25'!J221</f>
        <v>#REF!</v>
      </c>
      <c r="K221" s="42" t="e">
        <f>+'Jul-24'!K221+'Aug-24'!K221+'Sep-24'!K221+'Oct-24'!K221+'Nov-24'!K221+'Dec-24'!K221+'Jan-25'!K221+'Feb-25'!K221+#REF!+#REF!+#REF!+'Dec-25'!K221</f>
        <v>#REF!</v>
      </c>
      <c r="L221" s="35" t="e">
        <f t="shared" si="58"/>
        <v>#REF!</v>
      </c>
      <c r="M221" s="35" t="e">
        <f t="shared" si="57"/>
        <v>#REF!</v>
      </c>
      <c r="N221" s="32"/>
      <c r="O221" s="44"/>
      <c r="P221" s="44"/>
      <c r="Q221" s="44"/>
    </row>
    <row r="222" spans="1:24" x14ac:dyDescent="0.25">
      <c r="A222" s="14"/>
      <c r="B222" s="27"/>
      <c r="C222" s="28" t="s">
        <v>4</v>
      </c>
      <c r="D222" s="28"/>
      <c r="E222" s="28"/>
      <c r="F222" s="28"/>
      <c r="G222" s="42" t="e">
        <f>+'Jul-24'!G222+'Aug-24'!G222+'Sep-24'!G222+'Oct-24'!G222+'Nov-24'!G222+'Dec-24'!G222+'Jan-25'!G222+'Feb-25'!G222+#REF!+#REF!+#REF!+'Dec-25'!G222</f>
        <v>#REF!</v>
      </c>
      <c r="H222" s="42" t="e">
        <f>+'Jul-24'!H222+'Aug-24'!H222+'Sep-24'!H222+'Oct-24'!H222+'Nov-24'!H222+'Dec-24'!H222+'Jan-25'!H222+'Feb-25'!H222+#REF!+#REF!+#REF!+'Dec-25'!H222</f>
        <v>#REF!</v>
      </c>
      <c r="I222" s="42" t="e">
        <f>+'Jul-24'!I222+'Aug-24'!I222+'Sep-24'!I222+'Oct-24'!I222+'Nov-24'!I222+'Dec-24'!I222+'Jan-25'!I222+'Feb-25'!I222+#REF!+#REF!+#REF!+'Dec-25'!I222</f>
        <v>#REF!</v>
      </c>
      <c r="J222" s="42" t="e">
        <f>+'Jul-24'!J222+'Aug-24'!J222+'Sep-24'!J222+'Oct-24'!J222+'Nov-24'!J222+'Dec-24'!J222+'Jan-25'!J222+'Feb-25'!J222+#REF!+#REF!+#REF!+'Dec-25'!J222</f>
        <v>#REF!</v>
      </c>
      <c r="K222" s="42" t="e">
        <f>+'Jul-24'!K222+'Aug-24'!K222+'Sep-24'!K222+'Oct-24'!K222+'Nov-24'!K222+'Dec-24'!K222+'Jan-25'!K222+'Feb-25'!K222+#REF!+#REF!+#REF!+'Dec-25'!K222</f>
        <v>#REF!</v>
      </c>
      <c r="L222" s="35" t="e">
        <f t="shared" si="58"/>
        <v>#REF!</v>
      </c>
      <c r="M222" s="35" t="e">
        <f t="shared" si="57"/>
        <v>#REF!</v>
      </c>
      <c r="N222" s="32"/>
      <c r="O222" s="44"/>
      <c r="P222" s="44"/>
      <c r="Q222" s="44"/>
    </row>
    <row r="223" spans="1:24" x14ac:dyDescent="0.25">
      <c r="A223" s="14"/>
      <c r="B223" s="27"/>
      <c r="C223" s="28" t="s">
        <v>15</v>
      </c>
      <c r="D223" s="28"/>
      <c r="E223" s="28"/>
      <c r="F223" s="28"/>
      <c r="G223" s="42" t="e">
        <f>+'Jul-24'!G223+'Aug-24'!G223+'Sep-24'!G223+'Oct-24'!G223+'Nov-24'!G223+'Dec-24'!G223+'Jan-25'!G223+'Feb-25'!G223+#REF!+#REF!+#REF!+'Dec-25'!G223</f>
        <v>#REF!</v>
      </c>
      <c r="H223" s="42" t="e">
        <f>+'Jul-24'!H223+'Aug-24'!H223+'Sep-24'!H223+'Oct-24'!H223+'Nov-24'!H223+'Dec-24'!H223+'Jan-25'!H223+'Feb-25'!H223+#REF!+#REF!+#REF!+'Dec-25'!H223</f>
        <v>#REF!</v>
      </c>
      <c r="I223" s="42" t="e">
        <f>+'Jul-24'!I223+'Aug-24'!I223+'Sep-24'!I223+'Oct-24'!I223+'Nov-24'!I223+'Dec-24'!I223+'Jan-25'!I223+'Feb-25'!I223+#REF!+#REF!+#REF!+'Dec-25'!I223</f>
        <v>#REF!</v>
      </c>
      <c r="J223" s="42" t="e">
        <f>+'Jul-24'!J223+'Aug-24'!J223+'Sep-24'!J223+'Oct-24'!J223+'Nov-24'!J223+'Dec-24'!J223+'Jan-25'!J223+'Feb-25'!J223+#REF!+#REF!+#REF!+'Dec-25'!J223</f>
        <v>#REF!</v>
      </c>
      <c r="K223" s="42" t="e">
        <f>+'Jul-24'!K223+'Aug-24'!K223+'Sep-24'!K223+'Oct-24'!K223+'Nov-24'!K223+'Dec-24'!K223+'Jan-25'!K223+'Feb-25'!K223+#REF!+#REF!+#REF!+'Dec-25'!K223</f>
        <v>#REF!</v>
      </c>
      <c r="L223" s="35" t="e">
        <f t="shared" si="58"/>
        <v>#REF!</v>
      </c>
      <c r="M223" s="35" t="e">
        <f t="shared" si="57"/>
        <v>#REF!</v>
      </c>
      <c r="N223" s="32"/>
      <c r="O223" s="44"/>
      <c r="P223" s="44"/>
      <c r="Q223" s="44"/>
    </row>
    <row r="224" spans="1:24" x14ac:dyDescent="0.25">
      <c r="A224" s="14"/>
      <c r="B224" s="27"/>
      <c r="C224" s="28" t="s">
        <v>16</v>
      </c>
      <c r="D224" s="28"/>
      <c r="E224" s="28"/>
      <c r="F224" s="28"/>
      <c r="G224" s="42" t="e">
        <f>+'Jul-24'!G224+'Aug-24'!G224+'Sep-24'!G224+'Oct-24'!G224+'Nov-24'!G224+'Dec-24'!G224+'Jan-25'!G224+'Feb-25'!G224+#REF!+#REF!+#REF!+'Dec-25'!G224</f>
        <v>#REF!</v>
      </c>
      <c r="H224" s="42" t="e">
        <f>+'Jul-24'!H224+'Aug-24'!H224+'Sep-24'!H224+'Oct-24'!H224+'Nov-24'!H224+'Dec-24'!H224+'Jan-25'!H224+'Feb-25'!H224+#REF!+#REF!+#REF!+'Dec-25'!H224</f>
        <v>#REF!</v>
      </c>
      <c r="I224" s="42" t="e">
        <f>+'Jul-24'!I224+'Aug-24'!I224+'Sep-24'!I224+'Oct-24'!I224+'Nov-24'!I224+'Dec-24'!I224+'Jan-25'!I224+'Feb-25'!I224+#REF!+#REF!+#REF!+'Dec-25'!I224</f>
        <v>#REF!</v>
      </c>
      <c r="J224" s="42" t="e">
        <f>+'Jul-24'!J224+'Aug-24'!J224+'Sep-24'!J224+'Oct-24'!J224+'Nov-24'!J224+'Dec-24'!J224+'Jan-25'!J224+'Feb-25'!J224+#REF!+#REF!+#REF!+'Dec-25'!J224</f>
        <v>#REF!</v>
      </c>
      <c r="K224" s="42" t="e">
        <f>+'Jul-24'!K224+'Aug-24'!K224+'Sep-24'!K224+'Oct-24'!K224+'Nov-24'!K224+'Dec-24'!K224+'Jan-25'!K224+'Feb-25'!K224+#REF!+#REF!+#REF!+'Dec-25'!K224</f>
        <v>#REF!</v>
      </c>
      <c r="L224" s="35" t="e">
        <f t="shared" si="58"/>
        <v>#REF!</v>
      </c>
      <c r="M224" s="35" t="e">
        <f t="shared" si="57"/>
        <v>#REF!</v>
      </c>
      <c r="N224" s="32"/>
      <c r="O224" s="44"/>
      <c r="P224" s="44"/>
      <c r="Q224" s="44"/>
    </row>
    <row r="225" spans="1:24" ht="15.75" thickBot="1" x14ac:dyDescent="0.3">
      <c r="A225" s="14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4"/>
      <c r="P225" s="44"/>
      <c r="Q225" s="44"/>
    </row>
    <row r="226" spans="1:24" ht="15.75" thickBot="1" x14ac:dyDescent="0.3">
      <c r="A226" s="14"/>
      <c r="G226" s="33"/>
      <c r="H226" s="33"/>
      <c r="I226" s="33"/>
      <c r="J226" s="33"/>
      <c r="K226" s="33"/>
      <c r="L226" s="33"/>
      <c r="M226" s="33"/>
      <c r="N226" s="33"/>
      <c r="O226" s="44"/>
      <c r="P226" s="44"/>
      <c r="Q226" s="44"/>
    </row>
    <row r="227" spans="1:24" x14ac:dyDescent="0.25">
      <c r="A227" s="4">
        <f>+A211+1</f>
        <v>14</v>
      </c>
      <c r="B227" s="5"/>
      <c r="C227" s="6" t="s">
        <v>30</v>
      </c>
      <c r="D227" s="7"/>
      <c r="E227" s="8"/>
      <c r="F227" s="8"/>
      <c r="G227" s="10">
        <f>+$G$3</f>
        <v>2024</v>
      </c>
      <c r="H227" s="10">
        <f>+G227</f>
        <v>2024</v>
      </c>
      <c r="I227" s="10">
        <f t="shared" ref="I227:M228" si="59">+H227</f>
        <v>2024</v>
      </c>
      <c r="J227" s="10">
        <f t="shared" si="59"/>
        <v>2024</v>
      </c>
      <c r="K227" s="10">
        <f t="shared" si="59"/>
        <v>2024</v>
      </c>
      <c r="L227" s="10">
        <f t="shared" si="59"/>
        <v>2024</v>
      </c>
      <c r="M227" s="10">
        <f t="shared" si="59"/>
        <v>2024</v>
      </c>
      <c r="N227" s="11"/>
      <c r="O227" s="44"/>
      <c r="P227" s="44"/>
      <c r="Q227" s="44"/>
      <c r="S227" s="12" t="str">
        <f>+C227</f>
        <v>Lundzi</v>
      </c>
      <c r="T227" s="13" t="e">
        <f>+L231</f>
        <v>#REF!</v>
      </c>
      <c r="U227" s="13" t="e">
        <f>+L232+L233</f>
        <v>#REF!</v>
      </c>
      <c r="V227" s="13" t="e">
        <f>+L234+L235</f>
        <v>#REF!</v>
      </c>
      <c r="W227" s="13" t="e">
        <f>+L238</f>
        <v>#REF!</v>
      </c>
      <c r="X227" s="13" t="e">
        <f>+L236</f>
        <v>#REF!</v>
      </c>
    </row>
    <row r="228" spans="1:24" x14ac:dyDescent="0.25">
      <c r="A228" s="14"/>
      <c r="B228" s="15"/>
      <c r="C228" s="41" t="str">
        <f>+$C212</f>
        <v>Year to Date 2024/2025</v>
      </c>
      <c r="D228" s="18"/>
      <c r="E228" s="18"/>
      <c r="F228" s="18"/>
      <c r="G228" s="20" t="str">
        <f>+$G$4</f>
        <v>Week</v>
      </c>
      <c r="H228" s="20" t="str">
        <f>+G228</f>
        <v>Week</v>
      </c>
      <c r="I228" s="20" t="str">
        <f t="shared" si="59"/>
        <v>Week</v>
      </c>
      <c r="J228" s="20" t="str">
        <f t="shared" si="59"/>
        <v>Week</v>
      </c>
      <c r="K228" s="20" t="str">
        <f t="shared" si="59"/>
        <v>Week</v>
      </c>
      <c r="L228" s="20" t="str">
        <f t="shared" si="59"/>
        <v>Week</v>
      </c>
      <c r="M228" s="20" t="str">
        <f t="shared" si="59"/>
        <v>Week</v>
      </c>
      <c r="N228" s="21"/>
      <c r="O228" s="44"/>
      <c r="P228" s="44"/>
      <c r="Q228" s="44"/>
    </row>
    <row r="229" spans="1:24" ht="15.75" thickBot="1" x14ac:dyDescent="0.3">
      <c r="A229" s="14"/>
      <c r="B229" s="22"/>
      <c r="C229" s="23"/>
      <c r="D229" s="23"/>
      <c r="E229" s="23"/>
      <c r="F229" s="23"/>
      <c r="G229" s="25">
        <f>+$G$5</f>
        <v>1</v>
      </c>
      <c r="H229" s="25">
        <f>+$H$5</f>
        <v>2</v>
      </c>
      <c r="I229" s="25">
        <f>+$I$5</f>
        <v>3</v>
      </c>
      <c r="J229" s="25">
        <f>+$J$5</f>
        <v>4</v>
      </c>
      <c r="K229" s="25">
        <f>+$K$5</f>
        <v>5</v>
      </c>
      <c r="L229" s="25" t="s">
        <v>6</v>
      </c>
      <c r="M229" s="25" t="s">
        <v>7</v>
      </c>
      <c r="N229" s="26"/>
      <c r="O229" s="44"/>
      <c r="P229" s="44"/>
      <c r="Q229" s="44"/>
    </row>
    <row r="230" spans="1:24" x14ac:dyDescent="0.25">
      <c r="A230" s="14"/>
      <c r="B230" s="27"/>
      <c r="C230" s="28"/>
      <c r="D230" s="28"/>
      <c r="E230" s="28"/>
      <c r="F230" s="28"/>
      <c r="G230" s="29"/>
      <c r="H230" s="29"/>
      <c r="I230" s="29"/>
      <c r="J230" s="29"/>
      <c r="K230" s="28"/>
      <c r="L230" s="28"/>
      <c r="M230" s="28"/>
      <c r="N230" s="30"/>
      <c r="O230" s="44"/>
      <c r="P230" s="44"/>
      <c r="Q230" s="44"/>
    </row>
    <row r="231" spans="1:24" x14ac:dyDescent="0.25">
      <c r="A231" s="14"/>
      <c r="B231" s="27"/>
      <c r="C231" s="28" t="s">
        <v>8</v>
      </c>
      <c r="D231" s="28"/>
      <c r="E231" s="28"/>
      <c r="F231" s="28"/>
      <c r="G231" s="31" t="e">
        <f>SUM(G232:G235)</f>
        <v>#REF!</v>
      </c>
      <c r="H231" s="31" t="e">
        <f t="shared" ref="H231:L231" si="60">SUM(H232:H235)</f>
        <v>#REF!</v>
      </c>
      <c r="I231" s="31" t="e">
        <f t="shared" si="60"/>
        <v>#REF!</v>
      </c>
      <c r="J231" s="31" t="e">
        <f t="shared" si="60"/>
        <v>#REF!</v>
      </c>
      <c r="K231" s="31" t="e">
        <f t="shared" si="60"/>
        <v>#REF!</v>
      </c>
      <c r="L231" s="31" t="e">
        <f t="shared" si="60"/>
        <v>#REF!</v>
      </c>
      <c r="M231" s="31" t="e">
        <f>ROUND((L231/$E$1),0)</f>
        <v>#REF!</v>
      </c>
      <c r="N231" s="32"/>
      <c r="O231" s="44"/>
      <c r="P231" s="44"/>
      <c r="Q231" s="44"/>
    </row>
    <row r="232" spans="1:24" x14ac:dyDescent="0.25">
      <c r="A232" s="14"/>
      <c r="B232" s="27"/>
      <c r="C232" s="28"/>
      <c r="D232" s="28" t="s">
        <v>9</v>
      </c>
      <c r="E232" s="28"/>
      <c r="F232" s="28"/>
      <c r="G232" s="42" t="e">
        <f>+'Jul-24'!G232+'Aug-24'!G232+'Sep-24'!G232+'Oct-24'!G232+'Nov-24'!G232+'Dec-24'!G232+'Jan-25'!G232+'Feb-25'!G232+#REF!+#REF!+#REF!+'Dec-25'!G232</f>
        <v>#REF!</v>
      </c>
      <c r="H232" s="42" t="e">
        <f>+'Jul-24'!H232+'Aug-24'!H232+'Sep-24'!H232+'Oct-24'!H232+'Nov-24'!H232+'Dec-24'!H232+'Jan-25'!H232+'Feb-25'!H232+#REF!+#REF!+#REF!+'Dec-25'!H232</f>
        <v>#REF!</v>
      </c>
      <c r="I232" s="42" t="e">
        <f>+'Jul-24'!I232+'Aug-24'!I232+'Sep-24'!I232+'Oct-24'!I232+'Nov-24'!I232+'Dec-24'!I232+'Jan-25'!I232+'Feb-25'!I232+#REF!+#REF!+#REF!+'Dec-25'!I232</f>
        <v>#REF!</v>
      </c>
      <c r="J232" s="42" t="e">
        <f>+'Jul-24'!J232+'Aug-24'!J232+'Sep-24'!J232+'Oct-24'!J232+'Nov-24'!J232+'Dec-24'!J232+'Jan-25'!J232+'Feb-25'!J232+#REF!+#REF!+#REF!+'Dec-25'!J232</f>
        <v>#REF!</v>
      </c>
      <c r="K232" s="42" t="e">
        <f>+'Jul-24'!K232+'Aug-24'!K232+'Sep-24'!K232+'Oct-24'!K232+'Nov-24'!K232+'Dec-24'!K232+'Jan-25'!K232+'Feb-25'!K232+#REF!+#REF!+#REF!+'Dec-25'!K232</f>
        <v>#REF!</v>
      </c>
      <c r="L232" s="35" t="e">
        <f>SUM(G232:K232)</f>
        <v>#REF!</v>
      </c>
      <c r="M232" s="35" t="e">
        <f t="shared" ref="M232:M240" si="61">ROUND((L232/$E$1),0)</f>
        <v>#REF!</v>
      </c>
      <c r="N232" s="32"/>
      <c r="O232" s="44"/>
      <c r="P232" s="44"/>
      <c r="Q232" s="44"/>
    </row>
    <row r="233" spans="1:24" x14ac:dyDescent="0.25">
      <c r="A233" s="14"/>
      <c r="B233" s="27"/>
      <c r="C233" s="28"/>
      <c r="D233" s="28" t="s">
        <v>10</v>
      </c>
      <c r="E233" s="28"/>
      <c r="F233" s="28"/>
      <c r="G233" s="42" t="e">
        <f>+'Jul-24'!G233+'Aug-24'!G233+'Sep-24'!G233+'Oct-24'!G233+'Nov-24'!G233+'Dec-24'!G233+'Jan-25'!G233+'Feb-25'!G233+#REF!+#REF!+#REF!+'Dec-25'!G233</f>
        <v>#REF!</v>
      </c>
      <c r="H233" s="42" t="e">
        <f>+'Jul-24'!H233+'Aug-24'!H233+'Sep-24'!H233+'Oct-24'!H233+'Nov-24'!H233+'Dec-24'!H233+'Jan-25'!H233+'Feb-25'!H233+#REF!+#REF!+#REF!+'Dec-25'!H233</f>
        <v>#REF!</v>
      </c>
      <c r="I233" s="42" t="e">
        <f>+'Jul-24'!I233+'Aug-24'!I233+'Sep-24'!I233+'Oct-24'!I233+'Nov-24'!I233+'Dec-24'!I233+'Jan-25'!I233+'Feb-25'!I233+#REF!+#REF!+#REF!+'Dec-25'!I233</f>
        <v>#REF!</v>
      </c>
      <c r="J233" s="42" t="e">
        <f>+'Jul-24'!J233+'Aug-24'!J233+'Sep-24'!J233+'Oct-24'!J233+'Nov-24'!J233+'Dec-24'!J233+'Jan-25'!J233+'Feb-25'!J233+#REF!+#REF!+#REF!+'Dec-25'!J233</f>
        <v>#REF!</v>
      </c>
      <c r="K233" s="42" t="e">
        <f>+'Jul-24'!K233+'Aug-24'!K233+'Sep-24'!K233+'Oct-24'!K233+'Nov-24'!K233+'Dec-24'!K233+'Jan-25'!K233+'Feb-25'!K233+#REF!+#REF!+#REF!+'Dec-25'!K233</f>
        <v>#REF!</v>
      </c>
      <c r="L233" s="35" t="e">
        <f t="shared" ref="L233:L240" si="62">SUM(G233:K233)</f>
        <v>#REF!</v>
      </c>
      <c r="M233" s="35" t="e">
        <f t="shared" si="61"/>
        <v>#REF!</v>
      </c>
      <c r="N233" s="32"/>
      <c r="O233" s="44"/>
      <c r="P233" s="44"/>
      <c r="Q233" s="44"/>
    </row>
    <row r="234" spans="1:24" x14ac:dyDescent="0.25">
      <c r="A234" s="14"/>
      <c r="B234" s="27"/>
      <c r="C234" s="28"/>
      <c r="D234" s="28" t="s">
        <v>11</v>
      </c>
      <c r="E234" s="28"/>
      <c r="F234" s="28"/>
      <c r="G234" s="42" t="e">
        <f>+'Jul-24'!G234+'Aug-24'!G234+'Sep-24'!G234+'Oct-24'!G234+'Nov-24'!G234+'Dec-24'!G234+'Jan-25'!G234+'Feb-25'!G234+#REF!+#REF!+#REF!+'Dec-25'!G234</f>
        <v>#REF!</v>
      </c>
      <c r="H234" s="42" t="e">
        <f>+'Jul-24'!H234+'Aug-24'!H234+'Sep-24'!H234+'Oct-24'!H234+'Nov-24'!H234+'Dec-24'!H234+'Jan-25'!H234+'Feb-25'!H234+#REF!+#REF!+#REF!+'Dec-25'!H234</f>
        <v>#REF!</v>
      </c>
      <c r="I234" s="42" t="e">
        <f>+'Jul-24'!I234+'Aug-24'!I234+'Sep-24'!I234+'Oct-24'!I234+'Nov-24'!I234+'Dec-24'!I234+'Jan-25'!I234+'Feb-25'!I234+#REF!+#REF!+#REF!+'Dec-25'!I234</f>
        <v>#REF!</v>
      </c>
      <c r="J234" s="42" t="e">
        <f>+'Jul-24'!J234+'Aug-24'!J234+'Sep-24'!J234+'Oct-24'!J234+'Nov-24'!J234+'Dec-24'!J234+'Jan-25'!J234+'Feb-25'!J234+#REF!+#REF!+#REF!+'Dec-25'!J234</f>
        <v>#REF!</v>
      </c>
      <c r="K234" s="42" t="e">
        <f>+'Jul-24'!K234+'Aug-24'!K234+'Sep-24'!K234+'Oct-24'!K234+'Nov-24'!K234+'Dec-24'!K234+'Jan-25'!K234+'Feb-25'!K234+#REF!+#REF!+#REF!+'Dec-25'!K234</f>
        <v>#REF!</v>
      </c>
      <c r="L234" s="35" t="e">
        <f t="shared" si="62"/>
        <v>#REF!</v>
      </c>
      <c r="M234" s="35" t="e">
        <f t="shared" si="61"/>
        <v>#REF!</v>
      </c>
      <c r="N234" s="32"/>
      <c r="O234" s="44"/>
      <c r="P234" s="44"/>
      <c r="Q234" s="44"/>
    </row>
    <row r="235" spans="1:24" x14ac:dyDescent="0.25">
      <c r="A235" s="14"/>
      <c r="B235" s="27"/>
      <c r="C235" s="28"/>
      <c r="D235" s="28" t="s">
        <v>12</v>
      </c>
      <c r="E235" s="28"/>
      <c r="F235" s="28"/>
      <c r="G235" s="43" t="e">
        <f>+'Jul-24'!G235+'Aug-24'!G235+'Sep-24'!G235+'Oct-24'!G235+'Nov-24'!G235+'Dec-24'!G235+'Jan-25'!G235+'Feb-25'!G235+#REF!+#REF!+#REF!+'Dec-25'!G235</f>
        <v>#REF!</v>
      </c>
      <c r="H235" s="43" t="e">
        <f>+'Jul-24'!H235+'Aug-24'!H235+'Sep-24'!H235+'Oct-24'!H235+'Nov-24'!H235+'Dec-24'!H235+'Jan-25'!H235+'Feb-25'!H235+#REF!+#REF!+#REF!+'Dec-25'!H235</f>
        <v>#REF!</v>
      </c>
      <c r="I235" s="43" t="e">
        <f>+'Jul-24'!I235+'Aug-24'!I235+'Sep-24'!I235+'Oct-24'!I235+'Nov-24'!I235+'Dec-24'!I235+'Jan-25'!I235+'Feb-25'!I235+#REF!+#REF!+#REF!+'Dec-25'!I235</f>
        <v>#REF!</v>
      </c>
      <c r="J235" s="43" t="e">
        <f>+'Jul-24'!J235+'Aug-24'!J235+'Sep-24'!J235+'Oct-24'!J235+'Nov-24'!J235+'Dec-24'!J235+'Jan-25'!J235+'Feb-25'!J235+#REF!+#REF!+#REF!+'Dec-25'!J235</f>
        <v>#REF!</v>
      </c>
      <c r="K235" s="43" t="e">
        <f>+'Jul-24'!K235+'Aug-24'!K235+'Sep-24'!K235+'Oct-24'!K235+'Nov-24'!K235+'Dec-24'!K235+'Jan-25'!K235+'Feb-25'!K235+#REF!+#REF!+#REF!+'Dec-25'!K235</f>
        <v>#REF!</v>
      </c>
      <c r="L235" s="31" t="e">
        <f t="shared" si="62"/>
        <v>#REF!</v>
      </c>
      <c r="M235" s="31" t="e">
        <f t="shared" si="61"/>
        <v>#REF!</v>
      </c>
      <c r="N235" s="32"/>
      <c r="O235" s="44"/>
      <c r="P235" s="44"/>
      <c r="Q235" s="44"/>
    </row>
    <row r="236" spans="1:24" x14ac:dyDescent="0.25">
      <c r="A236" s="14"/>
      <c r="B236" s="27"/>
      <c r="C236" s="28" t="s">
        <v>13</v>
      </c>
      <c r="D236" s="28"/>
      <c r="E236" s="28"/>
      <c r="F236" s="28"/>
      <c r="G236" s="42" t="e">
        <f>+'Jul-24'!G236+'Aug-24'!G236+'Sep-24'!G236+'Oct-24'!G236+'Nov-24'!G236+'Dec-24'!G236+'Jan-25'!G236+'Feb-25'!G236+#REF!+#REF!+#REF!+'Dec-25'!G236</f>
        <v>#REF!</v>
      </c>
      <c r="H236" s="42" t="e">
        <f>+'Jul-24'!H236+'Aug-24'!H236+'Sep-24'!H236+'Oct-24'!H236+'Nov-24'!H236+'Dec-24'!H236+'Jan-25'!H236+'Feb-25'!H236+#REF!+#REF!+#REF!+'Dec-25'!H236</f>
        <v>#REF!</v>
      </c>
      <c r="I236" s="42" t="e">
        <f>+'Jul-24'!I236+'Aug-24'!I236+'Sep-24'!I236+'Oct-24'!I236+'Nov-24'!I236+'Dec-24'!I236+'Jan-25'!I236+'Feb-25'!I236+#REF!+#REF!+#REF!+'Dec-25'!I236</f>
        <v>#REF!</v>
      </c>
      <c r="J236" s="42" t="e">
        <f>+'Jul-24'!J236+'Aug-24'!J236+'Sep-24'!J236+'Oct-24'!J236+'Nov-24'!J236+'Dec-24'!J236+'Jan-25'!J236+'Feb-25'!J236+#REF!+#REF!+#REF!+'Dec-25'!J236</f>
        <v>#REF!</v>
      </c>
      <c r="K236" s="42" t="e">
        <f>+'Jul-24'!K236+'Aug-24'!K236+'Sep-24'!K236+'Oct-24'!K236+'Nov-24'!K236+'Dec-24'!K236+'Jan-25'!K236+'Feb-25'!K236+#REF!+#REF!+#REF!+'Dec-25'!K236</f>
        <v>#REF!</v>
      </c>
      <c r="L236" s="35" t="e">
        <f t="shared" si="62"/>
        <v>#REF!</v>
      </c>
      <c r="M236" s="35" t="e">
        <f t="shared" si="61"/>
        <v>#REF!</v>
      </c>
      <c r="N236" s="32"/>
      <c r="O236" s="44"/>
      <c r="P236" s="44"/>
      <c r="Q236" s="44"/>
    </row>
    <row r="237" spans="1:24" x14ac:dyDescent="0.25">
      <c r="A237" s="14"/>
      <c r="B237" s="27"/>
      <c r="C237" s="28" t="s">
        <v>14</v>
      </c>
      <c r="D237" s="28"/>
      <c r="E237" s="28"/>
      <c r="F237" s="28"/>
      <c r="G237" s="42" t="e">
        <f>+'Jul-24'!G237+'Aug-24'!G237+'Sep-24'!G237+'Oct-24'!G237+'Nov-24'!G237+'Dec-24'!G237+'Jan-25'!G237+'Feb-25'!G237+#REF!+#REF!+#REF!+'Dec-25'!G237</f>
        <v>#REF!</v>
      </c>
      <c r="H237" s="42" t="e">
        <f>+'Jul-24'!H237+'Aug-24'!H237+'Sep-24'!H237+'Oct-24'!H237+'Nov-24'!H237+'Dec-24'!H237+'Jan-25'!H237+'Feb-25'!H237+#REF!+#REF!+#REF!+'Dec-25'!H237</f>
        <v>#REF!</v>
      </c>
      <c r="I237" s="42" t="e">
        <f>+'Jul-24'!I237+'Aug-24'!I237+'Sep-24'!I237+'Oct-24'!I237+'Nov-24'!I237+'Dec-24'!I237+'Jan-25'!I237+'Feb-25'!I237+#REF!+#REF!+#REF!+'Dec-25'!I237</f>
        <v>#REF!</v>
      </c>
      <c r="J237" s="42" t="e">
        <f>+'Jul-24'!J237+'Aug-24'!J237+'Sep-24'!J237+'Oct-24'!J237+'Nov-24'!J237+'Dec-24'!J237+'Jan-25'!J237+'Feb-25'!J237+#REF!+#REF!+#REF!+'Dec-25'!J237</f>
        <v>#REF!</v>
      </c>
      <c r="K237" s="42" t="e">
        <f>+'Jul-24'!K237+'Aug-24'!K237+'Sep-24'!K237+'Oct-24'!K237+'Nov-24'!K237+'Dec-24'!K237+'Jan-25'!K237+'Feb-25'!K237+#REF!+#REF!+#REF!+'Dec-25'!K237</f>
        <v>#REF!</v>
      </c>
      <c r="L237" s="35" t="e">
        <f t="shared" si="62"/>
        <v>#REF!</v>
      </c>
      <c r="M237" s="35" t="e">
        <f t="shared" si="61"/>
        <v>#REF!</v>
      </c>
      <c r="N237" s="32"/>
      <c r="O237" s="44"/>
      <c r="P237" s="44"/>
      <c r="Q237" s="44"/>
    </row>
    <row r="238" spans="1:24" x14ac:dyDescent="0.25">
      <c r="A238" s="14"/>
      <c r="B238" s="27"/>
      <c r="C238" s="28" t="s">
        <v>4</v>
      </c>
      <c r="D238" s="28"/>
      <c r="E238" s="28"/>
      <c r="F238" s="28"/>
      <c r="G238" s="42" t="e">
        <f>+'Jul-24'!G238+'Aug-24'!G238+'Sep-24'!G238+'Oct-24'!G238+'Nov-24'!G238+'Dec-24'!G238+'Jan-25'!G238+'Feb-25'!G238+#REF!+#REF!+#REF!+'Dec-25'!G238</f>
        <v>#REF!</v>
      </c>
      <c r="H238" s="42" t="e">
        <f>+'Jul-24'!H238+'Aug-24'!H238+'Sep-24'!H238+'Oct-24'!H238+'Nov-24'!H238+'Dec-24'!H238+'Jan-25'!H238+'Feb-25'!H238+#REF!+#REF!+#REF!+'Dec-25'!H238</f>
        <v>#REF!</v>
      </c>
      <c r="I238" s="42" t="e">
        <f>+'Jul-24'!I238+'Aug-24'!I238+'Sep-24'!I238+'Oct-24'!I238+'Nov-24'!I238+'Dec-24'!I238+'Jan-25'!I238+'Feb-25'!I238+#REF!+#REF!+#REF!+'Dec-25'!I238</f>
        <v>#REF!</v>
      </c>
      <c r="J238" s="42" t="e">
        <f>+'Jul-24'!J238+'Aug-24'!J238+'Sep-24'!J238+'Oct-24'!J238+'Nov-24'!J238+'Dec-24'!J238+'Jan-25'!J238+'Feb-25'!J238+#REF!+#REF!+#REF!+'Dec-25'!J238</f>
        <v>#REF!</v>
      </c>
      <c r="K238" s="42" t="e">
        <f>+'Jul-24'!K238+'Aug-24'!K238+'Sep-24'!K238+'Oct-24'!K238+'Nov-24'!K238+'Dec-24'!K238+'Jan-25'!K238+'Feb-25'!K238+#REF!+#REF!+#REF!+'Dec-25'!K238</f>
        <v>#REF!</v>
      </c>
      <c r="L238" s="35" t="e">
        <f t="shared" si="62"/>
        <v>#REF!</v>
      </c>
      <c r="M238" s="35" t="e">
        <f t="shared" si="61"/>
        <v>#REF!</v>
      </c>
      <c r="N238" s="32"/>
      <c r="O238" s="44"/>
      <c r="P238" s="44"/>
      <c r="Q238" s="44"/>
    </row>
    <row r="239" spans="1:24" x14ac:dyDescent="0.25">
      <c r="A239" s="14"/>
      <c r="B239" s="27"/>
      <c r="C239" s="28" t="s">
        <v>15</v>
      </c>
      <c r="D239" s="28"/>
      <c r="E239" s="28"/>
      <c r="F239" s="28"/>
      <c r="G239" s="42" t="e">
        <f>+'Jul-24'!G239+'Aug-24'!G239+'Sep-24'!G239+'Oct-24'!G239+'Nov-24'!G239+'Dec-24'!G239+'Jan-25'!G239+'Feb-25'!G239+#REF!+#REF!+#REF!+'Dec-25'!G239</f>
        <v>#REF!</v>
      </c>
      <c r="H239" s="42" t="e">
        <f>+'Jul-24'!H239+'Aug-24'!H239+'Sep-24'!H239+'Oct-24'!H239+'Nov-24'!H239+'Dec-24'!H239+'Jan-25'!H239+'Feb-25'!H239+#REF!+#REF!+#REF!+'Dec-25'!H239</f>
        <v>#REF!</v>
      </c>
      <c r="I239" s="42" t="e">
        <f>+'Jul-24'!I239+'Aug-24'!I239+'Sep-24'!I239+'Oct-24'!I239+'Nov-24'!I239+'Dec-24'!I239+'Jan-25'!I239+'Feb-25'!I239+#REF!+#REF!+#REF!+'Dec-25'!I239</f>
        <v>#REF!</v>
      </c>
      <c r="J239" s="42" t="e">
        <f>+'Jul-24'!J239+'Aug-24'!J239+'Sep-24'!J239+'Oct-24'!J239+'Nov-24'!J239+'Dec-24'!J239+'Jan-25'!J239+'Feb-25'!J239+#REF!+#REF!+#REF!+'Dec-25'!J239</f>
        <v>#REF!</v>
      </c>
      <c r="K239" s="42" t="e">
        <f>+'Jul-24'!K239+'Aug-24'!K239+'Sep-24'!K239+'Oct-24'!K239+'Nov-24'!K239+'Dec-24'!K239+'Jan-25'!K239+'Feb-25'!K239+#REF!+#REF!+#REF!+'Dec-25'!K239</f>
        <v>#REF!</v>
      </c>
      <c r="L239" s="35" t="e">
        <f t="shared" si="62"/>
        <v>#REF!</v>
      </c>
      <c r="M239" s="35" t="e">
        <f t="shared" si="61"/>
        <v>#REF!</v>
      </c>
      <c r="N239" s="32"/>
      <c r="O239" s="44"/>
      <c r="P239" s="44"/>
      <c r="Q239" s="44"/>
    </row>
    <row r="240" spans="1:24" x14ac:dyDescent="0.25">
      <c r="A240" s="14"/>
      <c r="B240" s="27"/>
      <c r="C240" s="28" t="s">
        <v>16</v>
      </c>
      <c r="D240" s="28"/>
      <c r="E240" s="28"/>
      <c r="F240" s="28"/>
      <c r="G240" s="42" t="e">
        <f>+'Jul-24'!G240+'Aug-24'!G240+'Sep-24'!G240+'Oct-24'!G240+'Nov-24'!G240+'Dec-24'!G240+'Jan-25'!G240+'Feb-25'!G240+#REF!+#REF!+#REF!+'Dec-25'!G240</f>
        <v>#REF!</v>
      </c>
      <c r="H240" s="42" t="e">
        <f>+'Jul-24'!H240+'Aug-24'!H240+'Sep-24'!H240+'Oct-24'!H240+'Nov-24'!H240+'Dec-24'!H240+'Jan-25'!H240+'Feb-25'!H240+#REF!+#REF!+#REF!+'Dec-25'!H240</f>
        <v>#REF!</v>
      </c>
      <c r="I240" s="42" t="e">
        <f>+'Jul-24'!I240+'Aug-24'!I240+'Sep-24'!I240+'Oct-24'!I240+'Nov-24'!I240+'Dec-24'!I240+'Jan-25'!I240+'Feb-25'!I240+#REF!+#REF!+#REF!+'Dec-25'!I240</f>
        <v>#REF!</v>
      </c>
      <c r="J240" s="42" t="e">
        <f>+'Jul-24'!J240+'Aug-24'!J240+'Sep-24'!J240+'Oct-24'!J240+'Nov-24'!J240+'Dec-24'!J240+'Jan-25'!J240+'Feb-25'!J240+#REF!+#REF!+#REF!+'Dec-25'!J240</f>
        <v>#REF!</v>
      </c>
      <c r="K240" s="42" t="e">
        <f>+'Jul-24'!K240+'Aug-24'!K240+'Sep-24'!K240+'Oct-24'!K240+'Nov-24'!K240+'Dec-24'!K240+'Jan-25'!K240+'Feb-25'!K240+#REF!+#REF!+#REF!+'Dec-25'!K240</f>
        <v>#REF!</v>
      </c>
      <c r="L240" s="35" t="e">
        <f t="shared" si="62"/>
        <v>#REF!</v>
      </c>
      <c r="M240" s="35" t="e">
        <f t="shared" si="61"/>
        <v>#REF!</v>
      </c>
      <c r="N240" s="32"/>
      <c r="O240" s="44"/>
      <c r="P240" s="44"/>
      <c r="Q240" s="44"/>
    </row>
    <row r="241" spans="1:24" ht="15.75" thickBot="1" x14ac:dyDescent="0.3">
      <c r="A241" s="14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4"/>
      <c r="P241" s="44"/>
      <c r="Q241" s="44"/>
    </row>
    <row r="242" spans="1:24" ht="15.75" thickBot="1" x14ac:dyDescent="0.3">
      <c r="A242" s="14"/>
      <c r="G242" s="33"/>
      <c r="H242" s="33"/>
      <c r="I242" s="33"/>
      <c r="J242" s="33"/>
      <c r="K242" s="33"/>
      <c r="L242" s="33"/>
      <c r="M242" s="33"/>
      <c r="N242" s="33"/>
      <c r="O242" s="44"/>
      <c r="P242" s="44"/>
      <c r="Q242" s="44"/>
    </row>
    <row r="243" spans="1:24" x14ac:dyDescent="0.25">
      <c r="A243" s="4">
        <f>+A227+1</f>
        <v>15</v>
      </c>
      <c r="B243" s="40"/>
      <c r="C243" s="6" t="s">
        <v>31</v>
      </c>
      <c r="D243" s="7"/>
      <c r="E243" s="8"/>
      <c r="F243" s="8"/>
      <c r="G243" s="10">
        <f>+$G$3</f>
        <v>2024</v>
      </c>
      <c r="H243" s="10">
        <f>+G243</f>
        <v>2024</v>
      </c>
      <c r="I243" s="10">
        <f t="shared" ref="I243:M244" si="63">+H243</f>
        <v>2024</v>
      </c>
      <c r="J243" s="10">
        <f t="shared" si="63"/>
        <v>2024</v>
      </c>
      <c r="K243" s="10">
        <f t="shared" si="63"/>
        <v>2024</v>
      </c>
      <c r="L243" s="10">
        <f t="shared" si="63"/>
        <v>2024</v>
      </c>
      <c r="M243" s="10">
        <f t="shared" si="63"/>
        <v>2024</v>
      </c>
      <c r="N243" s="11"/>
      <c r="O243" s="44"/>
      <c r="P243" s="44"/>
      <c r="Q243" s="44"/>
      <c r="S243" s="12" t="str">
        <f>+C243</f>
        <v>Esigcaweni</v>
      </c>
      <c r="T243" s="13" t="e">
        <f>+L247</f>
        <v>#REF!</v>
      </c>
      <c r="U243" s="13" t="e">
        <f>+L248+L249</f>
        <v>#REF!</v>
      </c>
      <c r="V243" s="13" t="e">
        <f>+L250+L251</f>
        <v>#REF!</v>
      </c>
      <c r="W243" s="13" t="e">
        <f>+L254</f>
        <v>#REF!</v>
      </c>
      <c r="X243" s="13" t="e">
        <f>+L252</f>
        <v>#REF!</v>
      </c>
    </row>
    <row r="244" spans="1:24" x14ac:dyDescent="0.25">
      <c r="A244" s="14"/>
      <c r="B244" s="15"/>
      <c r="C244" s="41" t="str">
        <f>+$C228</f>
        <v>Year to Date 2024/2025</v>
      </c>
      <c r="D244" s="18"/>
      <c r="E244" s="18"/>
      <c r="F244" s="18"/>
      <c r="G244" s="20" t="str">
        <f>+$G$4</f>
        <v>Week</v>
      </c>
      <c r="H244" s="20" t="str">
        <f>+G244</f>
        <v>Week</v>
      </c>
      <c r="I244" s="20" t="str">
        <f t="shared" si="63"/>
        <v>Week</v>
      </c>
      <c r="J244" s="20" t="str">
        <f t="shared" si="63"/>
        <v>Week</v>
      </c>
      <c r="K244" s="20" t="str">
        <f t="shared" si="63"/>
        <v>Week</v>
      </c>
      <c r="L244" s="20" t="str">
        <f t="shared" si="63"/>
        <v>Week</v>
      </c>
      <c r="M244" s="20" t="str">
        <f t="shared" si="63"/>
        <v>Week</v>
      </c>
      <c r="N244" s="21"/>
      <c r="O244" s="44"/>
      <c r="P244" s="44"/>
      <c r="Q244" s="44"/>
    </row>
    <row r="245" spans="1:24" ht="15.75" thickBot="1" x14ac:dyDescent="0.3">
      <c r="A245" s="14"/>
      <c r="B245" s="22"/>
      <c r="C245" s="23"/>
      <c r="D245" s="23"/>
      <c r="E245" s="23"/>
      <c r="F245" s="23"/>
      <c r="G245" s="25">
        <f>+$G$5</f>
        <v>1</v>
      </c>
      <c r="H245" s="25">
        <f>+$H$5</f>
        <v>2</v>
      </c>
      <c r="I245" s="25">
        <f>+$I$5</f>
        <v>3</v>
      </c>
      <c r="J245" s="25">
        <f>+$J$5</f>
        <v>4</v>
      </c>
      <c r="K245" s="25">
        <f>+$K$5</f>
        <v>5</v>
      </c>
      <c r="L245" s="25" t="s">
        <v>6</v>
      </c>
      <c r="M245" s="25" t="s">
        <v>7</v>
      </c>
      <c r="N245" s="26"/>
      <c r="O245" s="44"/>
      <c r="P245" s="44"/>
      <c r="Q245" s="44"/>
    </row>
    <row r="246" spans="1:24" x14ac:dyDescent="0.25">
      <c r="A246" s="14"/>
      <c r="B246" s="27"/>
      <c r="C246" s="28"/>
      <c r="D246" s="28"/>
      <c r="E246" s="28"/>
      <c r="F246" s="28"/>
      <c r="G246" s="29"/>
      <c r="H246" s="29"/>
      <c r="I246" s="29"/>
      <c r="J246" s="29"/>
      <c r="K246" s="28"/>
      <c r="L246" s="28"/>
      <c r="M246" s="28"/>
      <c r="N246" s="30"/>
    </row>
    <row r="247" spans="1:24" x14ac:dyDescent="0.25">
      <c r="A247" s="14"/>
      <c r="B247" s="27"/>
      <c r="C247" s="28" t="s">
        <v>8</v>
      </c>
      <c r="D247" s="28"/>
      <c r="E247" s="28"/>
      <c r="F247" s="28"/>
      <c r="G247" s="31" t="e">
        <f>SUM(G248:G251)</f>
        <v>#REF!</v>
      </c>
      <c r="H247" s="31" t="e">
        <f t="shared" ref="H247:L247" si="64">SUM(H248:H251)</f>
        <v>#REF!</v>
      </c>
      <c r="I247" s="31" t="e">
        <f t="shared" si="64"/>
        <v>#REF!</v>
      </c>
      <c r="J247" s="31" t="e">
        <f t="shared" si="64"/>
        <v>#REF!</v>
      </c>
      <c r="K247" s="31" t="e">
        <f t="shared" si="64"/>
        <v>#REF!</v>
      </c>
      <c r="L247" s="31" t="e">
        <f t="shared" si="64"/>
        <v>#REF!</v>
      </c>
      <c r="M247" s="31" t="e">
        <f>ROUND((L247/$E$1),0)</f>
        <v>#REF!</v>
      </c>
      <c r="N247" s="32"/>
    </row>
    <row r="248" spans="1:24" x14ac:dyDescent="0.25">
      <c r="A248" s="14"/>
      <c r="B248" s="27"/>
      <c r="C248" s="28"/>
      <c r="D248" s="28" t="s">
        <v>9</v>
      </c>
      <c r="E248" s="28"/>
      <c r="F248" s="28"/>
      <c r="G248" s="42" t="e">
        <f>+'Jul-24'!G248+'Aug-24'!G248+'Sep-24'!G248+'Oct-24'!G248+'Nov-24'!G248+'Dec-24'!G248+'Jan-25'!G248+'Feb-25'!G248+#REF!+#REF!+#REF!+'Dec-25'!G248</f>
        <v>#REF!</v>
      </c>
      <c r="H248" s="42" t="e">
        <f>+'Jul-24'!H248+'Aug-24'!H248+'Sep-24'!H248+'Oct-24'!H248+'Nov-24'!H248+'Dec-24'!H248+'Jan-25'!H248+'Feb-25'!H248+#REF!+#REF!+#REF!+'Dec-25'!H248</f>
        <v>#REF!</v>
      </c>
      <c r="I248" s="42" t="e">
        <f>+'Jul-24'!I248+'Aug-24'!I248+'Sep-24'!I248+'Oct-24'!I248+'Nov-24'!I248+'Dec-24'!I248+'Jan-25'!I248+'Feb-25'!I248+#REF!+#REF!+#REF!+'Dec-25'!I248</f>
        <v>#REF!</v>
      </c>
      <c r="J248" s="42" t="e">
        <f>+'Jul-24'!J248+'Aug-24'!J248+'Sep-24'!J248+'Oct-24'!J248+'Nov-24'!J248+'Dec-24'!J248+'Jan-25'!J248+'Feb-25'!J248+#REF!+#REF!+#REF!+'Dec-25'!J248</f>
        <v>#REF!</v>
      </c>
      <c r="K248" s="42" t="e">
        <f>+'Jul-24'!K248+'Aug-24'!K248+'Sep-24'!K248+'Oct-24'!K248+'Nov-24'!K248+'Dec-24'!K248+'Jan-25'!K248+'Feb-25'!K248+#REF!+#REF!+#REF!+'Dec-25'!K248</f>
        <v>#REF!</v>
      </c>
      <c r="L248" s="35" t="e">
        <f>SUM(G248:K248)</f>
        <v>#REF!</v>
      </c>
      <c r="M248" s="35" t="e">
        <f t="shared" ref="M248:M256" si="65">ROUND((L248/$E$1),0)</f>
        <v>#REF!</v>
      </c>
      <c r="N248" s="32"/>
    </row>
    <row r="249" spans="1:24" x14ac:dyDescent="0.25">
      <c r="A249" s="14"/>
      <c r="B249" s="27"/>
      <c r="C249" s="28"/>
      <c r="D249" s="28" t="s">
        <v>10</v>
      </c>
      <c r="E249" s="28"/>
      <c r="F249" s="28"/>
      <c r="G249" s="42" t="e">
        <f>+'Jul-24'!G249+'Aug-24'!G249+'Sep-24'!G249+'Oct-24'!G249+'Nov-24'!G249+'Dec-24'!G249+'Jan-25'!G249+'Feb-25'!G249+#REF!+#REF!+#REF!+'Dec-25'!G249</f>
        <v>#REF!</v>
      </c>
      <c r="H249" s="42" t="e">
        <f>+'Jul-24'!H249+'Aug-24'!H249+'Sep-24'!H249+'Oct-24'!H249+'Nov-24'!H249+'Dec-24'!H249+'Jan-25'!H249+'Feb-25'!H249+#REF!+#REF!+#REF!+'Dec-25'!H249</f>
        <v>#REF!</v>
      </c>
      <c r="I249" s="42" t="e">
        <f>+'Jul-24'!I249+'Aug-24'!I249+'Sep-24'!I249+'Oct-24'!I249+'Nov-24'!I249+'Dec-24'!I249+'Jan-25'!I249+'Feb-25'!I249+#REF!+#REF!+#REF!+'Dec-25'!I249</f>
        <v>#REF!</v>
      </c>
      <c r="J249" s="42" t="e">
        <f>+'Jul-24'!J249+'Aug-24'!J249+'Sep-24'!J249+'Oct-24'!J249+'Nov-24'!J249+'Dec-24'!J249+'Jan-25'!J249+'Feb-25'!J249+#REF!+#REF!+#REF!+'Dec-25'!J249</f>
        <v>#REF!</v>
      </c>
      <c r="K249" s="42" t="e">
        <f>+'Jul-24'!K249+'Aug-24'!K249+'Sep-24'!K249+'Oct-24'!K249+'Nov-24'!K249+'Dec-24'!K249+'Jan-25'!K249+'Feb-25'!K249+#REF!+#REF!+#REF!+'Dec-25'!K249</f>
        <v>#REF!</v>
      </c>
      <c r="L249" s="35" t="e">
        <f t="shared" ref="L249:L256" si="66">SUM(G249:K249)</f>
        <v>#REF!</v>
      </c>
      <c r="M249" s="35" t="e">
        <f t="shared" si="65"/>
        <v>#REF!</v>
      </c>
      <c r="N249" s="32"/>
    </row>
    <row r="250" spans="1:24" x14ac:dyDescent="0.25">
      <c r="A250" s="14"/>
      <c r="B250" s="27"/>
      <c r="C250" s="28"/>
      <c r="D250" s="28" t="s">
        <v>11</v>
      </c>
      <c r="E250" s="28"/>
      <c r="F250" s="28"/>
      <c r="G250" s="42" t="e">
        <f>+'Jul-24'!G250+'Aug-24'!G250+'Sep-24'!G250+'Oct-24'!G250+'Nov-24'!G250+'Dec-24'!G250+'Jan-25'!G250+'Feb-25'!G250+#REF!+#REF!+#REF!+'Dec-25'!G250</f>
        <v>#REF!</v>
      </c>
      <c r="H250" s="42" t="e">
        <f>+'Jul-24'!H250+'Aug-24'!H250+'Sep-24'!H250+'Oct-24'!H250+'Nov-24'!H250+'Dec-24'!H250+'Jan-25'!H250+'Feb-25'!H250+#REF!+#REF!+#REF!+'Dec-25'!H250</f>
        <v>#REF!</v>
      </c>
      <c r="I250" s="42" t="e">
        <f>+'Jul-24'!I250+'Aug-24'!I250+'Sep-24'!I250+'Oct-24'!I250+'Nov-24'!I250+'Dec-24'!I250+'Jan-25'!I250+'Feb-25'!I250+#REF!+#REF!+#REF!+'Dec-25'!I250</f>
        <v>#REF!</v>
      </c>
      <c r="J250" s="42" t="e">
        <f>+'Jul-24'!J250+'Aug-24'!J250+'Sep-24'!J250+'Oct-24'!J250+'Nov-24'!J250+'Dec-24'!J250+'Jan-25'!J250+'Feb-25'!J250+#REF!+#REF!+#REF!+'Dec-25'!J250</f>
        <v>#REF!</v>
      </c>
      <c r="K250" s="42" t="e">
        <f>+'Jul-24'!K250+'Aug-24'!K250+'Sep-24'!K250+'Oct-24'!K250+'Nov-24'!K250+'Dec-24'!K250+'Jan-25'!K250+'Feb-25'!K250+#REF!+#REF!+#REF!+'Dec-25'!K250</f>
        <v>#REF!</v>
      </c>
      <c r="L250" s="35" t="e">
        <f t="shared" si="66"/>
        <v>#REF!</v>
      </c>
      <c r="M250" s="35" t="e">
        <f t="shared" si="65"/>
        <v>#REF!</v>
      </c>
      <c r="N250" s="32"/>
    </row>
    <row r="251" spans="1:24" x14ac:dyDescent="0.25">
      <c r="A251" s="14"/>
      <c r="B251" s="27"/>
      <c r="C251" s="28"/>
      <c r="D251" s="28" t="s">
        <v>12</v>
      </c>
      <c r="E251" s="28"/>
      <c r="F251" s="28"/>
      <c r="G251" s="43" t="e">
        <f>+'Jul-24'!G251+'Aug-24'!G251+'Sep-24'!G251+'Oct-24'!G251+'Nov-24'!G251+'Dec-24'!G251+'Jan-25'!G251+'Feb-25'!G251+#REF!+#REF!+#REF!+'Dec-25'!G251</f>
        <v>#REF!</v>
      </c>
      <c r="H251" s="43" t="e">
        <f>+'Jul-24'!H251+'Aug-24'!H251+'Sep-24'!H251+'Oct-24'!H251+'Nov-24'!H251+'Dec-24'!H251+'Jan-25'!H251+'Feb-25'!H251+#REF!+#REF!+#REF!+'Dec-25'!H251</f>
        <v>#REF!</v>
      </c>
      <c r="I251" s="43" t="e">
        <f>+'Jul-24'!I251+'Aug-24'!I251+'Sep-24'!I251+'Oct-24'!I251+'Nov-24'!I251+'Dec-24'!I251+'Jan-25'!I251+'Feb-25'!I251+#REF!+#REF!+#REF!+'Dec-25'!I251</f>
        <v>#REF!</v>
      </c>
      <c r="J251" s="43" t="e">
        <f>+'Jul-24'!J251+'Aug-24'!J251+'Sep-24'!J251+'Oct-24'!J251+'Nov-24'!J251+'Dec-24'!J251+'Jan-25'!J251+'Feb-25'!J251+#REF!+#REF!+#REF!+'Dec-25'!J251</f>
        <v>#REF!</v>
      </c>
      <c r="K251" s="43" t="e">
        <f>+'Jul-24'!K251+'Aug-24'!K251+'Sep-24'!K251+'Oct-24'!K251+'Nov-24'!K251+'Dec-24'!K251+'Jan-25'!K251+'Feb-25'!K251+#REF!+#REF!+#REF!+'Dec-25'!K251</f>
        <v>#REF!</v>
      </c>
      <c r="L251" s="31" t="e">
        <f t="shared" si="66"/>
        <v>#REF!</v>
      </c>
      <c r="M251" s="31" t="e">
        <f t="shared" si="65"/>
        <v>#REF!</v>
      </c>
      <c r="N251" s="32"/>
    </row>
    <row r="252" spans="1:24" x14ac:dyDescent="0.25">
      <c r="A252" s="14"/>
      <c r="B252" s="27"/>
      <c r="C252" s="28" t="s">
        <v>13</v>
      </c>
      <c r="D252" s="28"/>
      <c r="E252" s="28"/>
      <c r="F252" s="28"/>
      <c r="G252" s="42" t="e">
        <f>+'Jul-24'!G252+'Aug-24'!G252+'Sep-24'!G252+'Oct-24'!G252+'Nov-24'!G252+'Dec-24'!G252+'Jan-25'!G252+'Feb-25'!G252+#REF!+#REF!+#REF!+'Dec-25'!G252</f>
        <v>#REF!</v>
      </c>
      <c r="H252" s="42" t="e">
        <f>+'Jul-24'!H252+'Aug-24'!H252+'Sep-24'!H252+'Oct-24'!H252+'Nov-24'!H252+'Dec-24'!H252+'Jan-25'!H252+'Feb-25'!H252+#REF!+#REF!+#REF!+'Dec-25'!H252</f>
        <v>#REF!</v>
      </c>
      <c r="I252" s="42" t="e">
        <f>+'Jul-24'!I252+'Aug-24'!I252+'Sep-24'!I252+'Oct-24'!I252+'Nov-24'!I252+'Dec-24'!I252+'Jan-25'!I252+'Feb-25'!I252+#REF!+#REF!+#REF!+'Dec-25'!I252</f>
        <v>#REF!</v>
      </c>
      <c r="J252" s="42" t="e">
        <f>+'Jul-24'!J252+'Aug-24'!J252+'Sep-24'!J252+'Oct-24'!J252+'Nov-24'!J252+'Dec-24'!J252+'Jan-25'!J252+'Feb-25'!J252+#REF!+#REF!+#REF!+'Dec-25'!J252</f>
        <v>#REF!</v>
      </c>
      <c r="K252" s="42" t="e">
        <f>+'Jul-24'!K252+'Aug-24'!K252+'Sep-24'!K252+'Oct-24'!K252+'Nov-24'!K252+'Dec-24'!K252+'Jan-25'!K252+'Feb-25'!K252+#REF!+#REF!+#REF!+'Dec-25'!K252</f>
        <v>#REF!</v>
      </c>
      <c r="L252" s="35" t="e">
        <f t="shared" si="66"/>
        <v>#REF!</v>
      </c>
      <c r="M252" s="35" t="e">
        <f t="shared" si="65"/>
        <v>#REF!</v>
      </c>
      <c r="N252" s="32"/>
    </row>
    <row r="253" spans="1:24" x14ac:dyDescent="0.25">
      <c r="A253" s="14"/>
      <c r="B253" s="27"/>
      <c r="C253" s="28" t="s">
        <v>14</v>
      </c>
      <c r="D253" s="28"/>
      <c r="E253" s="28"/>
      <c r="F253" s="28"/>
      <c r="G253" s="42" t="e">
        <f>+'Jul-24'!G253+'Aug-24'!G253+'Sep-24'!G253+'Oct-24'!G253+'Nov-24'!G253+'Dec-24'!G253+'Jan-25'!G253+'Feb-25'!G253+#REF!+#REF!+#REF!+'Dec-25'!G253</f>
        <v>#REF!</v>
      </c>
      <c r="H253" s="42" t="e">
        <f>+'Jul-24'!H253+'Aug-24'!H253+'Sep-24'!H253+'Oct-24'!H253+'Nov-24'!H253+'Dec-24'!H253+'Jan-25'!H253+'Feb-25'!H253+#REF!+#REF!+#REF!+'Dec-25'!H253</f>
        <v>#REF!</v>
      </c>
      <c r="I253" s="42" t="e">
        <f>+'Jul-24'!I253+'Aug-24'!I253+'Sep-24'!I253+'Oct-24'!I253+'Nov-24'!I253+'Dec-24'!I253+'Jan-25'!I253+'Feb-25'!I253+#REF!+#REF!+#REF!+'Dec-25'!I253</f>
        <v>#REF!</v>
      </c>
      <c r="J253" s="42" t="e">
        <f>+'Jul-24'!J253+'Aug-24'!J253+'Sep-24'!J253+'Oct-24'!J253+'Nov-24'!J253+'Dec-24'!J253+'Jan-25'!J253+'Feb-25'!J253+#REF!+#REF!+#REF!+'Dec-25'!J253</f>
        <v>#REF!</v>
      </c>
      <c r="K253" s="42" t="e">
        <f>+'Jul-24'!K253+'Aug-24'!K253+'Sep-24'!K253+'Oct-24'!K253+'Nov-24'!K253+'Dec-24'!K253+'Jan-25'!K253+'Feb-25'!K253+#REF!+#REF!+#REF!+'Dec-25'!K253</f>
        <v>#REF!</v>
      </c>
      <c r="L253" s="35" t="e">
        <f t="shared" si="66"/>
        <v>#REF!</v>
      </c>
      <c r="M253" s="35" t="e">
        <f t="shared" si="65"/>
        <v>#REF!</v>
      </c>
      <c r="N253" s="32"/>
    </row>
    <row r="254" spans="1:24" x14ac:dyDescent="0.25">
      <c r="A254" s="14"/>
      <c r="B254" s="27"/>
      <c r="C254" s="28" t="s">
        <v>4</v>
      </c>
      <c r="D254" s="28"/>
      <c r="E254" s="28"/>
      <c r="F254" s="28"/>
      <c r="G254" s="42" t="e">
        <f>+'Jul-24'!G254+'Aug-24'!G254+'Sep-24'!G254+'Oct-24'!G254+'Nov-24'!G254+'Dec-24'!G254+'Jan-25'!G254+'Feb-25'!G254+#REF!+#REF!+#REF!+'Dec-25'!G254</f>
        <v>#REF!</v>
      </c>
      <c r="H254" s="42" t="e">
        <f>+'Jul-24'!H254+'Aug-24'!H254+'Sep-24'!H254+'Oct-24'!H254+'Nov-24'!H254+'Dec-24'!H254+'Jan-25'!H254+'Feb-25'!H254+#REF!+#REF!+#REF!+'Dec-25'!H254</f>
        <v>#REF!</v>
      </c>
      <c r="I254" s="42" t="e">
        <f>+'Jul-24'!I254+'Aug-24'!I254+'Sep-24'!I254+'Oct-24'!I254+'Nov-24'!I254+'Dec-24'!I254+'Jan-25'!I254+'Feb-25'!I254+#REF!+#REF!+#REF!+'Dec-25'!I254</f>
        <v>#REF!</v>
      </c>
      <c r="J254" s="42" t="e">
        <f>+'Jul-24'!J254+'Aug-24'!J254+'Sep-24'!J254+'Oct-24'!J254+'Nov-24'!J254+'Dec-24'!J254+'Jan-25'!J254+'Feb-25'!J254+#REF!+#REF!+#REF!+'Dec-25'!J254</f>
        <v>#REF!</v>
      </c>
      <c r="K254" s="42" t="e">
        <f>+'Jul-24'!K254+'Aug-24'!K254+'Sep-24'!K254+'Oct-24'!K254+'Nov-24'!K254+'Dec-24'!K254+'Jan-25'!K254+'Feb-25'!K254+#REF!+#REF!+#REF!+'Dec-25'!K254</f>
        <v>#REF!</v>
      </c>
      <c r="L254" s="35" t="e">
        <f t="shared" si="66"/>
        <v>#REF!</v>
      </c>
      <c r="M254" s="35" t="e">
        <f t="shared" si="65"/>
        <v>#REF!</v>
      </c>
      <c r="N254" s="32"/>
    </row>
    <row r="255" spans="1:24" x14ac:dyDescent="0.25">
      <c r="A255" s="14"/>
      <c r="B255" s="27"/>
      <c r="C255" s="28" t="s">
        <v>15</v>
      </c>
      <c r="D255" s="28"/>
      <c r="E255" s="28"/>
      <c r="F255" s="28"/>
      <c r="G255" s="42" t="e">
        <f>+'Jul-24'!G255+'Aug-24'!G255+'Sep-24'!G255+'Oct-24'!G255+'Nov-24'!G255+'Dec-24'!G255+'Jan-25'!G255+'Feb-25'!G255+#REF!+#REF!+#REF!+'Dec-25'!G255</f>
        <v>#REF!</v>
      </c>
      <c r="H255" s="42" t="e">
        <f>+'Jul-24'!H255+'Aug-24'!H255+'Sep-24'!H255+'Oct-24'!H255+'Nov-24'!H255+'Dec-24'!H255+'Jan-25'!H255+'Feb-25'!H255+#REF!+#REF!+#REF!+'Dec-25'!H255</f>
        <v>#REF!</v>
      </c>
      <c r="I255" s="42" t="e">
        <f>+'Jul-24'!I255+'Aug-24'!I255+'Sep-24'!I255+'Oct-24'!I255+'Nov-24'!I255+'Dec-24'!I255+'Jan-25'!I255+'Feb-25'!I255+#REF!+#REF!+#REF!+'Dec-25'!I255</f>
        <v>#REF!</v>
      </c>
      <c r="J255" s="42" t="e">
        <f>+'Jul-24'!J255+'Aug-24'!J255+'Sep-24'!J255+'Oct-24'!J255+'Nov-24'!J255+'Dec-24'!J255+'Jan-25'!J255+'Feb-25'!J255+#REF!+#REF!+#REF!+'Dec-25'!J255</f>
        <v>#REF!</v>
      </c>
      <c r="K255" s="42" t="e">
        <f>+'Jul-24'!K255+'Aug-24'!K255+'Sep-24'!K255+'Oct-24'!K255+'Nov-24'!K255+'Dec-24'!K255+'Jan-25'!K255+'Feb-25'!K255+#REF!+#REF!+#REF!+'Dec-25'!K255</f>
        <v>#REF!</v>
      </c>
      <c r="L255" s="35" t="e">
        <f t="shared" si="66"/>
        <v>#REF!</v>
      </c>
      <c r="M255" s="35" t="e">
        <f t="shared" si="65"/>
        <v>#REF!</v>
      </c>
      <c r="N255" s="32"/>
    </row>
    <row r="256" spans="1:24" x14ac:dyDescent="0.25">
      <c r="A256" s="14"/>
      <c r="B256" s="27"/>
      <c r="C256" s="28" t="s">
        <v>16</v>
      </c>
      <c r="D256" s="28"/>
      <c r="E256" s="28"/>
      <c r="F256" s="28"/>
      <c r="G256" s="42" t="e">
        <f>+'Jul-24'!G256+'Aug-24'!G256+'Sep-24'!G256+'Oct-24'!G256+'Nov-24'!G256+'Dec-24'!G256+'Jan-25'!G256+'Feb-25'!G256+#REF!+#REF!+#REF!+'Dec-25'!G256</f>
        <v>#REF!</v>
      </c>
      <c r="H256" s="42" t="e">
        <f>+'Jul-24'!H256+'Aug-24'!H256+'Sep-24'!H256+'Oct-24'!H256+'Nov-24'!H256+'Dec-24'!H256+'Jan-25'!H256+'Feb-25'!H256+#REF!+#REF!+#REF!+'Dec-25'!H256</f>
        <v>#REF!</v>
      </c>
      <c r="I256" s="42" t="e">
        <f>+'Jul-24'!I256+'Aug-24'!I256+'Sep-24'!I256+'Oct-24'!I256+'Nov-24'!I256+'Dec-24'!I256+'Jan-25'!I256+'Feb-25'!I256+#REF!+#REF!+#REF!+'Dec-25'!I256</f>
        <v>#REF!</v>
      </c>
      <c r="J256" s="42" t="e">
        <f>+'Jul-24'!J256+'Aug-24'!J256+'Sep-24'!J256+'Oct-24'!J256+'Nov-24'!J256+'Dec-24'!J256+'Jan-25'!J256+'Feb-25'!J256+#REF!+#REF!+#REF!+'Dec-25'!J256</f>
        <v>#REF!</v>
      </c>
      <c r="K256" s="42" t="e">
        <f>+'Jul-24'!K256+'Aug-24'!K256+'Sep-24'!K256+'Oct-24'!K256+'Nov-24'!K256+'Dec-24'!K256+'Jan-25'!K256+'Feb-25'!K256+#REF!+#REF!+#REF!+'Dec-25'!K256</f>
        <v>#REF!</v>
      </c>
      <c r="L256" s="35" t="e">
        <f t="shared" si="66"/>
        <v>#REF!</v>
      </c>
      <c r="M256" s="35" t="e">
        <f t="shared" si="65"/>
        <v>#REF!</v>
      </c>
      <c r="N256" s="32"/>
    </row>
    <row r="257" spans="1:24" ht="15.75" thickBot="1" x14ac:dyDescent="0.3">
      <c r="A257" s="14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4"/>
      <c r="H258" s="44"/>
      <c r="I258" s="44"/>
      <c r="J258" s="44"/>
      <c r="K258" s="44"/>
      <c r="L258" s="44"/>
      <c r="M258" s="44"/>
      <c r="N258" s="44"/>
    </row>
    <row r="259" spans="1:24" x14ac:dyDescent="0.25">
      <c r="A259" s="4">
        <f>+A243+1</f>
        <v>16</v>
      </c>
      <c r="B259" s="40"/>
      <c r="C259" s="6" t="s">
        <v>32</v>
      </c>
      <c r="D259" s="7"/>
      <c r="E259" s="8"/>
      <c r="F259" s="8"/>
      <c r="G259" s="10">
        <f>+$G$3</f>
        <v>2024</v>
      </c>
      <c r="H259" s="10">
        <f>+G259</f>
        <v>2024</v>
      </c>
      <c r="I259" s="10">
        <f t="shared" ref="I259:M260" si="67">+H259</f>
        <v>2024</v>
      </c>
      <c r="J259" s="10">
        <f t="shared" si="67"/>
        <v>2024</v>
      </c>
      <c r="K259" s="10">
        <f t="shared" si="67"/>
        <v>2024</v>
      </c>
      <c r="L259" s="10">
        <f t="shared" si="67"/>
        <v>2024</v>
      </c>
      <c r="M259" s="10">
        <f t="shared" si="67"/>
        <v>2024</v>
      </c>
      <c r="N259" s="11"/>
      <c r="S259" s="12" t="str">
        <f>+C259</f>
        <v>Lonhlalane</v>
      </c>
      <c r="T259" s="13" t="e">
        <f>+L263</f>
        <v>#REF!</v>
      </c>
      <c r="U259" s="13" t="e">
        <f>+L264+L265</f>
        <v>#REF!</v>
      </c>
      <c r="V259" s="13" t="e">
        <f>+L266+L267</f>
        <v>#REF!</v>
      </c>
      <c r="W259" s="13" t="e">
        <f>+L270</f>
        <v>#REF!</v>
      </c>
      <c r="X259" s="13" t="e">
        <f>+L268</f>
        <v>#REF!</v>
      </c>
    </row>
    <row r="260" spans="1:24" x14ac:dyDescent="0.25">
      <c r="A260" s="14"/>
      <c r="B260" s="15"/>
      <c r="C260" s="41" t="str">
        <f>+$C244</f>
        <v>Year to Date 2024/2025</v>
      </c>
      <c r="D260" s="18"/>
      <c r="E260" s="18"/>
      <c r="F260" s="18"/>
      <c r="G260" s="20" t="str">
        <f>+$G$4</f>
        <v>Week</v>
      </c>
      <c r="H260" s="20" t="str">
        <f>+G260</f>
        <v>Week</v>
      </c>
      <c r="I260" s="20" t="str">
        <f t="shared" si="67"/>
        <v>Week</v>
      </c>
      <c r="J260" s="20" t="str">
        <f t="shared" si="67"/>
        <v>Week</v>
      </c>
      <c r="K260" s="20" t="str">
        <f t="shared" si="67"/>
        <v>Week</v>
      </c>
      <c r="L260" s="20" t="str">
        <f t="shared" si="67"/>
        <v>Week</v>
      </c>
      <c r="M260" s="20" t="str">
        <f t="shared" si="67"/>
        <v>Week</v>
      </c>
      <c r="N260" s="21"/>
    </row>
    <row r="261" spans="1:24" ht="15.75" thickBot="1" x14ac:dyDescent="0.3">
      <c r="A261" s="14"/>
      <c r="B261" s="22"/>
      <c r="C261" s="23"/>
      <c r="D261" s="23"/>
      <c r="E261" s="23"/>
      <c r="F261" s="23"/>
      <c r="G261" s="25">
        <f>+$G$5</f>
        <v>1</v>
      </c>
      <c r="H261" s="25">
        <f>+$H$5</f>
        <v>2</v>
      </c>
      <c r="I261" s="25">
        <f>+$I$5</f>
        <v>3</v>
      </c>
      <c r="J261" s="25">
        <f>+$J$5</f>
        <v>4</v>
      </c>
      <c r="K261" s="25">
        <f>+$K$5</f>
        <v>5</v>
      </c>
      <c r="L261" s="25" t="s">
        <v>6</v>
      </c>
      <c r="M261" s="25" t="s">
        <v>7</v>
      </c>
      <c r="N261" s="26"/>
    </row>
    <row r="262" spans="1:24" x14ac:dyDescent="0.25">
      <c r="A262" s="14"/>
      <c r="B262" s="27"/>
      <c r="C262" s="28"/>
      <c r="D262" s="28"/>
      <c r="E262" s="28"/>
      <c r="F262" s="28"/>
      <c r="G262" s="29"/>
      <c r="H262" s="29"/>
      <c r="I262" s="29"/>
      <c r="J262" s="29"/>
      <c r="K262" s="28"/>
      <c r="L262" s="28"/>
      <c r="M262" s="28"/>
      <c r="N262" s="30"/>
    </row>
    <row r="263" spans="1:24" x14ac:dyDescent="0.25">
      <c r="A263" s="14"/>
      <c r="B263" s="27"/>
      <c r="C263" s="28" t="s">
        <v>8</v>
      </c>
      <c r="D263" s="28"/>
      <c r="E263" s="28"/>
      <c r="F263" s="28"/>
      <c r="G263" s="31" t="e">
        <f>SUM(G264:G267)</f>
        <v>#REF!</v>
      </c>
      <c r="H263" s="31" t="e">
        <f t="shared" ref="H263:L263" si="68">SUM(H264:H267)</f>
        <v>#REF!</v>
      </c>
      <c r="I263" s="31" t="e">
        <f t="shared" si="68"/>
        <v>#REF!</v>
      </c>
      <c r="J263" s="31" t="e">
        <f t="shared" si="68"/>
        <v>#REF!</v>
      </c>
      <c r="K263" s="31" t="e">
        <f t="shared" si="68"/>
        <v>#REF!</v>
      </c>
      <c r="L263" s="31" t="e">
        <f t="shared" si="68"/>
        <v>#REF!</v>
      </c>
      <c r="M263" s="31" t="e">
        <f>ROUND((L263/$E$1),0)</f>
        <v>#REF!</v>
      </c>
      <c r="N263" s="32"/>
    </row>
    <row r="264" spans="1:24" x14ac:dyDescent="0.25">
      <c r="A264" s="14"/>
      <c r="B264" s="27"/>
      <c r="C264" s="28"/>
      <c r="D264" s="28" t="s">
        <v>9</v>
      </c>
      <c r="E264" s="28"/>
      <c r="F264" s="28"/>
      <c r="G264" s="42" t="e">
        <f>+'Jul-24'!G264+'Aug-24'!G264+'Sep-24'!G264+'Oct-24'!G264+'Nov-24'!G264+'Dec-24'!G264+'Jan-25'!G264+'Feb-25'!G264+#REF!+#REF!+#REF!+'Dec-25'!G264</f>
        <v>#REF!</v>
      </c>
      <c r="H264" s="42" t="e">
        <f>+'Jul-24'!H264+'Aug-24'!H264+'Sep-24'!H264+'Oct-24'!H264+'Nov-24'!H264+'Dec-24'!H264+'Jan-25'!H264+'Feb-25'!H264+#REF!+#REF!+#REF!+'Dec-25'!H264</f>
        <v>#REF!</v>
      </c>
      <c r="I264" s="42" t="e">
        <f>+'Jul-24'!I264+'Aug-24'!I264+'Sep-24'!I264+'Oct-24'!I264+'Nov-24'!I264+'Dec-24'!I264+'Jan-25'!I264+'Feb-25'!I264+#REF!+#REF!+#REF!+'Dec-25'!I264</f>
        <v>#REF!</v>
      </c>
      <c r="J264" s="42" t="e">
        <f>+'Jul-24'!J264+'Aug-24'!J264+'Sep-24'!J264+'Oct-24'!J264+'Nov-24'!J264+'Dec-24'!J264+'Jan-25'!J264+'Feb-25'!J264+#REF!+#REF!+#REF!+'Dec-25'!J264</f>
        <v>#REF!</v>
      </c>
      <c r="K264" s="42" t="e">
        <f>+'Jul-24'!K264+'Aug-24'!K264+'Sep-24'!K264+'Oct-24'!K264+'Nov-24'!K264+'Dec-24'!K264+'Jan-25'!K264+'Feb-25'!K264+#REF!+#REF!+#REF!+'Dec-25'!K264</f>
        <v>#REF!</v>
      </c>
      <c r="L264" s="35" t="e">
        <f>SUM(G264:K264)</f>
        <v>#REF!</v>
      </c>
      <c r="M264" s="35" t="e">
        <f t="shared" ref="M264:M272" si="69">ROUND((L264/$E$1),0)</f>
        <v>#REF!</v>
      </c>
      <c r="N264" s="32"/>
    </row>
    <row r="265" spans="1:24" x14ac:dyDescent="0.25">
      <c r="A265" s="14"/>
      <c r="B265" s="27"/>
      <c r="C265" s="28"/>
      <c r="D265" s="28" t="s">
        <v>10</v>
      </c>
      <c r="E265" s="28"/>
      <c r="F265" s="28"/>
      <c r="G265" s="42" t="e">
        <f>+'Jul-24'!G265+'Aug-24'!G265+'Sep-24'!G265+'Oct-24'!G265+'Nov-24'!G265+'Dec-24'!G265+'Jan-25'!G265+'Feb-25'!G265+#REF!+#REF!+#REF!+'Dec-25'!G265</f>
        <v>#REF!</v>
      </c>
      <c r="H265" s="42" t="e">
        <f>+'Jul-24'!H265+'Aug-24'!H265+'Sep-24'!H265+'Oct-24'!H265+'Nov-24'!H265+'Dec-24'!H265+'Jan-25'!H265+'Feb-25'!H265+#REF!+#REF!+#REF!+'Dec-25'!H265</f>
        <v>#REF!</v>
      </c>
      <c r="I265" s="42" t="e">
        <f>+'Jul-24'!I265+'Aug-24'!I265+'Sep-24'!I265+'Oct-24'!I265+'Nov-24'!I265+'Dec-24'!I265+'Jan-25'!I265+'Feb-25'!I265+#REF!+#REF!+#REF!+'Dec-25'!I265</f>
        <v>#REF!</v>
      </c>
      <c r="J265" s="42" t="e">
        <f>+'Jul-24'!J265+'Aug-24'!J265+'Sep-24'!J265+'Oct-24'!J265+'Nov-24'!J265+'Dec-24'!J265+'Jan-25'!J265+'Feb-25'!J265+#REF!+#REF!+#REF!+'Dec-25'!J265</f>
        <v>#REF!</v>
      </c>
      <c r="K265" s="42" t="e">
        <f>+'Jul-24'!K265+'Aug-24'!K265+'Sep-24'!K265+'Oct-24'!K265+'Nov-24'!K265+'Dec-24'!K265+'Jan-25'!K265+'Feb-25'!K265+#REF!+#REF!+#REF!+'Dec-25'!K265</f>
        <v>#REF!</v>
      </c>
      <c r="L265" s="35" t="e">
        <f t="shared" ref="L265:L272" si="70">SUM(G265:K265)</f>
        <v>#REF!</v>
      </c>
      <c r="M265" s="35" t="e">
        <f t="shared" si="69"/>
        <v>#REF!</v>
      </c>
      <c r="N265" s="32"/>
    </row>
    <row r="266" spans="1:24" x14ac:dyDescent="0.25">
      <c r="A266" s="14"/>
      <c r="B266" s="27"/>
      <c r="C266" s="28"/>
      <c r="D266" s="28" t="s">
        <v>11</v>
      </c>
      <c r="E266" s="28"/>
      <c r="F266" s="28"/>
      <c r="G266" s="42" t="e">
        <f>+'Jul-24'!G266+'Aug-24'!G266+'Sep-24'!G266+'Oct-24'!G266+'Nov-24'!G266+'Dec-24'!G266+'Jan-25'!G266+'Feb-25'!G266+#REF!+#REF!+#REF!+'Dec-25'!G266</f>
        <v>#REF!</v>
      </c>
      <c r="H266" s="42" t="e">
        <f>+'Jul-24'!H266+'Aug-24'!H266+'Sep-24'!H266+'Oct-24'!H266+'Nov-24'!H266+'Dec-24'!H266+'Jan-25'!H266+'Feb-25'!H266+#REF!+#REF!+#REF!+'Dec-25'!H266</f>
        <v>#REF!</v>
      </c>
      <c r="I266" s="42" t="e">
        <f>+'Jul-24'!I266+'Aug-24'!I266+'Sep-24'!I266+'Oct-24'!I266+'Nov-24'!I266+'Dec-24'!I266+'Jan-25'!I266+'Feb-25'!I266+#REF!+#REF!+#REF!+'Dec-25'!I266</f>
        <v>#REF!</v>
      </c>
      <c r="J266" s="42" t="e">
        <f>+'Jul-24'!J266+'Aug-24'!J266+'Sep-24'!J266+'Oct-24'!J266+'Nov-24'!J266+'Dec-24'!J266+'Jan-25'!J266+'Feb-25'!J266+#REF!+#REF!+#REF!+'Dec-25'!J266</f>
        <v>#REF!</v>
      </c>
      <c r="K266" s="42" t="e">
        <f>+'Jul-24'!K266+'Aug-24'!K266+'Sep-24'!K266+'Oct-24'!K266+'Nov-24'!K266+'Dec-24'!K266+'Jan-25'!K266+'Feb-25'!K266+#REF!+#REF!+#REF!+'Dec-25'!K266</f>
        <v>#REF!</v>
      </c>
      <c r="L266" s="35" t="e">
        <f t="shared" si="70"/>
        <v>#REF!</v>
      </c>
      <c r="M266" s="35" t="e">
        <f t="shared" si="69"/>
        <v>#REF!</v>
      </c>
      <c r="N266" s="32"/>
    </row>
    <row r="267" spans="1:24" x14ac:dyDescent="0.25">
      <c r="A267" s="14"/>
      <c r="B267" s="27"/>
      <c r="C267" s="28"/>
      <c r="D267" s="28" t="s">
        <v>12</v>
      </c>
      <c r="E267" s="28"/>
      <c r="F267" s="28"/>
      <c r="G267" s="43" t="e">
        <f>+'Jul-24'!G267+'Aug-24'!G267+'Sep-24'!G267+'Oct-24'!G267+'Nov-24'!G267+'Dec-24'!G267+'Jan-25'!G267+'Feb-25'!G267+#REF!+#REF!+#REF!+'Dec-25'!G267</f>
        <v>#REF!</v>
      </c>
      <c r="H267" s="43" t="e">
        <f>+'Jul-24'!H267+'Aug-24'!H267+'Sep-24'!H267+'Oct-24'!H267+'Nov-24'!H267+'Dec-24'!H267+'Jan-25'!H267+'Feb-25'!H267+#REF!+#REF!+#REF!+'Dec-25'!H267</f>
        <v>#REF!</v>
      </c>
      <c r="I267" s="43" t="e">
        <f>+'Jul-24'!I267+'Aug-24'!I267+'Sep-24'!I267+'Oct-24'!I267+'Nov-24'!I267+'Dec-24'!I267+'Jan-25'!I267+'Feb-25'!I267+#REF!+#REF!+#REF!+'Dec-25'!I267</f>
        <v>#REF!</v>
      </c>
      <c r="J267" s="43" t="e">
        <f>+'Jul-24'!J267+'Aug-24'!J267+'Sep-24'!J267+'Oct-24'!J267+'Nov-24'!J267+'Dec-24'!J267+'Jan-25'!J267+'Feb-25'!J267+#REF!+#REF!+#REF!+'Dec-25'!J267</f>
        <v>#REF!</v>
      </c>
      <c r="K267" s="43" t="e">
        <f>+'Jul-24'!K267+'Aug-24'!K267+'Sep-24'!K267+'Oct-24'!K267+'Nov-24'!K267+'Dec-24'!K267+'Jan-25'!K267+'Feb-25'!K267+#REF!+#REF!+#REF!+'Dec-25'!K267</f>
        <v>#REF!</v>
      </c>
      <c r="L267" s="31" t="e">
        <f t="shared" si="70"/>
        <v>#REF!</v>
      </c>
      <c r="M267" s="31" t="e">
        <f t="shared" si="69"/>
        <v>#REF!</v>
      </c>
      <c r="N267" s="32"/>
    </row>
    <row r="268" spans="1:24" x14ac:dyDescent="0.25">
      <c r="A268" s="14"/>
      <c r="B268" s="27"/>
      <c r="C268" s="28" t="s">
        <v>13</v>
      </c>
      <c r="D268" s="28"/>
      <c r="E268" s="28"/>
      <c r="F268" s="28"/>
      <c r="G268" s="42" t="e">
        <f>+'Jul-24'!G268+'Aug-24'!G268+'Sep-24'!G268+'Oct-24'!G268+'Nov-24'!G268+'Dec-24'!G268+'Jan-25'!G268+'Feb-25'!G268+#REF!+#REF!+#REF!+'Dec-25'!G268</f>
        <v>#REF!</v>
      </c>
      <c r="H268" s="42" t="e">
        <f>+'Jul-24'!H268+'Aug-24'!H268+'Sep-24'!H268+'Oct-24'!H268+'Nov-24'!H268+'Dec-24'!H268+'Jan-25'!H268+'Feb-25'!H268+#REF!+#REF!+#REF!+'Dec-25'!H268</f>
        <v>#REF!</v>
      </c>
      <c r="I268" s="42" t="e">
        <f>+'Jul-24'!I268+'Aug-24'!I268+'Sep-24'!I268+'Oct-24'!I268+'Nov-24'!I268+'Dec-24'!I268+'Jan-25'!I268+'Feb-25'!I268+#REF!+#REF!+#REF!+'Dec-25'!I268</f>
        <v>#REF!</v>
      </c>
      <c r="J268" s="42" t="e">
        <f>+'Jul-24'!J268+'Aug-24'!J268+'Sep-24'!J268+'Oct-24'!J268+'Nov-24'!J268+'Dec-24'!J268+'Jan-25'!J268+'Feb-25'!J268+#REF!+#REF!+#REF!+'Dec-25'!J268</f>
        <v>#REF!</v>
      </c>
      <c r="K268" s="42" t="e">
        <f>+'Jul-24'!K268+'Aug-24'!K268+'Sep-24'!K268+'Oct-24'!K268+'Nov-24'!K268+'Dec-24'!K268+'Jan-25'!K268+'Feb-25'!K268+#REF!+#REF!+#REF!+'Dec-25'!K268</f>
        <v>#REF!</v>
      </c>
      <c r="L268" s="35" t="e">
        <f t="shared" si="70"/>
        <v>#REF!</v>
      </c>
      <c r="M268" s="35" t="e">
        <f t="shared" si="69"/>
        <v>#REF!</v>
      </c>
      <c r="N268" s="32"/>
    </row>
    <row r="269" spans="1:24" x14ac:dyDescent="0.25">
      <c r="A269" s="14"/>
      <c r="B269" s="27"/>
      <c r="C269" s="28" t="s">
        <v>14</v>
      </c>
      <c r="D269" s="28"/>
      <c r="E269" s="28"/>
      <c r="F269" s="28"/>
      <c r="G269" s="42" t="e">
        <f>+'Jul-24'!G269+'Aug-24'!G269+'Sep-24'!G269+'Oct-24'!G269+'Nov-24'!G269+'Dec-24'!G269+'Jan-25'!G269+'Feb-25'!G269+#REF!+#REF!+#REF!+'Dec-25'!G269</f>
        <v>#REF!</v>
      </c>
      <c r="H269" s="42" t="e">
        <f>+'Jul-24'!H269+'Aug-24'!H269+'Sep-24'!H269+'Oct-24'!H269+'Nov-24'!H269+'Dec-24'!H269+'Jan-25'!H269+'Feb-25'!H269+#REF!+#REF!+#REF!+'Dec-25'!H269</f>
        <v>#REF!</v>
      </c>
      <c r="I269" s="42" t="e">
        <f>+'Jul-24'!I269+'Aug-24'!I269+'Sep-24'!I269+'Oct-24'!I269+'Nov-24'!I269+'Dec-24'!I269+'Jan-25'!I269+'Feb-25'!I269+#REF!+#REF!+#REF!+'Dec-25'!I269</f>
        <v>#REF!</v>
      </c>
      <c r="J269" s="42" t="e">
        <f>+'Jul-24'!J269+'Aug-24'!J269+'Sep-24'!J269+'Oct-24'!J269+'Nov-24'!J269+'Dec-24'!J269+'Jan-25'!J269+'Feb-25'!J269+#REF!+#REF!+#REF!+'Dec-25'!J269</f>
        <v>#REF!</v>
      </c>
      <c r="K269" s="42" t="e">
        <f>+'Jul-24'!K269+'Aug-24'!K269+'Sep-24'!K269+'Oct-24'!K269+'Nov-24'!K269+'Dec-24'!K269+'Jan-25'!K269+'Feb-25'!K269+#REF!+#REF!+#REF!+'Dec-25'!K269</f>
        <v>#REF!</v>
      </c>
      <c r="L269" s="35" t="e">
        <f t="shared" si="70"/>
        <v>#REF!</v>
      </c>
      <c r="M269" s="35" t="e">
        <f t="shared" si="69"/>
        <v>#REF!</v>
      </c>
      <c r="N269" s="32"/>
    </row>
    <row r="270" spans="1:24" x14ac:dyDescent="0.25">
      <c r="A270" s="14"/>
      <c r="B270" s="27"/>
      <c r="C270" s="28" t="s">
        <v>4</v>
      </c>
      <c r="D270" s="28"/>
      <c r="E270" s="28"/>
      <c r="F270" s="28"/>
      <c r="G270" s="42" t="e">
        <f>+'Jul-24'!G270+'Aug-24'!G270+'Sep-24'!G270+'Oct-24'!G270+'Nov-24'!G270+'Dec-24'!G270+'Jan-25'!G270+'Feb-25'!G270+#REF!+#REF!+#REF!+'Dec-25'!G270</f>
        <v>#REF!</v>
      </c>
      <c r="H270" s="42" t="e">
        <f>+'Jul-24'!H270+'Aug-24'!H270+'Sep-24'!H270+'Oct-24'!H270+'Nov-24'!H270+'Dec-24'!H270+'Jan-25'!H270+'Feb-25'!H270+#REF!+#REF!+#REF!+'Dec-25'!H270</f>
        <v>#REF!</v>
      </c>
      <c r="I270" s="42" t="e">
        <f>+'Jul-24'!I270+'Aug-24'!I270+'Sep-24'!I270+'Oct-24'!I270+'Nov-24'!I270+'Dec-24'!I270+'Jan-25'!I270+'Feb-25'!I270+#REF!+#REF!+#REF!+'Dec-25'!I270</f>
        <v>#REF!</v>
      </c>
      <c r="J270" s="42" t="e">
        <f>+'Jul-24'!J270+'Aug-24'!J270+'Sep-24'!J270+'Oct-24'!J270+'Nov-24'!J270+'Dec-24'!J270+'Jan-25'!J270+'Feb-25'!J270+#REF!+#REF!+#REF!+'Dec-25'!J270</f>
        <v>#REF!</v>
      </c>
      <c r="K270" s="42" t="e">
        <f>+'Jul-24'!K270+'Aug-24'!K270+'Sep-24'!K270+'Oct-24'!K270+'Nov-24'!K270+'Dec-24'!K270+'Jan-25'!K270+'Feb-25'!K270+#REF!+#REF!+#REF!+'Dec-25'!K270</f>
        <v>#REF!</v>
      </c>
      <c r="L270" s="35" t="e">
        <f t="shared" si="70"/>
        <v>#REF!</v>
      </c>
      <c r="M270" s="35" t="e">
        <f t="shared" si="69"/>
        <v>#REF!</v>
      </c>
      <c r="N270" s="32"/>
    </row>
    <row r="271" spans="1:24" x14ac:dyDescent="0.25">
      <c r="A271" s="14"/>
      <c r="B271" s="27"/>
      <c r="C271" s="28" t="s">
        <v>15</v>
      </c>
      <c r="D271" s="28"/>
      <c r="E271" s="28"/>
      <c r="F271" s="28"/>
      <c r="G271" s="42" t="e">
        <f>+'Jul-24'!G271+'Aug-24'!G271+'Sep-24'!G271+'Oct-24'!G271+'Nov-24'!G271+'Dec-24'!G271+'Jan-25'!G271+'Feb-25'!G271+#REF!+#REF!+#REF!+'Dec-25'!G271</f>
        <v>#REF!</v>
      </c>
      <c r="H271" s="42" t="e">
        <f>+'Jul-24'!H271+'Aug-24'!H271+'Sep-24'!H271+'Oct-24'!H271+'Nov-24'!H271+'Dec-24'!H271+'Jan-25'!H271+'Feb-25'!H271+#REF!+#REF!+#REF!+'Dec-25'!H271</f>
        <v>#REF!</v>
      </c>
      <c r="I271" s="42" t="e">
        <f>+'Jul-24'!I271+'Aug-24'!I271+'Sep-24'!I271+'Oct-24'!I271+'Nov-24'!I271+'Dec-24'!I271+'Jan-25'!I271+'Feb-25'!I271+#REF!+#REF!+#REF!+'Dec-25'!I271</f>
        <v>#REF!</v>
      </c>
      <c r="J271" s="42" t="e">
        <f>+'Jul-24'!J271+'Aug-24'!J271+'Sep-24'!J271+'Oct-24'!J271+'Nov-24'!J271+'Dec-24'!J271+'Jan-25'!J271+'Feb-25'!J271+#REF!+#REF!+#REF!+'Dec-25'!J271</f>
        <v>#REF!</v>
      </c>
      <c r="K271" s="42" t="e">
        <f>+'Jul-24'!K271+'Aug-24'!K271+'Sep-24'!K271+'Oct-24'!K271+'Nov-24'!K271+'Dec-24'!K271+'Jan-25'!K271+'Feb-25'!K271+#REF!+#REF!+#REF!+'Dec-25'!K271</f>
        <v>#REF!</v>
      </c>
      <c r="L271" s="35" t="e">
        <f t="shared" si="70"/>
        <v>#REF!</v>
      </c>
      <c r="M271" s="35" t="e">
        <f t="shared" si="69"/>
        <v>#REF!</v>
      </c>
      <c r="N271" s="32"/>
    </row>
    <row r="272" spans="1:24" x14ac:dyDescent="0.25">
      <c r="A272" s="14"/>
      <c r="B272" s="27"/>
      <c r="C272" s="28" t="s">
        <v>16</v>
      </c>
      <c r="D272" s="28"/>
      <c r="E272" s="28"/>
      <c r="F272" s="28"/>
      <c r="G272" s="42" t="e">
        <f>+'Jul-24'!G272+'Aug-24'!G272+'Sep-24'!G272+'Oct-24'!G272+'Nov-24'!G272+'Dec-24'!G272+'Jan-25'!G272+'Feb-25'!G272+#REF!+#REF!+#REF!+'Dec-25'!G272</f>
        <v>#REF!</v>
      </c>
      <c r="H272" s="42" t="e">
        <f>+'Jul-24'!H272+'Aug-24'!H272+'Sep-24'!H272+'Oct-24'!H272+'Nov-24'!H272+'Dec-24'!H272+'Jan-25'!H272+'Feb-25'!H272+#REF!+#REF!+#REF!+'Dec-25'!H272</f>
        <v>#REF!</v>
      </c>
      <c r="I272" s="42" t="e">
        <f>+'Jul-24'!I272+'Aug-24'!I272+'Sep-24'!I272+'Oct-24'!I272+'Nov-24'!I272+'Dec-24'!I272+'Jan-25'!I272+'Feb-25'!I272+#REF!+#REF!+#REF!+'Dec-25'!I272</f>
        <v>#REF!</v>
      </c>
      <c r="J272" s="42" t="e">
        <f>+'Jul-24'!J272+'Aug-24'!J272+'Sep-24'!J272+'Oct-24'!J272+'Nov-24'!J272+'Dec-24'!J272+'Jan-25'!J272+'Feb-25'!J272+#REF!+#REF!+#REF!+'Dec-25'!J272</f>
        <v>#REF!</v>
      </c>
      <c r="K272" s="42" t="e">
        <f>+'Jul-24'!K272+'Aug-24'!K272+'Sep-24'!K272+'Oct-24'!K272+'Nov-24'!K272+'Dec-24'!K272+'Jan-25'!K272+'Feb-25'!K272+#REF!+#REF!+#REF!+'Dec-25'!K272</f>
        <v>#REF!</v>
      </c>
      <c r="L272" s="35" t="e">
        <f t="shared" si="70"/>
        <v>#REF!</v>
      </c>
      <c r="M272" s="35" t="e">
        <f t="shared" si="69"/>
        <v>#REF!</v>
      </c>
      <c r="N272" s="32"/>
    </row>
    <row r="273" spans="1:24" ht="15.75" thickBot="1" x14ac:dyDescent="0.3">
      <c r="A273" s="14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14"/>
      <c r="G274" s="33"/>
      <c r="H274" s="33"/>
      <c r="I274" s="33"/>
      <c r="J274" s="33"/>
      <c r="K274" s="33"/>
      <c r="L274" s="33"/>
      <c r="M274" s="33"/>
      <c r="N274" s="33"/>
    </row>
    <row r="275" spans="1:24" x14ac:dyDescent="0.25">
      <c r="A275" s="4">
        <f>+A259+1</f>
        <v>17</v>
      </c>
      <c r="B275" s="5"/>
      <c r="C275" s="6" t="s">
        <v>33</v>
      </c>
      <c r="D275" s="7"/>
      <c r="E275" s="8"/>
      <c r="F275" s="8"/>
      <c r="G275" s="10">
        <f>+$G$3</f>
        <v>2024</v>
      </c>
      <c r="H275" s="10">
        <f>+G275</f>
        <v>2024</v>
      </c>
      <c r="I275" s="10">
        <f t="shared" ref="I275:M276" si="71">+H275</f>
        <v>2024</v>
      </c>
      <c r="J275" s="10">
        <f t="shared" si="71"/>
        <v>2024</v>
      </c>
      <c r="K275" s="10">
        <f t="shared" si="71"/>
        <v>2024</v>
      </c>
      <c r="L275" s="10">
        <f t="shared" si="71"/>
        <v>2024</v>
      </c>
      <c r="M275" s="10">
        <f t="shared" si="71"/>
        <v>2024</v>
      </c>
      <c r="N275" s="11"/>
      <c r="S275" s="12" t="str">
        <f>+C275</f>
        <v>Zondwako</v>
      </c>
      <c r="T275" s="13" t="e">
        <f>+L279</f>
        <v>#REF!</v>
      </c>
      <c r="U275" s="13" t="e">
        <f>+L280+L281</f>
        <v>#REF!</v>
      </c>
      <c r="V275" s="13" t="e">
        <f>+L282+L283</f>
        <v>#REF!</v>
      </c>
      <c r="W275" s="13" t="e">
        <f>+L286</f>
        <v>#REF!</v>
      </c>
      <c r="X275" s="13" t="e">
        <f>+L284</f>
        <v>#REF!</v>
      </c>
    </row>
    <row r="276" spans="1:24" x14ac:dyDescent="0.25">
      <c r="A276" s="14"/>
      <c r="B276" s="15"/>
      <c r="C276" s="41" t="str">
        <f>+$C260</f>
        <v>Year to Date 2024/2025</v>
      </c>
      <c r="D276" s="18"/>
      <c r="E276" s="18"/>
      <c r="F276" s="18"/>
      <c r="G276" s="20" t="str">
        <f>+$G$4</f>
        <v>Week</v>
      </c>
      <c r="H276" s="20" t="str">
        <f>+G276</f>
        <v>Week</v>
      </c>
      <c r="I276" s="20" t="str">
        <f t="shared" si="71"/>
        <v>Week</v>
      </c>
      <c r="J276" s="20" t="str">
        <f t="shared" si="71"/>
        <v>Week</v>
      </c>
      <c r="K276" s="20" t="str">
        <f t="shared" si="71"/>
        <v>Week</v>
      </c>
      <c r="L276" s="20" t="str">
        <f t="shared" si="71"/>
        <v>Week</v>
      </c>
      <c r="M276" s="20" t="str">
        <f t="shared" si="71"/>
        <v>Week</v>
      </c>
      <c r="N276" s="21"/>
    </row>
    <row r="277" spans="1:24" ht="15.75" thickBot="1" x14ac:dyDescent="0.3">
      <c r="A277" s="14"/>
      <c r="B277" s="22"/>
      <c r="C277" s="23"/>
      <c r="D277" s="23"/>
      <c r="E277" s="23"/>
      <c r="F277" s="23"/>
      <c r="G277" s="25">
        <f>+$G$5</f>
        <v>1</v>
      </c>
      <c r="H277" s="25">
        <f>+$H$5</f>
        <v>2</v>
      </c>
      <c r="I277" s="25">
        <f>+$I$5</f>
        <v>3</v>
      </c>
      <c r="J277" s="25">
        <f>+$J$5</f>
        <v>4</v>
      </c>
      <c r="K277" s="25">
        <f>+$K$5</f>
        <v>5</v>
      </c>
      <c r="L277" s="25" t="s">
        <v>6</v>
      </c>
      <c r="M277" s="25" t="s">
        <v>7</v>
      </c>
      <c r="N277" s="26"/>
    </row>
    <row r="278" spans="1:24" x14ac:dyDescent="0.25">
      <c r="A278" s="14"/>
      <c r="B278" s="27"/>
      <c r="C278" s="28"/>
      <c r="D278" s="28"/>
      <c r="E278" s="28"/>
      <c r="F278" s="28"/>
      <c r="G278" s="29"/>
      <c r="H278" s="29"/>
      <c r="I278" s="29"/>
      <c r="J278" s="29"/>
      <c r="K278" s="28"/>
      <c r="L278" s="28"/>
      <c r="M278" s="28"/>
      <c r="N278" s="30"/>
    </row>
    <row r="279" spans="1:24" x14ac:dyDescent="0.25">
      <c r="A279" s="14"/>
      <c r="B279" s="27"/>
      <c r="C279" s="28" t="s">
        <v>8</v>
      </c>
      <c r="D279" s="28"/>
      <c r="E279" s="28"/>
      <c r="F279" s="28"/>
      <c r="G279" s="31" t="e">
        <f>SUM(G280:G283)</f>
        <v>#REF!</v>
      </c>
      <c r="H279" s="31" t="e">
        <f t="shared" ref="H279:L279" si="72">SUM(H280:H283)</f>
        <v>#REF!</v>
      </c>
      <c r="I279" s="31" t="e">
        <f t="shared" si="72"/>
        <v>#REF!</v>
      </c>
      <c r="J279" s="31" t="e">
        <f t="shared" si="72"/>
        <v>#REF!</v>
      </c>
      <c r="K279" s="31" t="e">
        <f t="shared" si="72"/>
        <v>#REF!</v>
      </c>
      <c r="L279" s="31" t="e">
        <f t="shared" si="72"/>
        <v>#REF!</v>
      </c>
      <c r="M279" s="31" t="e">
        <f>ROUND((L279/$E$1),0)</f>
        <v>#REF!</v>
      </c>
      <c r="N279" s="32"/>
    </row>
    <row r="280" spans="1:24" x14ac:dyDescent="0.25">
      <c r="A280" s="14"/>
      <c r="B280" s="27"/>
      <c r="C280" s="28"/>
      <c r="D280" s="28" t="s">
        <v>9</v>
      </c>
      <c r="E280" s="28"/>
      <c r="F280" s="28"/>
      <c r="G280" s="42" t="e">
        <f>+'Jul-24'!G280+'Aug-24'!G280+'Sep-24'!G280+'Oct-24'!G280+'Nov-24'!G280+'Dec-24'!G280+'Jan-25'!G280+'Feb-25'!G280+#REF!+#REF!+#REF!+'Dec-25'!G280</f>
        <v>#REF!</v>
      </c>
      <c r="H280" s="42" t="e">
        <f>+'Jul-24'!H280+'Aug-24'!H280+'Sep-24'!H280+'Oct-24'!H280+'Nov-24'!H280+'Dec-24'!H280+'Jan-25'!H280+'Feb-25'!H280+#REF!+#REF!+#REF!+'Dec-25'!H280</f>
        <v>#REF!</v>
      </c>
      <c r="I280" s="42" t="e">
        <f>+'Jul-24'!I280+'Aug-24'!I280+'Sep-24'!I280+'Oct-24'!I280+'Nov-24'!I280+'Dec-24'!I280+'Jan-25'!I280+'Feb-25'!I280+#REF!+#REF!+#REF!+'Dec-25'!I280</f>
        <v>#REF!</v>
      </c>
      <c r="J280" s="42" t="e">
        <f>+'Jul-24'!J280+'Aug-24'!J280+'Sep-24'!J280+'Oct-24'!J280+'Nov-24'!J280+'Dec-24'!J280+'Jan-25'!J280+'Feb-25'!J280+#REF!+#REF!+#REF!+'Dec-25'!J280</f>
        <v>#REF!</v>
      </c>
      <c r="K280" s="42" t="e">
        <f>+'Jul-24'!K280+'Aug-24'!K280+'Sep-24'!K280+'Oct-24'!K280+'Nov-24'!K280+'Dec-24'!K280+'Jan-25'!K280+'Feb-25'!K280+#REF!+#REF!+#REF!+'Dec-25'!K280</f>
        <v>#REF!</v>
      </c>
      <c r="L280" s="35" t="e">
        <f>SUM(G280:K280)</f>
        <v>#REF!</v>
      </c>
      <c r="M280" s="35" t="e">
        <f t="shared" ref="M280:M288" si="73">ROUND((L280/$E$1),0)</f>
        <v>#REF!</v>
      </c>
      <c r="N280" s="32"/>
    </row>
    <row r="281" spans="1:24" x14ac:dyDescent="0.25">
      <c r="A281" s="14"/>
      <c r="B281" s="27"/>
      <c r="C281" s="28"/>
      <c r="D281" s="28" t="s">
        <v>10</v>
      </c>
      <c r="E281" s="28"/>
      <c r="F281" s="28"/>
      <c r="G281" s="42" t="e">
        <f>+'Jul-24'!G281+'Aug-24'!G281+'Sep-24'!G281+'Oct-24'!G281+'Nov-24'!G281+'Dec-24'!G281+'Jan-25'!G281+'Feb-25'!G281+#REF!+#REF!+#REF!+'Dec-25'!G281</f>
        <v>#REF!</v>
      </c>
      <c r="H281" s="42" t="e">
        <f>+'Jul-24'!H281+'Aug-24'!H281+'Sep-24'!H281+'Oct-24'!H281+'Nov-24'!H281+'Dec-24'!H281+'Jan-25'!H281+'Feb-25'!H281+#REF!+#REF!+#REF!+'Dec-25'!H281</f>
        <v>#REF!</v>
      </c>
      <c r="I281" s="42" t="e">
        <f>+'Jul-24'!I281+'Aug-24'!I281+'Sep-24'!I281+'Oct-24'!I281+'Nov-24'!I281+'Dec-24'!I281+'Jan-25'!I281+'Feb-25'!I281+#REF!+#REF!+#REF!+'Dec-25'!I281</f>
        <v>#REF!</v>
      </c>
      <c r="J281" s="42" t="e">
        <f>+'Jul-24'!J281+'Aug-24'!J281+'Sep-24'!J281+'Oct-24'!J281+'Nov-24'!J281+'Dec-24'!J281+'Jan-25'!J281+'Feb-25'!J281+#REF!+#REF!+#REF!+'Dec-25'!J281</f>
        <v>#REF!</v>
      </c>
      <c r="K281" s="42" t="e">
        <f>+'Jul-24'!K281+'Aug-24'!K281+'Sep-24'!K281+'Oct-24'!K281+'Nov-24'!K281+'Dec-24'!K281+'Jan-25'!K281+'Feb-25'!K281+#REF!+#REF!+#REF!+'Dec-25'!K281</f>
        <v>#REF!</v>
      </c>
      <c r="L281" s="35" t="e">
        <f t="shared" ref="L281:L288" si="74">SUM(G281:K281)</f>
        <v>#REF!</v>
      </c>
      <c r="M281" s="35" t="e">
        <f t="shared" si="73"/>
        <v>#REF!</v>
      </c>
      <c r="N281" s="32"/>
    </row>
    <row r="282" spans="1:24" x14ac:dyDescent="0.25">
      <c r="A282" s="14"/>
      <c r="B282" s="27"/>
      <c r="C282" s="28"/>
      <c r="D282" s="28" t="s">
        <v>11</v>
      </c>
      <c r="E282" s="28"/>
      <c r="F282" s="28"/>
      <c r="G282" s="42" t="e">
        <f>+'Jul-24'!G282+'Aug-24'!G282+'Sep-24'!G282+'Oct-24'!G282+'Nov-24'!G282+'Dec-24'!G282+'Jan-25'!G282+'Feb-25'!G282+#REF!+#REF!+#REF!+'Dec-25'!G282</f>
        <v>#REF!</v>
      </c>
      <c r="H282" s="42" t="e">
        <f>+'Jul-24'!H282+'Aug-24'!H282+'Sep-24'!H282+'Oct-24'!H282+'Nov-24'!H282+'Dec-24'!H282+'Jan-25'!H282+'Feb-25'!H282+#REF!+#REF!+#REF!+'Dec-25'!H282</f>
        <v>#REF!</v>
      </c>
      <c r="I282" s="42" t="e">
        <f>+'Jul-24'!I282+'Aug-24'!I282+'Sep-24'!I282+'Oct-24'!I282+'Nov-24'!I282+'Dec-24'!I282+'Jan-25'!I282+'Feb-25'!I282+#REF!+#REF!+#REF!+'Dec-25'!I282</f>
        <v>#REF!</v>
      </c>
      <c r="J282" s="42" t="e">
        <f>+'Jul-24'!J282+'Aug-24'!J282+'Sep-24'!J282+'Oct-24'!J282+'Nov-24'!J282+'Dec-24'!J282+'Jan-25'!J282+'Feb-25'!J282+#REF!+#REF!+#REF!+'Dec-25'!J282</f>
        <v>#REF!</v>
      </c>
      <c r="K282" s="42" t="e">
        <f>+'Jul-24'!K282+'Aug-24'!K282+'Sep-24'!K282+'Oct-24'!K282+'Nov-24'!K282+'Dec-24'!K282+'Jan-25'!K282+'Feb-25'!K282+#REF!+#REF!+#REF!+'Dec-25'!K282</f>
        <v>#REF!</v>
      </c>
      <c r="L282" s="35" t="e">
        <f t="shared" si="74"/>
        <v>#REF!</v>
      </c>
      <c r="M282" s="35" t="e">
        <f t="shared" si="73"/>
        <v>#REF!</v>
      </c>
      <c r="N282" s="32"/>
    </row>
    <row r="283" spans="1:24" x14ac:dyDescent="0.25">
      <c r="A283" s="14"/>
      <c r="B283" s="27"/>
      <c r="C283" s="28"/>
      <c r="D283" s="28" t="s">
        <v>12</v>
      </c>
      <c r="E283" s="28"/>
      <c r="F283" s="28"/>
      <c r="G283" s="43" t="e">
        <f>+'Jul-24'!G283+'Aug-24'!G283+'Sep-24'!G283+'Oct-24'!G283+'Nov-24'!G283+'Dec-24'!G283+'Jan-25'!G283+'Feb-25'!G283+#REF!+#REF!+#REF!+'Dec-25'!G283</f>
        <v>#REF!</v>
      </c>
      <c r="H283" s="43" t="e">
        <f>+'Jul-24'!H283+'Aug-24'!H283+'Sep-24'!H283+'Oct-24'!H283+'Nov-24'!H283+'Dec-24'!H283+'Jan-25'!H283+'Feb-25'!H283+#REF!+#REF!+#REF!+'Dec-25'!H283</f>
        <v>#REF!</v>
      </c>
      <c r="I283" s="43" t="e">
        <f>+'Jul-24'!I283+'Aug-24'!I283+'Sep-24'!I283+'Oct-24'!I283+'Nov-24'!I283+'Dec-24'!I283+'Jan-25'!I283+'Feb-25'!I283+#REF!+#REF!+#REF!+'Dec-25'!I283</f>
        <v>#REF!</v>
      </c>
      <c r="J283" s="43" t="e">
        <f>+'Jul-24'!J283+'Aug-24'!J283+'Sep-24'!J283+'Oct-24'!J283+'Nov-24'!J283+'Dec-24'!J283+'Jan-25'!J283+'Feb-25'!J283+#REF!+#REF!+#REF!+'Dec-25'!J283</f>
        <v>#REF!</v>
      </c>
      <c r="K283" s="43" t="e">
        <f>+'Jul-24'!K283+'Aug-24'!K283+'Sep-24'!K283+'Oct-24'!K283+'Nov-24'!K283+'Dec-24'!K283+'Jan-25'!K283+'Feb-25'!K283+#REF!+#REF!+#REF!+'Dec-25'!K283</f>
        <v>#REF!</v>
      </c>
      <c r="L283" s="31" t="e">
        <f t="shared" si="74"/>
        <v>#REF!</v>
      </c>
      <c r="M283" s="31" t="e">
        <f t="shared" si="73"/>
        <v>#REF!</v>
      </c>
      <c r="N283" s="32"/>
    </row>
    <row r="284" spans="1:24" x14ac:dyDescent="0.25">
      <c r="A284" s="14"/>
      <c r="B284" s="27"/>
      <c r="C284" s="28" t="s">
        <v>13</v>
      </c>
      <c r="D284" s="28"/>
      <c r="E284" s="28"/>
      <c r="F284" s="28"/>
      <c r="G284" s="42" t="e">
        <f>+'Jul-24'!G284+'Aug-24'!G284+'Sep-24'!G284+'Oct-24'!G284+'Nov-24'!G284+'Dec-24'!G284+'Jan-25'!G284+'Feb-25'!G284+#REF!+#REF!+#REF!+'Dec-25'!G284</f>
        <v>#REF!</v>
      </c>
      <c r="H284" s="42" t="e">
        <f>+'Jul-24'!H284+'Aug-24'!H284+'Sep-24'!H284+'Oct-24'!H284+'Nov-24'!H284+'Dec-24'!H284+'Jan-25'!H284+'Feb-25'!H284+#REF!+#REF!+#REF!+'Dec-25'!H284</f>
        <v>#REF!</v>
      </c>
      <c r="I284" s="42" t="e">
        <f>+'Jul-24'!I284+'Aug-24'!I284+'Sep-24'!I284+'Oct-24'!I284+'Nov-24'!I284+'Dec-24'!I284+'Jan-25'!I284+'Feb-25'!I284+#REF!+#REF!+#REF!+'Dec-25'!I284</f>
        <v>#REF!</v>
      </c>
      <c r="J284" s="42" t="e">
        <f>+'Jul-24'!J284+'Aug-24'!J284+'Sep-24'!J284+'Oct-24'!J284+'Nov-24'!J284+'Dec-24'!J284+'Jan-25'!J284+'Feb-25'!J284+#REF!+#REF!+#REF!+'Dec-25'!J284</f>
        <v>#REF!</v>
      </c>
      <c r="K284" s="42" t="e">
        <f>+'Jul-24'!K284+'Aug-24'!K284+'Sep-24'!K284+'Oct-24'!K284+'Nov-24'!K284+'Dec-24'!K284+'Jan-25'!K284+'Feb-25'!K284+#REF!+#REF!+#REF!+'Dec-25'!K284</f>
        <v>#REF!</v>
      </c>
      <c r="L284" s="35" t="e">
        <f t="shared" si="74"/>
        <v>#REF!</v>
      </c>
      <c r="M284" s="35" t="e">
        <f t="shared" si="73"/>
        <v>#REF!</v>
      </c>
      <c r="N284" s="32"/>
    </row>
    <row r="285" spans="1:24" x14ac:dyDescent="0.25">
      <c r="A285" s="14"/>
      <c r="B285" s="27"/>
      <c r="C285" s="28" t="s">
        <v>14</v>
      </c>
      <c r="D285" s="28"/>
      <c r="E285" s="28"/>
      <c r="F285" s="28"/>
      <c r="G285" s="42" t="e">
        <f>+'Jul-24'!G285+'Aug-24'!G285+'Sep-24'!G285+'Oct-24'!G285+'Nov-24'!G285+'Dec-24'!G285+'Jan-25'!G285+'Feb-25'!G285+#REF!+#REF!+#REF!+'Dec-25'!G285</f>
        <v>#REF!</v>
      </c>
      <c r="H285" s="42" t="e">
        <f>+'Jul-24'!H285+'Aug-24'!H285+'Sep-24'!H285+'Oct-24'!H285+'Nov-24'!H285+'Dec-24'!H285+'Jan-25'!H285+'Feb-25'!H285+#REF!+#REF!+#REF!+'Dec-25'!H285</f>
        <v>#REF!</v>
      </c>
      <c r="I285" s="42" t="e">
        <f>+'Jul-24'!I285+'Aug-24'!I285+'Sep-24'!I285+'Oct-24'!I285+'Nov-24'!I285+'Dec-24'!I285+'Jan-25'!I285+'Feb-25'!I285+#REF!+#REF!+#REF!+'Dec-25'!I285</f>
        <v>#REF!</v>
      </c>
      <c r="J285" s="42" t="e">
        <f>+'Jul-24'!J285+'Aug-24'!J285+'Sep-24'!J285+'Oct-24'!J285+'Nov-24'!J285+'Dec-24'!J285+'Jan-25'!J285+'Feb-25'!J285+#REF!+#REF!+#REF!+'Dec-25'!J285</f>
        <v>#REF!</v>
      </c>
      <c r="K285" s="42" t="e">
        <f>+'Jul-24'!K285+'Aug-24'!K285+'Sep-24'!K285+'Oct-24'!K285+'Nov-24'!K285+'Dec-24'!K285+'Jan-25'!K285+'Feb-25'!K285+#REF!+#REF!+#REF!+'Dec-25'!K285</f>
        <v>#REF!</v>
      </c>
      <c r="L285" s="35" t="e">
        <f t="shared" si="74"/>
        <v>#REF!</v>
      </c>
      <c r="M285" s="35" t="e">
        <f t="shared" si="73"/>
        <v>#REF!</v>
      </c>
      <c r="N285" s="32"/>
    </row>
    <row r="286" spans="1:24" x14ac:dyDescent="0.25">
      <c r="A286" s="14"/>
      <c r="B286" s="27"/>
      <c r="C286" s="28" t="s">
        <v>4</v>
      </c>
      <c r="D286" s="28"/>
      <c r="E286" s="28"/>
      <c r="F286" s="28"/>
      <c r="G286" s="42" t="e">
        <f>+'Jul-24'!G286+'Aug-24'!G286+'Sep-24'!G286+'Oct-24'!G286+'Nov-24'!G286+'Dec-24'!G286+'Jan-25'!G286+'Feb-25'!G286+#REF!+#REF!+#REF!+'Dec-25'!G286</f>
        <v>#REF!</v>
      </c>
      <c r="H286" s="42" t="e">
        <f>+'Jul-24'!H286+'Aug-24'!H286+'Sep-24'!H286+'Oct-24'!H286+'Nov-24'!H286+'Dec-24'!H286+'Jan-25'!H286+'Feb-25'!H286+#REF!+#REF!+#REF!+'Dec-25'!H286</f>
        <v>#REF!</v>
      </c>
      <c r="I286" s="42" t="e">
        <f>+'Jul-24'!I286+'Aug-24'!I286+'Sep-24'!I286+'Oct-24'!I286+'Nov-24'!I286+'Dec-24'!I286+'Jan-25'!I286+'Feb-25'!I286+#REF!+#REF!+#REF!+'Dec-25'!I286</f>
        <v>#REF!</v>
      </c>
      <c r="J286" s="42" t="e">
        <f>+'Jul-24'!J286+'Aug-24'!J286+'Sep-24'!J286+'Oct-24'!J286+'Nov-24'!J286+'Dec-24'!J286+'Jan-25'!J286+'Feb-25'!J286+#REF!+#REF!+#REF!+'Dec-25'!J286</f>
        <v>#REF!</v>
      </c>
      <c r="K286" s="42" t="e">
        <f>+'Jul-24'!K286+'Aug-24'!K286+'Sep-24'!K286+'Oct-24'!K286+'Nov-24'!K286+'Dec-24'!K286+'Jan-25'!K286+'Feb-25'!K286+#REF!+#REF!+#REF!+'Dec-25'!K286</f>
        <v>#REF!</v>
      </c>
      <c r="L286" s="35" t="e">
        <f t="shared" si="74"/>
        <v>#REF!</v>
      </c>
      <c r="M286" s="35" t="e">
        <f t="shared" si="73"/>
        <v>#REF!</v>
      </c>
      <c r="N286" s="32"/>
    </row>
    <row r="287" spans="1:24" x14ac:dyDescent="0.25">
      <c r="A287" s="14"/>
      <c r="B287" s="27"/>
      <c r="C287" s="28" t="s">
        <v>15</v>
      </c>
      <c r="D287" s="28"/>
      <c r="E287" s="28"/>
      <c r="F287" s="28"/>
      <c r="G287" s="42" t="e">
        <f>+'Jul-24'!G287+'Aug-24'!G287+'Sep-24'!G287+'Oct-24'!G287+'Nov-24'!G287+'Dec-24'!G287+'Jan-25'!G287+'Feb-25'!G287+#REF!+#REF!+#REF!+'Dec-25'!G287</f>
        <v>#REF!</v>
      </c>
      <c r="H287" s="42" t="e">
        <f>+'Jul-24'!H287+'Aug-24'!H287+'Sep-24'!H287+'Oct-24'!H287+'Nov-24'!H287+'Dec-24'!H287+'Jan-25'!H287+'Feb-25'!H287+#REF!+#REF!+#REF!+'Dec-25'!H287</f>
        <v>#REF!</v>
      </c>
      <c r="I287" s="42" t="e">
        <f>+'Jul-24'!I287+'Aug-24'!I287+'Sep-24'!I287+'Oct-24'!I287+'Nov-24'!I287+'Dec-24'!I287+'Jan-25'!I287+'Feb-25'!I287+#REF!+#REF!+#REF!+'Dec-25'!I287</f>
        <v>#REF!</v>
      </c>
      <c r="J287" s="42" t="e">
        <f>+'Jul-24'!J287+'Aug-24'!J287+'Sep-24'!J287+'Oct-24'!J287+'Nov-24'!J287+'Dec-24'!J287+'Jan-25'!J287+'Feb-25'!J287+#REF!+#REF!+#REF!+'Dec-25'!J287</f>
        <v>#REF!</v>
      </c>
      <c r="K287" s="42" t="e">
        <f>+'Jul-24'!K287+'Aug-24'!K287+'Sep-24'!K287+'Oct-24'!K287+'Nov-24'!K287+'Dec-24'!K287+'Jan-25'!K287+'Feb-25'!K287+#REF!+#REF!+#REF!+'Dec-25'!K287</f>
        <v>#REF!</v>
      </c>
      <c r="L287" s="35" t="e">
        <f t="shared" si="74"/>
        <v>#REF!</v>
      </c>
      <c r="M287" s="35" t="e">
        <f t="shared" si="73"/>
        <v>#REF!</v>
      </c>
      <c r="N287" s="32"/>
    </row>
    <row r="288" spans="1:24" x14ac:dyDescent="0.25">
      <c r="A288" s="14"/>
      <c r="B288" s="27"/>
      <c r="C288" s="28" t="s">
        <v>16</v>
      </c>
      <c r="D288" s="28"/>
      <c r="E288" s="28"/>
      <c r="F288" s="28"/>
      <c r="G288" s="42" t="e">
        <f>+'Jul-24'!G288+'Aug-24'!G288+'Sep-24'!G288+'Oct-24'!G288+'Nov-24'!G288+'Dec-24'!G288+'Jan-25'!G288+'Feb-25'!G288+#REF!+#REF!+#REF!+'Dec-25'!G288</f>
        <v>#REF!</v>
      </c>
      <c r="H288" s="42" t="e">
        <f>+'Jul-24'!H288+'Aug-24'!H288+'Sep-24'!H288+'Oct-24'!H288+'Nov-24'!H288+'Dec-24'!H288+'Jan-25'!H288+'Feb-25'!H288+#REF!+#REF!+#REF!+'Dec-25'!H288</f>
        <v>#REF!</v>
      </c>
      <c r="I288" s="42" t="e">
        <f>+'Jul-24'!I288+'Aug-24'!I288+'Sep-24'!I288+'Oct-24'!I288+'Nov-24'!I288+'Dec-24'!I288+'Jan-25'!I288+'Feb-25'!I288+#REF!+#REF!+#REF!+'Dec-25'!I288</f>
        <v>#REF!</v>
      </c>
      <c r="J288" s="42" t="e">
        <f>+'Jul-24'!J288+'Aug-24'!J288+'Sep-24'!J288+'Oct-24'!J288+'Nov-24'!J288+'Dec-24'!J288+'Jan-25'!J288+'Feb-25'!J288+#REF!+#REF!+#REF!+'Dec-25'!J288</f>
        <v>#REF!</v>
      </c>
      <c r="K288" s="42" t="e">
        <f>+'Jul-24'!K288+'Aug-24'!K288+'Sep-24'!K288+'Oct-24'!K288+'Nov-24'!K288+'Dec-24'!K288+'Jan-25'!K288+'Feb-25'!K288+#REF!+#REF!+#REF!+'Dec-25'!K288</f>
        <v>#REF!</v>
      </c>
      <c r="L288" s="35" t="e">
        <f t="shared" si="74"/>
        <v>#REF!</v>
      </c>
      <c r="M288" s="35" t="e">
        <f t="shared" si="73"/>
        <v>#REF!</v>
      </c>
      <c r="N288" s="32"/>
    </row>
    <row r="289" spans="1:24" ht="15.75" thickBot="1" x14ac:dyDescent="0.3">
      <c r="A289" s="14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14"/>
      <c r="G290" s="33"/>
      <c r="H290" s="33"/>
      <c r="I290" s="33"/>
      <c r="J290" s="33"/>
      <c r="K290" s="33"/>
      <c r="L290" s="33"/>
      <c r="M290" s="33"/>
      <c r="N290" s="33"/>
    </row>
    <row r="291" spans="1:24" x14ac:dyDescent="0.25">
      <c r="A291" s="4">
        <f>+A275+1</f>
        <v>18</v>
      </c>
      <c r="B291" s="40"/>
      <c r="C291" s="6" t="s">
        <v>34</v>
      </c>
      <c r="D291" s="7"/>
      <c r="E291" s="8"/>
      <c r="F291" s="8"/>
      <c r="G291" s="10">
        <f>+$G$3</f>
        <v>2024</v>
      </c>
      <c r="H291" s="10">
        <f>+G291</f>
        <v>2024</v>
      </c>
      <c r="I291" s="10">
        <f t="shared" ref="I291:M292" si="75">+H291</f>
        <v>2024</v>
      </c>
      <c r="J291" s="10">
        <f t="shared" si="75"/>
        <v>2024</v>
      </c>
      <c r="K291" s="10">
        <f t="shared" si="75"/>
        <v>2024</v>
      </c>
      <c r="L291" s="10">
        <f t="shared" si="75"/>
        <v>2024</v>
      </c>
      <c r="M291" s="10">
        <f t="shared" si="75"/>
        <v>2024</v>
      </c>
      <c r="N291" s="11"/>
      <c r="S291" s="12" t="str">
        <f>+C291</f>
        <v>Mangcongco</v>
      </c>
      <c r="T291" s="13" t="e">
        <f>+L295</f>
        <v>#REF!</v>
      </c>
      <c r="U291" s="13" t="e">
        <f>+L296+L297</f>
        <v>#REF!</v>
      </c>
      <c r="V291" s="13" t="e">
        <f>+L298+L299</f>
        <v>#REF!</v>
      </c>
      <c r="W291" s="13" t="e">
        <f>+L302</f>
        <v>#REF!</v>
      </c>
      <c r="X291" s="13" t="e">
        <f>+L300</f>
        <v>#REF!</v>
      </c>
    </row>
    <row r="292" spans="1:24" x14ac:dyDescent="0.25">
      <c r="A292" s="14"/>
      <c r="B292" s="15"/>
      <c r="C292" s="41" t="str">
        <f>+$C276</f>
        <v>Year to Date 2024/2025</v>
      </c>
      <c r="D292" s="18"/>
      <c r="E292" s="18"/>
      <c r="F292" s="18"/>
      <c r="G292" s="20" t="str">
        <f>+$G$4</f>
        <v>Week</v>
      </c>
      <c r="H292" s="20" t="str">
        <f>+G292</f>
        <v>Week</v>
      </c>
      <c r="I292" s="20" t="str">
        <f t="shared" si="75"/>
        <v>Week</v>
      </c>
      <c r="J292" s="20" t="str">
        <f t="shared" si="75"/>
        <v>Week</v>
      </c>
      <c r="K292" s="20" t="str">
        <f t="shared" si="75"/>
        <v>Week</v>
      </c>
      <c r="L292" s="20" t="str">
        <f t="shared" si="75"/>
        <v>Week</v>
      </c>
      <c r="M292" s="20" t="str">
        <f t="shared" si="75"/>
        <v>Week</v>
      </c>
      <c r="N292" s="21"/>
    </row>
    <row r="293" spans="1:24" ht="15.75" thickBot="1" x14ac:dyDescent="0.3">
      <c r="A293" s="14"/>
      <c r="B293" s="22"/>
      <c r="C293" s="23"/>
      <c r="D293" s="23"/>
      <c r="E293" s="23"/>
      <c r="F293" s="23"/>
      <c r="G293" s="25">
        <f>+$G$5</f>
        <v>1</v>
      </c>
      <c r="H293" s="25">
        <f>+$H$5</f>
        <v>2</v>
      </c>
      <c r="I293" s="25">
        <f>+$I$5</f>
        <v>3</v>
      </c>
      <c r="J293" s="25">
        <f>+$J$5</f>
        <v>4</v>
      </c>
      <c r="K293" s="25">
        <f>+$K$5</f>
        <v>5</v>
      </c>
      <c r="L293" s="25" t="s">
        <v>6</v>
      </c>
      <c r="M293" s="25" t="s">
        <v>7</v>
      </c>
      <c r="N293" s="26"/>
    </row>
    <row r="294" spans="1:24" x14ac:dyDescent="0.25">
      <c r="A294" s="14"/>
      <c r="B294" s="27"/>
      <c r="C294" s="28"/>
      <c r="D294" s="28"/>
      <c r="E294" s="28"/>
      <c r="F294" s="28"/>
      <c r="G294" s="29"/>
      <c r="H294" s="29"/>
      <c r="I294" s="29"/>
      <c r="J294" s="29"/>
      <c r="K294" s="28"/>
      <c r="L294" s="28"/>
      <c r="M294" s="28"/>
      <c r="N294" s="30"/>
    </row>
    <row r="295" spans="1:24" x14ac:dyDescent="0.25">
      <c r="A295" s="14"/>
      <c r="B295" s="27"/>
      <c r="C295" s="28" t="s">
        <v>8</v>
      </c>
      <c r="D295" s="28"/>
      <c r="E295" s="28"/>
      <c r="F295" s="28"/>
      <c r="G295" s="31" t="e">
        <f>SUM(G296:G299)</f>
        <v>#REF!</v>
      </c>
      <c r="H295" s="31" t="e">
        <f t="shared" ref="H295:L295" si="76">SUM(H296:H299)</f>
        <v>#REF!</v>
      </c>
      <c r="I295" s="31" t="e">
        <f t="shared" si="76"/>
        <v>#REF!</v>
      </c>
      <c r="J295" s="31" t="e">
        <f t="shared" si="76"/>
        <v>#REF!</v>
      </c>
      <c r="K295" s="31" t="e">
        <f t="shared" si="76"/>
        <v>#REF!</v>
      </c>
      <c r="L295" s="31" t="e">
        <f t="shared" si="76"/>
        <v>#REF!</v>
      </c>
      <c r="M295" s="31" t="e">
        <f>ROUND((L295/$E$1),0)</f>
        <v>#REF!</v>
      </c>
      <c r="N295" s="32"/>
    </row>
    <row r="296" spans="1:24" x14ac:dyDescent="0.25">
      <c r="A296" s="14"/>
      <c r="B296" s="27"/>
      <c r="C296" s="28"/>
      <c r="D296" s="28" t="s">
        <v>9</v>
      </c>
      <c r="E296" s="28"/>
      <c r="F296" s="28"/>
      <c r="G296" s="42" t="e">
        <f>+'Jul-24'!G296+'Aug-24'!G296+'Sep-24'!G296+'Oct-24'!G296+'Nov-24'!G296+'Dec-24'!G296+'Jan-25'!G296+'Feb-25'!G296+#REF!+#REF!+#REF!+'Dec-25'!G296</f>
        <v>#REF!</v>
      </c>
      <c r="H296" s="42" t="e">
        <f>+'Jul-24'!H296+'Aug-24'!H296+'Sep-24'!H296+'Oct-24'!H296+'Nov-24'!H296+'Dec-24'!H296+'Jan-25'!H296+'Feb-25'!H296+#REF!+#REF!+#REF!+'Dec-25'!H296</f>
        <v>#REF!</v>
      </c>
      <c r="I296" s="42" t="e">
        <f>+'Jul-24'!I296+'Aug-24'!I296+'Sep-24'!I296+'Oct-24'!I296+'Nov-24'!I296+'Dec-24'!I296+'Jan-25'!I296+'Feb-25'!I296+#REF!+#REF!+#REF!+'Dec-25'!I296</f>
        <v>#REF!</v>
      </c>
      <c r="J296" s="42" t="e">
        <f>+'Jul-24'!J296+'Aug-24'!J296+'Sep-24'!J296+'Oct-24'!J296+'Nov-24'!J296+'Dec-24'!J296+'Jan-25'!J296+'Feb-25'!J296+#REF!+#REF!+#REF!+'Dec-25'!J296</f>
        <v>#REF!</v>
      </c>
      <c r="K296" s="42" t="e">
        <f>+'Jul-24'!K296+'Aug-24'!K296+'Sep-24'!K296+'Oct-24'!K296+'Nov-24'!K296+'Dec-24'!K296+'Jan-25'!K296+'Feb-25'!K296+#REF!+#REF!+#REF!+'Dec-25'!K296</f>
        <v>#REF!</v>
      </c>
      <c r="L296" s="35" t="e">
        <f>SUM(G296:K296)</f>
        <v>#REF!</v>
      </c>
      <c r="M296" s="35" t="e">
        <f t="shared" ref="M296:M304" si="77">ROUND((L296/$E$1),0)</f>
        <v>#REF!</v>
      </c>
      <c r="N296" s="32"/>
    </row>
    <row r="297" spans="1:24" x14ac:dyDescent="0.25">
      <c r="A297" s="14"/>
      <c r="B297" s="27"/>
      <c r="C297" s="28"/>
      <c r="D297" s="28" t="s">
        <v>10</v>
      </c>
      <c r="E297" s="28"/>
      <c r="F297" s="28"/>
      <c r="G297" s="42" t="e">
        <f>+'Jul-24'!G297+'Aug-24'!G297+'Sep-24'!G297+'Oct-24'!G297+'Nov-24'!G297+'Dec-24'!G297+'Jan-25'!G297+'Feb-25'!G297+#REF!+#REF!+#REF!+'Dec-25'!G297</f>
        <v>#REF!</v>
      </c>
      <c r="H297" s="42" t="e">
        <f>+'Jul-24'!H297+'Aug-24'!H297+'Sep-24'!H297+'Oct-24'!H297+'Nov-24'!H297+'Dec-24'!H297+'Jan-25'!H297+'Feb-25'!H297+#REF!+#REF!+#REF!+'Dec-25'!H297</f>
        <v>#REF!</v>
      </c>
      <c r="I297" s="42" t="e">
        <f>+'Jul-24'!I297+'Aug-24'!I297+'Sep-24'!I297+'Oct-24'!I297+'Nov-24'!I297+'Dec-24'!I297+'Jan-25'!I297+'Feb-25'!I297+#REF!+#REF!+#REF!+'Dec-25'!I297</f>
        <v>#REF!</v>
      </c>
      <c r="J297" s="42" t="e">
        <f>+'Jul-24'!J297+'Aug-24'!J297+'Sep-24'!J297+'Oct-24'!J297+'Nov-24'!J297+'Dec-24'!J297+'Jan-25'!J297+'Feb-25'!J297+#REF!+#REF!+#REF!+'Dec-25'!J297</f>
        <v>#REF!</v>
      </c>
      <c r="K297" s="42" t="e">
        <f>+'Jul-24'!K297+'Aug-24'!K297+'Sep-24'!K297+'Oct-24'!K297+'Nov-24'!K297+'Dec-24'!K297+'Jan-25'!K297+'Feb-25'!K297+#REF!+#REF!+#REF!+'Dec-25'!K297</f>
        <v>#REF!</v>
      </c>
      <c r="L297" s="35" t="e">
        <f t="shared" ref="L297:L304" si="78">SUM(G297:K297)</f>
        <v>#REF!</v>
      </c>
      <c r="M297" s="35" t="e">
        <f t="shared" si="77"/>
        <v>#REF!</v>
      </c>
      <c r="N297" s="32"/>
    </row>
    <row r="298" spans="1:24" x14ac:dyDescent="0.25">
      <c r="A298" s="14"/>
      <c r="B298" s="27"/>
      <c r="C298" s="28"/>
      <c r="D298" s="28" t="s">
        <v>11</v>
      </c>
      <c r="E298" s="28"/>
      <c r="F298" s="28"/>
      <c r="G298" s="42" t="e">
        <f>+'Jul-24'!G298+'Aug-24'!G298+'Sep-24'!G298+'Oct-24'!G298+'Nov-24'!G298+'Dec-24'!G298+'Jan-25'!G298+'Feb-25'!G298+#REF!+#REF!+#REF!+'Dec-25'!G298</f>
        <v>#REF!</v>
      </c>
      <c r="H298" s="42" t="e">
        <f>+'Jul-24'!H298+'Aug-24'!H298+'Sep-24'!H298+'Oct-24'!H298+'Nov-24'!H298+'Dec-24'!H298+'Jan-25'!H298+'Feb-25'!H298+#REF!+#REF!+#REF!+'Dec-25'!H298</f>
        <v>#REF!</v>
      </c>
      <c r="I298" s="42" t="e">
        <f>+'Jul-24'!I298+'Aug-24'!I298+'Sep-24'!I298+'Oct-24'!I298+'Nov-24'!I298+'Dec-24'!I298+'Jan-25'!I298+'Feb-25'!I298+#REF!+#REF!+#REF!+'Dec-25'!I298</f>
        <v>#REF!</v>
      </c>
      <c r="J298" s="42" t="e">
        <f>+'Jul-24'!J298+'Aug-24'!J298+'Sep-24'!J298+'Oct-24'!J298+'Nov-24'!J298+'Dec-24'!J298+'Jan-25'!J298+'Feb-25'!J298+#REF!+#REF!+#REF!+'Dec-25'!J298</f>
        <v>#REF!</v>
      </c>
      <c r="K298" s="42" t="e">
        <f>+'Jul-24'!K298+'Aug-24'!K298+'Sep-24'!K298+'Oct-24'!K298+'Nov-24'!K298+'Dec-24'!K298+'Jan-25'!K298+'Feb-25'!K298+#REF!+#REF!+#REF!+'Dec-25'!K298</f>
        <v>#REF!</v>
      </c>
      <c r="L298" s="35" t="e">
        <f t="shared" si="78"/>
        <v>#REF!</v>
      </c>
      <c r="M298" s="35" t="e">
        <f t="shared" si="77"/>
        <v>#REF!</v>
      </c>
      <c r="N298" s="32"/>
    </row>
    <row r="299" spans="1:24" x14ac:dyDescent="0.25">
      <c r="A299" s="14"/>
      <c r="B299" s="27"/>
      <c r="C299" s="28"/>
      <c r="D299" s="28" t="s">
        <v>12</v>
      </c>
      <c r="E299" s="28"/>
      <c r="F299" s="28"/>
      <c r="G299" s="43" t="e">
        <f>+'Jul-24'!G299+'Aug-24'!G299+'Sep-24'!G299+'Oct-24'!G299+'Nov-24'!G299+'Dec-24'!G299+'Jan-25'!G299+'Feb-25'!G299+#REF!+#REF!+#REF!+'Dec-25'!G299</f>
        <v>#REF!</v>
      </c>
      <c r="H299" s="43" t="e">
        <f>+'Jul-24'!H299+'Aug-24'!H299+'Sep-24'!H299+'Oct-24'!H299+'Nov-24'!H299+'Dec-24'!H299+'Jan-25'!H299+'Feb-25'!H299+#REF!+#REF!+#REF!+'Dec-25'!H299</f>
        <v>#REF!</v>
      </c>
      <c r="I299" s="43" t="e">
        <f>+'Jul-24'!I299+'Aug-24'!I299+'Sep-24'!I299+'Oct-24'!I299+'Nov-24'!I299+'Dec-24'!I299+'Jan-25'!I299+'Feb-25'!I299+#REF!+#REF!+#REF!+'Dec-25'!I299</f>
        <v>#REF!</v>
      </c>
      <c r="J299" s="43" t="e">
        <f>+'Jul-24'!J299+'Aug-24'!J299+'Sep-24'!J299+'Oct-24'!J299+'Nov-24'!J299+'Dec-24'!J299+'Jan-25'!J299+'Feb-25'!J299+#REF!+#REF!+#REF!+'Dec-25'!J299</f>
        <v>#REF!</v>
      </c>
      <c r="K299" s="43" t="e">
        <f>+'Jul-24'!K299+'Aug-24'!K299+'Sep-24'!K299+'Oct-24'!K299+'Nov-24'!K299+'Dec-24'!K299+'Jan-25'!K299+'Feb-25'!K299+#REF!+#REF!+#REF!+'Dec-25'!K299</f>
        <v>#REF!</v>
      </c>
      <c r="L299" s="31" t="e">
        <f t="shared" si="78"/>
        <v>#REF!</v>
      </c>
      <c r="M299" s="31" t="e">
        <f t="shared" si="77"/>
        <v>#REF!</v>
      </c>
      <c r="N299" s="32"/>
    </row>
    <row r="300" spans="1:24" x14ac:dyDescent="0.25">
      <c r="A300" s="14"/>
      <c r="B300" s="27"/>
      <c r="C300" s="28" t="s">
        <v>13</v>
      </c>
      <c r="D300" s="28"/>
      <c r="E300" s="28"/>
      <c r="F300" s="28"/>
      <c r="G300" s="42" t="e">
        <f>+'Jul-24'!G300+'Aug-24'!G300+'Sep-24'!G300+'Oct-24'!G300+'Nov-24'!G300+'Dec-24'!G300+'Jan-25'!G300+'Feb-25'!G300+#REF!+#REF!+#REF!+'Dec-25'!G300</f>
        <v>#REF!</v>
      </c>
      <c r="H300" s="42" t="e">
        <f>+'Jul-24'!H300+'Aug-24'!H300+'Sep-24'!H300+'Oct-24'!H300+'Nov-24'!H300+'Dec-24'!H300+'Jan-25'!H300+'Feb-25'!H300+#REF!+#REF!+#REF!+'Dec-25'!H300</f>
        <v>#REF!</v>
      </c>
      <c r="I300" s="42" t="e">
        <f>+'Jul-24'!I300+'Aug-24'!I300+'Sep-24'!I300+'Oct-24'!I300+'Nov-24'!I300+'Dec-24'!I300+'Jan-25'!I300+'Feb-25'!I300+#REF!+#REF!+#REF!+'Dec-25'!I300</f>
        <v>#REF!</v>
      </c>
      <c r="J300" s="42" t="e">
        <f>+'Jul-24'!J300+'Aug-24'!J300+'Sep-24'!J300+'Oct-24'!J300+'Nov-24'!J300+'Dec-24'!J300+'Jan-25'!J300+'Feb-25'!J300+#REF!+#REF!+#REF!+'Dec-25'!J300</f>
        <v>#REF!</v>
      </c>
      <c r="K300" s="42" t="e">
        <f>+'Jul-24'!K300+'Aug-24'!K300+'Sep-24'!K300+'Oct-24'!K300+'Nov-24'!K300+'Dec-24'!K300+'Jan-25'!K300+'Feb-25'!K300+#REF!+#REF!+#REF!+'Dec-25'!K300</f>
        <v>#REF!</v>
      </c>
      <c r="L300" s="35" t="e">
        <f t="shared" si="78"/>
        <v>#REF!</v>
      </c>
      <c r="M300" s="35" t="e">
        <f t="shared" si="77"/>
        <v>#REF!</v>
      </c>
      <c r="N300" s="32"/>
    </row>
    <row r="301" spans="1:24" x14ac:dyDescent="0.25">
      <c r="A301" s="14"/>
      <c r="B301" s="27"/>
      <c r="C301" s="28" t="s">
        <v>14</v>
      </c>
      <c r="D301" s="28"/>
      <c r="E301" s="28"/>
      <c r="F301" s="28"/>
      <c r="G301" s="42" t="e">
        <f>+'Jul-24'!G301+'Aug-24'!G301+'Sep-24'!G301+'Oct-24'!G301+'Nov-24'!G301+'Dec-24'!G301+'Jan-25'!G301+'Feb-25'!G301+#REF!+#REF!+#REF!+'Dec-25'!G301</f>
        <v>#REF!</v>
      </c>
      <c r="H301" s="42" t="e">
        <f>+'Jul-24'!H301+'Aug-24'!H301+'Sep-24'!H301+'Oct-24'!H301+'Nov-24'!H301+'Dec-24'!H301+'Jan-25'!H301+'Feb-25'!H301+#REF!+#REF!+#REF!+'Dec-25'!H301</f>
        <v>#REF!</v>
      </c>
      <c r="I301" s="42" t="e">
        <f>+'Jul-24'!I301+'Aug-24'!I301+'Sep-24'!I301+'Oct-24'!I301+'Nov-24'!I301+'Dec-24'!I301+'Jan-25'!I301+'Feb-25'!I301+#REF!+#REF!+#REF!+'Dec-25'!I301</f>
        <v>#REF!</v>
      </c>
      <c r="J301" s="42" t="e">
        <f>+'Jul-24'!J301+'Aug-24'!J301+'Sep-24'!J301+'Oct-24'!J301+'Nov-24'!J301+'Dec-24'!J301+'Jan-25'!J301+'Feb-25'!J301+#REF!+#REF!+#REF!+'Dec-25'!J301</f>
        <v>#REF!</v>
      </c>
      <c r="K301" s="42" t="e">
        <f>+'Jul-24'!K301+'Aug-24'!K301+'Sep-24'!K301+'Oct-24'!K301+'Nov-24'!K301+'Dec-24'!K301+'Jan-25'!K301+'Feb-25'!K301+#REF!+#REF!+#REF!+'Dec-25'!K301</f>
        <v>#REF!</v>
      </c>
      <c r="L301" s="35" t="e">
        <f t="shared" si="78"/>
        <v>#REF!</v>
      </c>
      <c r="M301" s="35" t="e">
        <f t="shared" si="77"/>
        <v>#REF!</v>
      </c>
      <c r="N301" s="32"/>
    </row>
    <row r="302" spans="1:24" x14ac:dyDescent="0.25">
      <c r="A302" s="14"/>
      <c r="B302" s="27"/>
      <c r="C302" s="28" t="s">
        <v>4</v>
      </c>
      <c r="D302" s="28"/>
      <c r="E302" s="28"/>
      <c r="F302" s="28"/>
      <c r="G302" s="42" t="e">
        <f>+'Jul-24'!G302+'Aug-24'!G302+'Sep-24'!G302+'Oct-24'!G302+'Nov-24'!G302+'Dec-24'!G302+'Jan-25'!G302+'Feb-25'!G302+#REF!+#REF!+#REF!+'Dec-25'!G302</f>
        <v>#REF!</v>
      </c>
      <c r="H302" s="42" t="e">
        <f>+'Jul-24'!H302+'Aug-24'!H302+'Sep-24'!H302+'Oct-24'!H302+'Nov-24'!H302+'Dec-24'!H302+'Jan-25'!H302+'Feb-25'!H302+#REF!+#REF!+#REF!+'Dec-25'!H302</f>
        <v>#REF!</v>
      </c>
      <c r="I302" s="42" t="e">
        <f>+'Jul-24'!I302+'Aug-24'!I302+'Sep-24'!I302+'Oct-24'!I302+'Nov-24'!I302+'Dec-24'!I302+'Jan-25'!I302+'Feb-25'!I302+#REF!+#REF!+#REF!+'Dec-25'!I302</f>
        <v>#REF!</v>
      </c>
      <c r="J302" s="42" t="e">
        <f>+'Jul-24'!J302+'Aug-24'!J302+'Sep-24'!J302+'Oct-24'!J302+'Nov-24'!J302+'Dec-24'!J302+'Jan-25'!J302+'Feb-25'!J302+#REF!+#REF!+#REF!+'Dec-25'!J302</f>
        <v>#REF!</v>
      </c>
      <c r="K302" s="42" t="e">
        <f>+'Jul-24'!K302+'Aug-24'!K302+'Sep-24'!K302+'Oct-24'!K302+'Nov-24'!K302+'Dec-24'!K302+'Jan-25'!K302+'Feb-25'!K302+#REF!+#REF!+#REF!+'Dec-25'!K302</f>
        <v>#REF!</v>
      </c>
      <c r="L302" s="35" t="e">
        <f t="shared" si="78"/>
        <v>#REF!</v>
      </c>
      <c r="M302" s="35" t="e">
        <f t="shared" si="77"/>
        <v>#REF!</v>
      </c>
      <c r="N302" s="32"/>
    </row>
    <row r="303" spans="1:24" x14ac:dyDescent="0.25">
      <c r="A303" s="14"/>
      <c r="B303" s="27"/>
      <c r="C303" s="28" t="s">
        <v>15</v>
      </c>
      <c r="D303" s="28"/>
      <c r="E303" s="28"/>
      <c r="F303" s="28"/>
      <c r="G303" s="42" t="e">
        <f>+'Jul-24'!G303+'Aug-24'!G303+'Sep-24'!G303+'Oct-24'!G303+'Nov-24'!G303+'Dec-24'!G303+'Jan-25'!G303+'Feb-25'!G303+#REF!+#REF!+#REF!+'Dec-25'!G303</f>
        <v>#REF!</v>
      </c>
      <c r="H303" s="42" t="e">
        <f>+'Jul-24'!H303+'Aug-24'!H303+'Sep-24'!H303+'Oct-24'!H303+'Nov-24'!H303+'Dec-24'!H303+'Jan-25'!H303+'Feb-25'!H303+#REF!+#REF!+#REF!+'Dec-25'!H303</f>
        <v>#REF!</v>
      </c>
      <c r="I303" s="42" t="e">
        <f>+'Jul-24'!I303+'Aug-24'!I303+'Sep-24'!I303+'Oct-24'!I303+'Nov-24'!I303+'Dec-24'!I303+'Jan-25'!I303+'Feb-25'!I303+#REF!+#REF!+#REF!+'Dec-25'!I303</f>
        <v>#REF!</v>
      </c>
      <c r="J303" s="42" t="e">
        <f>+'Jul-24'!J303+'Aug-24'!J303+'Sep-24'!J303+'Oct-24'!J303+'Nov-24'!J303+'Dec-24'!J303+'Jan-25'!J303+'Feb-25'!J303+#REF!+#REF!+#REF!+'Dec-25'!J303</f>
        <v>#REF!</v>
      </c>
      <c r="K303" s="42" t="e">
        <f>+'Jul-24'!K303+'Aug-24'!K303+'Sep-24'!K303+'Oct-24'!K303+'Nov-24'!K303+'Dec-24'!K303+'Jan-25'!K303+'Feb-25'!K303+#REF!+#REF!+#REF!+'Dec-25'!K303</f>
        <v>#REF!</v>
      </c>
      <c r="L303" s="35" t="e">
        <f t="shared" si="78"/>
        <v>#REF!</v>
      </c>
      <c r="M303" s="35" t="e">
        <f t="shared" si="77"/>
        <v>#REF!</v>
      </c>
      <c r="N303" s="32"/>
    </row>
    <row r="304" spans="1:24" x14ac:dyDescent="0.25">
      <c r="A304" s="14"/>
      <c r="B304" s="27"/>
      <c r="C304" s="28" t="s">
        <v>16</v>
      </c>
      <c r="D304" s="28"/>
      <c r="E304" s="28"/>
      <c r="F304" s="28"/>
      <c r="G304" s="42" t="e">
        <f>+'Jul-24'!G304+'Aug-24'!G304+'Sep-24'!G304+'Oct-24'!G304+'Nov-24'!G304+'Dec-24'!G304+'Jan-25'!G304+'Feb-25'!G304+#REF!+#REF!+#REF!+'Dec-25'!G304</f>
        <v>#REF!</v>
      </c>
      <c r="H304" s="42" t="e">
        <f>+'Jul-24'!H304+'Aug-24'!H304+'Sep-24'!H304+'Oct-24'!H304+'Nov-24'!H304+'Dec-24'!H304+'Jan-25'!H304+'Feb-25'!H304+#REF!+#REF!+#REF!+'Dec-25'!H304</f>
        <v>#REF!</v>
      </c>
      <c r="I304" s="42" t="e">
        <f>+'Jul-24'!I304+'Aug-24'!I304+'Sep-24'!I304+'Oct-24'!I304+'Nov-24'!I304+'Dec-24'!I304+'Jan-25'!I304+'Feb-25'!I304+#REF!+#REF!+#REF!+'Dec-25'!I304</f>
        <v>#REF!</v>
      </c>
      <c r="J304" s="42" t="e">
        <f>+'Jul-24'!J304+'Aug-24'!J304+'Sep-24'!J304+'Oct-24'!J304+'Nov-24'!J304+'Dec-24'!J304+'Jan-25'!J304+'Feb-25'!J304+#REF!+#REF!+#REF!+'Dec-25'!J304</f>
        <v>#REF!</v>
      </c>
      <c r="K304" s="42" t="e">
        <f>+'Jul-24'!K304+'Aug-24'!K304+'Sep-24'!K304+'Oct-24'!K304+'Nov-24'!K304+'Dec-24'!K304+'Jan-25'!K304+'Feb-25'!K304+#REF!+#REF!+#REF!+'Dec-25'!K304</f>
        <v>#REF!</v>
      </c>
      <c r="L304" s="35" t="e">
        <f t="shared" si="78"/>
        <v>#REF!</v>
      </c>
      <c r="M304" s="35" t="e">
        <f t="shared" si="77"/>
        <v>#REF!</v>
      </c>
      <c r="N304" s="32"/>
    </row>
    <row r="305" spans="1:24" ht="15.75" thickBot="1" x14ac:dyDescent="0.3">
      <c r="A305" s="14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4"/>
      <c r="H306" s="44"/>
      <c r="I306" s="44"/>
      <c r="J306" s="44"/>
      <c r="K306" s="44"/>
      <c r="L306" s="44"/>
      <c r="M306" s="44"/>
      <c r="N306" s="44"/>
    </row>
    <row r="307" spans="1:24" x14ac:dyDescent="0.25">
      <c r="A307" s="4">
        <f>+A291+1</f>
        <v>19</v>
      </c>
      <c r="B307" s="40"/>
      <c r="C307" s="6" t="s">
        <v>35</v>
      </c>
      <c r="D307" s="7"/>
      <c r="E307" s="8"/>
      <c r="F307" s="8"/>
      <c r="G307" s="10">
        <f>+$G$3</f>
        <v>2024</v>
      </c>
      <c r="H307" s="10">
        <f>+G307</f>
        <v>2024</v>
      </c>
      <c r="I307" s="10">
        <f t="shared" ref="I307:M308" si="79">+H307</f>
        <v>2024</v>
      </c>
      <c r="J307" s="10">
        <f t="shared" si="79"/>
        <v>2024</v>
      </c>
      <c r="K307" s="10">
        <f t="shared" si="79"/>
        <v>2024</v>
      </c>
      <c r="L307" s="10">
        <f t="shared" si="79"/>
        <v>2024</v>
      </c>
      <c r="M307" s="10">
        <f t="shared" si="79"/>
        <v>2024</v>
      </c>
      <c r="N307" s="11"/>
      <c r="S307" s="12" t="str">
        <f>+C307</f>
        <v>Kaliba</v>
      </c>
      <c r="T307" s="13" t="e">
        <f>+L311</f>
        <v>#REF!</v>
      </c>
      <c r="U307" s="13" t="e">
        <f>+L312+L313</f>
        <v>#REF!</v>
      </c>
      <c r="V307" s="13" t="e">
        <f>+L314+L315</f>
        <v>#REF!</v>
      </c>
      <c r="W307" s="13" t="e">
        <f>+L318</f>
        <v>#REF!</v>
      </c>
      <c r="X307" s="13" t="e">
        <f>+L316</f>
        <v>#REF!</v>
      </c>
    </row>
    <row r="308" spans="1:24" x14ac:dyDescent="0.25">
      <c r="A308" s="14"/>
      <c r="B308" s="15"/>
      <c r="C308" s="41" t="str">
        <f>+$C292</f>
        <v>Year to Date 2024/2025</v>
      </c>
      <c r="D308" s="18"/>
      <c r="E308" s="18"/>
      <c r="F308" s="18"/>
      <c r="G308" s="20" t="str">
        <f>+$G$4</f>
        <v>Week</v>
      </c>
      <c r="H308" s="20" t="str">
        <f>+G308</f>
        <v>Week</v>
      </c>
      <c r="I308" s="20" t="str">
        <f t="shared" si="79"/>
        <v>Week</v>
      </c>
      <c r="J308" s="20" t="str">
        <f t="shared" si="79"/>
        <v>Week</v>
      </c>
      <c r="K308" s="20" t="str">
        <f t="shared" si="79"/>
        <v>Week</v>
      </c>
      <c r="L308" s="20" t="str">
        <f t="shared" si="79"/>
        <v>Week</v>
      </c>
      <c r="M308" s="20" t="str">
        <f t="shared" si="79"/>
        <v>Week</v>
      </c>
      <c r="N308" s="21"/>
    </row>
    <row r="309" spans="1:24" ht="15.75" thickBot="1" x14ac:dyDescent="0.3">
      <c r="A309" s="14"/>
      <c r="B309" s="22"/>
      <c r="C309" s="23"/>
      <c r="D309" s="23"/>
      <c r="E309" s="23"/>
      <c r="F309" s="23"/>
      <c r="G309" s="25">
        <f>+$G$5</f>
        <v>1</v>
      </c>
      <c r="H309" s="25">
        <f>+$H$5</f>
        <v>2</v>
      </c>
      <c r="I309" s="25">
        <f>+$I$5</f>
        <v>3</v>
      </c>
      <c r="J309" s="25">
        <f>+$J$5</f>
        <v>4</v>
      </c>
      <c r="K309" s="25">
        <f>+$K$5</f>
        <v>5</v>
      </c>
      <c r="L309" s="25" t="s">
        <v>6</v>
      </c>
      <c r="M309" s="25" t="s">
        <v>7</v>
      </c>
      <c r="N309" s="26"/>
    </row>
    <row r="310" spans="1:24" x14ac:dyDescent="0.25">
      <c r="A310" s="14"/>
      <c r="B310" s="27"/>
      <c r="C310" s="28"/>
      <c r="D310" s="28"/>
      <c r="E310" s="28"/>
      <c r="F310" s="28"/>
      <c r="G310" s="29"/>
      <c r="H310" s="29"/>
      <c r="I310" s="29"/>
      <c r="J310" s="29"/>
      <c r="K310" s="28"/>
      <c r="L310" s="28"/>
      <c r="M310" s="28"/>
      <c r="N310" s="30"/>
    </row>
    <row r="311" spans="1:24" x14ac:dyDescent="0.25">
      <c r="A311" s="14"/>
      <c r="B311" s="27"/>
      <c r="C311" s="28" t="s">
        <v>8</v>
      </c>
      <c r="D311" s="28"/>
      <c r="E311" s="28"/>
      <c r="F311" s="28"/>
      <c r="G311" s="31" t="e">
        <f>SUM(G312:G315)</f>
        <v>#REF!</v>
      </c>
      <c r="H311" s="31" t="e">
        <f t="shared" ref="H311:L311" si="80">SUM(H312:H315)</f>
        <v>#REF!</v>
      </c>
      <c r="I311" s="31" t="e">
        <f t="shared" si="80"/>
        <v>#REF!</v>
      </c>
      <c r="J311" s="31" t="e">
        <f t="shared" si="80"/>
        <v>#REF!</v>
      </c>
      <c r="K311" s="31" t="e">
        <f t="shared" si="80"/>
        <v>#REF!</v>
      </c>
      <c r="L311" s="31" t="e">
        <f t="shared" si="80"/>
        <v>#REF!</v>
      </c>
      <c r="M311" s="31" t="e">
        <f>ROUND((L311/$E$1),0)</f>
        <v>#REF!</v>
      </c>
      <c r="N311" s="32"/>
    </row>
    <row r="312" spans="1:24" x14ac:dyDescent="0.25">
      <c r="A312" s="14"/>
      <c r="B312" s="27"/>
      <c r="C312" s="28"/>
      <c r="D312" s="28" t="s">
        <v>9</v>
      </c>
      <c r="E312" s="28"/>
      <c r="F312" s="28"/>
      <c r="G312" s="42" t="e">
        <f>+'Jul-24'!G312+'Aug-24'!G312+'Sep-24'!G312+'Oct-24'!G312+'Nov-24'!G312+'Dec-24'!G312+'Jan-25'!G312+'Feb-25'!G312+#REF!+#REF!+#REF!+'Dec-25'!G312</f>
        <v>#REF!</v>
      </c>
      <c r="H312" s="42" t="e">
        <f>+'Jul-24'!H312+'Aug-24'!H312+'Sep-24'!H312+'Oct-24'!H312+'Nov-24'!H312+'Dec-24'!H312+'Jan-25'!H312+'Feb-25'!H312+#REF!+#REF!+#REF!+'Dec-25'!H312</f>
        <v>#REF!</v>
      </c>
      <c r="I312" s="42" t="e">
        <f>+'Jul-24'!I312+'Aug-24'!I312+'Sep-24'!I312+'Oct-24'!I312+'Nov-24'!I312+'Dec-24'!I312+'Jan-25'!I312+'Feb-25'!I312+#REF!+#REF!+#REF!+'Dec-25'!I312</f>
        <v>#REF!</v>
      </c>
      <c r="J312" s="42" t="e">
        <f>+'Jul-24'!J312+'Aug-24'!J312+'Sep-24'!J312+'Oct-24'!J312+'Nov-24'!J312+'Dec-24'!J312+'Jan-25'!J312+'Feb-25'!J312+#REF!+#REF!+#REF!+'Dec-25'!J312</f>
        <v>#REF!</v>
      </c>
      <c r="K312" s="42" t="e">
        <f>+'Jul-24'!K312+'Aug-24'!K312+'Sep-24'!K312+'Oct-24'!K312+'Nov-24'!K312+'Dec-24'!K312+'Jan-25'!K312+'Feb-25'!K312+#REF!+#REF!+#REF!+'Dec-25'!K312</f>
        <v>#REF!</v>
      </c>
      <c r="L312" s="35" t="e">
        <f>SUM(G312:K312)</f>
        <v>#REF!</v>
      </c>
      <c r="M312" s="35" t="e">
        <f t="shared" ref="M312:M320" si="81">ROUND((L312/$E$1),0)</f>
        <v>#REF!</v>
      </c>
      <c r="N312" s="32"/>
    </row>
    <row r="313" spans="1:24" x14ac:dyDescent="0.25">
      <c r="A313" s="14"/>
      <c r="B313" s="27"/>
      <c r="C313" s="28"/>
      <c r="D313" s="28" t="s">
        <v>10</v>
      </c>
      <c r="E313" s="28"/>
      <c r="F313" s="28"/>
      <c r="G313" s="42" t="e">
        <f>+'Jul-24'!G313+'Aug-24'!G313+'Sep-24'!G313+'Oct-24'!G313+'Nov-24'!G313+'Dec-24'!G313+'Jan-25'!G313+'Feb-25'!G313+#REF!+#REF!+#REF!+'Dec-25'!G313</f>
        <v>#REF!</v>
      </c>
      <c r="H313" s="42" t="e">
        <f>+'Jul-24'!H313+'Aug-24'!H313+'Sep-24'!H313+'Oct-24'!H313+'Nov-24'!H313+'Dec-24'!H313+'Jan-25'!H313+'Feb-25'!H313+#REF!+#REF!+#REF!+'Dec-25'!H313</f>
        <v>#REF!</v>
      </c>
      <c r="I313" s="42" t="e">
        <f>+'Jul-24'!I313+'Aug-24'!I313+'Sep-24'!I313+'Oct-24'!I313+'Nov-24'!I313+'Dec-24'!I313+'Jan-25'!I313+'Feb-25'!I313+#REF!+#REF!+#REF!+'Dec-25'!I313</f>
        <v>#REF!</v>
      </c>
      <c r="J313" s="42" t="e">
        <f>+'Jul-24'!J313+'Aug-24'!J313+'Sep-24'!J313+'Oct-24'!J313+'Nov-24'!J313+'Dec-24'!J313+'Jan-25'!J313+'Feb-25'!J313+#REF!+#REF!+#REF!+'Dec-25'!J313</f>
        <v>#REF!</v>
      </c>
      <c r="K313" s="42" t="e">
        <f>+'Jul-24'!K313+'Aug-24'!K313+'Sep-24'!K313+'Oct-24'!K313+'Nov-24'!K313+'Dec-24'!K313+'Jan-25'!K313+'Feb-25'!K313+#REF!+#REF!+#REF!+'Dec-25'!K313</f>
        <v>#REF!</v>
      </c>
      <c r="L313" s="35" t="e">
        <f t="shared" ref="L313:L320" si="82">SUM(G313:K313)</f>
        <v>#REF!</v>
      </c>
      <c r="M313" s="35" t="e">
        <f t="shared" si="81"/>
        <v>#REF!</v>
      </c>
      <c r="N313" s="32"/>
    </row>
    <row r="314" spans="1:24" x14ac:dyDescent="0.25">
      <c r="A314" s="14"/>
      <c r="B314" s="27"/>
      <c r="C314" s="28"/>
      <c r="D314" s="28" t="s">
        <v>11</v>
      </c>
      <c r="E314" s="28"/>
      <c r="F314" s="28"/>
      <c r="G314" s="42" t="e">
        <f>+'Jul-24'!G314+'Aug-24'!G314+'Sep-24'!G314+'Oct-24'!G314+'Nov-24'!G314+'Dec-24'!G314+'Jan-25'!G314+'Feb-25'!G314+#REF!+#REF!+#REF!+'Dec-25'!G314</f>
        <v>#REF!</v>
      </c>
      <c r="H314" s="42" t="e">
        <f>+'Jul-24'!H314+'Aug-24'!H314+'Sep-24'!H314+'Oct-24'!H314+'Nov-24'!H314+'Dec-24'!H314+'Jan-25'!H314+'Feb-25'!H314+#REF!+#REF!+#REF!+'Dec-25'!H314</f>
        <v>#REF!</v>
      </c>
      <c r="I314" s="42" t="e">
        <f>+'Jul-24'!I314+'Aug-24'!I314+'Sep-24'!I314+'Oct-24'!I314+'Nov-24'!I314+'Dec-24'!I314+'Jan-25'!I314+'Feb-25'!I314+#REF!+#REF!+#REF!+'Dec-25'!I314</f>
        <v>#REF!</v>
      </c>
      <c r="J314" s="42" t="e">
        <f>+'Jul-24'!J314+'Aug-24'!J314+'Sep-24'!J314+'Oct-24'!J314+'Nov-24'!J314+'Dec-24'!J314+'Jan-25'!J314+'Feb-25'!J314+#REF!+#REF!+#REF!+'Dec-25'!J314</f>
        <v>#REF!</v>
      </c>
      <c r="K314" s="42" t="e">
        <f>+'Jul-24'!K314+'Aug-24'!K314+'Sep-24'!K314+'Oct-24'!K314+'Nov-24'!K314+'Dec-24'!K314+'Jan-25'!K314+'Feb-25'!K314+#REF!+#REF!+#REF!+'Dec-25'!K314</f>
        <v>#REF!</v>
      </c>
      <c r="L314" s="35" t="e">
        <f t="shared" si="82"/>
        <v>#REF!</v>
      </c>
      <c r="M314" s="35" t="e">
        <f t="shared" si="81"/>
        <v>#REF!</v>
      </c>
      <c r="N314" s="32"/>
    </row>
    <row r="315" spans="1:24" x14ac:dyDescent="0.25">
      <c r="A315" s="14"/>
      <c r="B315" s="27"/>
      <c r="C315" s="28"/>
      <c r="D315" s="28" t="s">
        <v>12</v>
      </c>
      <c r="E315" s="28"/>
      <c r="F315" s="28"/>
      <c r="G315" s="43" t="e">
        <f>+'Jul-24'!G315+'Aug-24'!G315+'Sep-24'!G315+'Oct-24'!G315+'Nov-24'!G315+'Dec-24'!G315+'Jan-25'!G315+'Feb-25'!G315+#REF!+#REF!+#REF!+'Dec-25'!G315</f>
        <v>#REF!</v>
      </c>
      <c r="H315" s="43" t="e">
        <f>+'Jul-24'!H315+'Aug-24'!H315+'Sep-24'!H315+'Oct-24'!H315+'Nov-24'!H315+'Dec-24'!H315+'Jan-25'!H315+'Feb-25'!H315+#REF!+#REF!+#REF!+'Dec-25'!H315</f>
        <v>#REF!</v>
      </c>
      <c r="I315" s="43" t="e">
        <f>+'Jul-24'!I315+'Aug-24'!I315+'Sep-24'!I315+'Oct-24'!I315+'Nov-24'!I315+'Dec-24'!I315+'Jan-25'!I315+'Feb-25'!I315+#REF!+#REF!+#REF!+'Dec-25'!I315</f>
        <v>#REF!</v>
      </c>
      <c r="J315" s="43" t="e">
        <f>+'Jul-24'!J315+'Aug-24'!J315+'Sep-24'!J315+'Oct-24'!J315+'Nov-24'!J315+'Dec-24'!J315+'Jan-25'!J315+'Feb-25'!J315+#REF!+#REF!+#REF!+'Dec-25'!J315</f>
        <v>#REF!</v>
      </c>
      <c r="K315" s="43" t="e">
        <f>+'Jul-24'!K315+'Aug-24'!K315+'Sep-24'!K315+'Oct-24'!K315+'Nov-24'!K315+'Dec-24'!K315+'Jan-25'!K315+'Feb-25'!K315+#REF!+#REF!+#REF!+'Dec-25'!K315</f>
        <v>#REF!</v>
      </c>
      <c r="L315" s="31" t="e">
        <f t="shared" si="82"/>
        <v>#REF!</v>
      </c>
      <c r="M315" s="31" t="e">
        <f t="shared" si="81"/>
        <v>#REF!</v>
      </c>
      <c r="N315" s="32"/>
    </row>
    <row r="316" spans="1:24" x14ac:dyDescent="0.25">
      <c r="A316" s="14"/>
      <c r="B316" s="27"/>
      <c r="C316" s="28" t="s">
        <v>13</v>
      </c>
      <c r="D316" s="28"/>
      <c r="E316" s="28"/>
      <c r="F316" s="28"/>
      <c r="G316" s="42" t="e">
        <f>+'Jul-24'!G316+'Aug-24'!G316+'Sep-24'!G316+'Oct-24'!G316+'Nov-24'!G316+'Dec-24'!G316+'Jan-25'!G316+'Feb-25'!G316+#REF!+#REF!+#REF!+'Dec-25'!G316</f>
        <v>#REF!</v>
      </c>
      <c r="H316" s="42" t="e">
        <f>+'Jul-24'!H316+'Aug-24'!H316+'Sep-24'!H316+'Oct-24'!H316+'Nov-24'!H316+'Dec-24'!H316+'Jan-25'!H316+'Feb-25'!H316+#REF!+#REF!+#REF!+'Dec-25'!H316</f>
        <v>#REF!</v>
      </c>
      <c r="I316" s="42" t="e">
        <f>+'Jul-24'!I316+'Aug-24'!I316+'Sep-24'!I316+'Oct-24'!I316+'Nov-24'!I316+'Dec-24'!I316+'Jan-25'!I316+'Feb-25'!I316+#REF!+#REF!+#REF!+'Dec-25'!I316</f>
        <v>#REF!</v>
      </c>
      <c r="J316" s="42" t="e">
        <f>+'Jul-24'!J316+'Aug-24'!J316+'Sep-24'!J316+'Oct-24'!J316+'Nov-24'!J316+'Dec-24'!J316+'Jan-25'!J316+'Feb-25'!J316+#REF!+#REF!+#REF!+'Dec-25'!J316</f>
        <v>#REF!</v>
      </c>
      <c r="K316" s="42" t="e">
        <f>+'Jul-24'!K316+'Aug-24'!K316+'Sep-24'!K316+'Oct-24'!K316+'Nov-24'!K316+'Dec-24'!K316+'Jan-25'!K316+'Feb-25'!K316+#REF!+#REF!+#REF!+'Dec-25'!K316</f>
        <v>#REF!</v>
      </c>
      <c r="L316" s="35" t="e">
        <f t="shared" si="82"/>
        <v>#REF!</v>
      </c>
      <c r="M316" s="35" t="e">
        <f t="shared" si="81"/>
        <v>#REF!</v>
      </c>
      <c r="N316" s="32"/>
    </row>
    <row r="317" spans="1:24" x14ac:dyDescent="0.25">
      <c r="A317" s="14"/>
      <c r="B317" s="27"/>
      <c r="C317" s="28" t="s">
        <v>14</v>
      </c>
      <c r="D317" s="28"/>
      <c r="E317" s="28"/>
      <c r="F317" s="28"/>
      <c r="G317" s="42" t="e">
        <f>+'Jul-24'!G317+'Aug-24'!G317+'Sep-24'!G317+'Oct-24'!G317+'Nov-24'!G317+'Dec-24'!G317+'Jan-25'!G317+'Feb-25'!G317+#REF!+#REF!+#REF!+'Dec-25'!G317</f>
        <v>#REF!</v>
      </c>
      <c r="H317" s="42" t="e">
        <f>+'Jul-24'!H317+'Aug-24'!H317+'Sep-24'!H317+'Oct-24'!H317+'Nov-24'!H317+'Dec-24'!H317+'Jan-25'!H317+'Feb-25'!H317+#REF!+#REF!+#REF!+'Dec-25'!H317</f>
        <v>#REF!</v>
      </c>
      <c r="I317" s="42" t="e">
        <f>+'Jul-24'!I317+'Aug-24'!I317+'Sep-24'!I317+'Oct-24'!I317+'Nov-24'!I317+'Dec-24'!I317+'Jan-25'!I317+'Feb-25'!I317+#REF!+#REF!+#REF!+'Dec-25'!I317</f>
        <v>#REF!</v>
      </c>
      <c r="J317" s="42" t="e">
        <f>+'Jul-24'!J317+'Aug-24'!J317+'Sep-24'!J317+'Oct-24'!J317+'Nov-24'!J317+'Dec-24'!J317+'Jan-25'!J317+'Feb-25'!J317+#REF!+#REF!+#REF!+'Dec-25'!J317</f>
        <v>#REF!</v>
      </c>
      <c r="K317" s="42" t="e">
        <f>+'Jul-24'!K317+'Aug-24'!K317+'Sep-24'!K317+'Oct-24'!K317+'Nov-24'!K317+'Dec-24'!K317+'Jan-25'!K317+'Feb-25'!K317+#REF!+#REF!+#REF!+'Dec-25'!K317</f>
        <v>#REF!</v>
      </c>
      <c r="L317" s="35" t="e">
        <f t="shared" si="82"/>
        <v>#REF!</v>
      </c>
      <c r="M317" s="35" t="e">
        <f t="shared" si="81"/>
        <v>#REF!</v>
      </c>
      <c r="N317" s="32"/>
    </row>
    <row r="318" spans="1:24" x14ac:dyDescent="0.25">
      <c r="A318" s="14"/>
      <c r="B318" s="27"/>
      <c r="C318" s="28" t="s">
        <v>4</v>
      </c>
      <c r="D318" s="28"/>
      <c r="E318" s="28"/>
      <c r="F318" s="28"/>
      <c r="G318" s="42" t="e">
        <f>+'Jul-24'!G318+'Aug-24'!G318+'Sep-24'!G318+'Oct-24'!G318+'Nov-24'!G318+'Dec-24'!G318+'Jan-25'!G318+'Feb-25'!G318+#REF!+#REF!+#REF!+'Dec-25'!G318</f>
        <v>#REF!</v>
      </c>
      <c r="H318" s="42" t="e">
        <f>+'Jul-24'!H318+'Aug-24'!H318+'Sep-24'!H318+'Oct-24'!H318+'Nov-24'!H318+'Dec-24'!H318+'Jan-25'!H318+'Feb-25'!H318+#REF!+#REF!+#REF!+'Dec-25'!H318</f>
        <v>#REF!</v>
      </c>
      <c r="I318" s="42" t="e">
        <f>+'Jul-24'!I318+'Aug-24'!I318+'Sep-24'!I318+'Oct-24'!I318+'Nov-24'!I318+'Dec-24'!I318+'Jan-25'!I318+'Feb-25'!I318+#REF!+#REF!+#REF!+'Dec-25'!I318</f>
        <v>#REF!</v>
      </c>
      <c r="J318" s="42" t="e">
        <f>+'Jul-24'!J318+'Aug-24'!J318+'Sep-24'!J318+'Oct-24'!J318+'Nov-24'!J318+'Dec-24'!J318+'Jan-25'!J318+'Feb-25'!J318+#REF!+#REF!+#REF!+'Dec-25'!J318</f>
        <v>#REF!</v>
      </c>
      <c r="K318" s="42" t="e">
        <f>+'Jul-24'!K318+'Aug-24'!K318+'Sep-24'!K318+'Oct-24'!K318+'Nov-24'!K318+'Dec-24'!K318+'Jan-25'!K318+'Feb-25'!K318+#REF!+#REF!+#REF!+'Dec-25'!K318</f>
        <v>#REF!</v>
      </c>
      <c r="L318" s="35" t="e">
        <f t="shared" si="82"/>
        <v>#REF!</v>
      </c>
      <c r="M318" s="35" t="e">
        <f t="shared" si="81"/>
        <v>#REF!</v>
      </c>
      <c r="N318" s="32"/>
    </row>
    <row r="319" spans="1:24" x14ac:dyDescent="0.25">
      <c r="A319" s="14"/>
      <c r="B319" s="27"/>
      <c r="C319" s="28" t="s">
        <v>15</v>
      </c>
      <c r="D319" s="28"/>
      <c r="E319" s="28"/>
      <c r="F319" s="28"/>
      <c r="G319" s="42" t="e">
        <f>+'Jul-24'!G319+'Aug-24'!G319+'Sep-24'!G319+'Oct-24'!G319+'Nov-24'!G319+'Dec-24'!G319+'Jan-25'!G319+'Feb-25'!G319+#REF!+#REF!+#REF!+'Dec-25'!G319</f>
        <v>#REF!</v>
      </c>
      <c r="H319" s="42" t="e">
        <f>+'Jul-24'!H319+'Aug-24'!H319+'Sep-24'!H319+'Oct-24'!H319+'Nov-24'!H319+'Dec-24'!H319+'Jan-25'!H319+'Feb-25'!H319+#REF!+#REF!+#REF!+'Dec-25'!H319</f>
        <v>#REF!</v>
      </c>
      <c r="I319" s="42" t="e">
        <f>+'Jul-24'!I319+'Aug-24'!I319+'Sep-24'!I319+'Oct-24'!I319+'Nov-24'!I319+'Dec-24'!I319+'Jan-25'!I319+'Feb-25'!I319+#REF!+#REF!+#REF!+'Dec-25'!I319</f>
        <v>#REF!</v>
      </c>
      <c r="J319" s="42" t="e">
        <f>+'Jul-24'!J319+'Aug-24'!J319+'Sep-24'!J319+'Oct-24'!J319+'Nov-24'!J319+'Dec-24'!J319+'Jan-25'!J319+'Feb-25'!J319+#REF!+#REF!+#REF!+'Dec-25'!J319</f>
        <v>#REF!</v>
      </c>
      <c r="K319" s="42" t="e">
        <f>+'Jul-24'!K319+'Aug-24'!K319+'Sep-24'!K319+'Oct-24'!K319+'Nov-24'!K319+'Dec-24'!K319+'Jan-25'!K319+'Feb-25'!K319+#REF!+#REF!+#REF!+'Dec-25'!K319</f>
        <v>#REF!</v>
      </c>
      <c r="L319" s="35" t="e">
        <f t="shared" si="82"/>
        <v>#REF!</v>
      </c>
      <c r="M319" s="35" t="e">
        <f t="shared" si="81"/>
        <v>#REF!</v>
      </c>
      <c r="N319" s="32"/>
    </row>
    <row r="320" spans="1:24" x14ac:dyDescent="0.25">
      <c r="A320" s="14"/>
      <c r="B320" s="27"/>
      <c r="C320" s="28" t="s">
        <v>16</v>
      </c>
      <c r="D320" s="28"/>
      <c r="E320" s="28"/>
      <c r="F320" s="28"/>
      <c r="G320" s="42" t="e">
        <f>+'Jul-24'!G320+'Aug-24'!G320+'Sep-24'!G320+'Oct-24'!G320+'Nov-24'!G320+'Dec-24'!G320+'Jan-25'!G320+'Feb-25'!G320+#REF!+#REF!+#REF!+'Dec-25'!G320</f>
        <v>#REF!</v>
      </c>
      <c r="H320" s="42" t="e">
        <f>+'Jul-24'!H320+'Aug-24'!H320+'Sep-24'!H320+'Oct-24'!H320+'Nov-24'!H320+'Dec-24'!H320+'Jan-25'!H320+'Feb-25'!H320+#REF!+#REF!+#REF!+'Dec-25'!H320</f>
        <v>#REF!</v>
      </c>
      <c r="I320" s="42" t="e">
        <f>+'Jul-24'!I320+'Aug-24'!I320+'Sep-24'!I320+'Oct-24'!I320+'Nov-24'!I320+'Dec-24'!I320+'Jan-25'!I320+'Feb-25'!I320+#REF!+#REF!+#REF!+'Dec-25'!I320</f>
        <v>#REF!</v>
      </c>
      <c r="J320" s="42" t="e">
        <f>+'Jul-24'!J320+'Aug-24'!J320+'Sep-24'!J320+'Oct-24'!J320+'Nov-24'!J320+'Dec-24'!J320+'Jan-25'!J320+'Feb-25'!J320+#REF!+#REF!+#REF!+'Dec-25'!J320</f>
        <v>#REF!</v>
      </c>
      <c r="K320" s="42" t="e">
        <f>+'Jul-24'!K320+'Aug-24'!K320+'Sep-24'!K320+'Oct-24'!K320+'Nov-24'!K320+'Dec-24'!K320+'Jan-25'!K320+'Feb-25'!K320+#REF!+#REF!+#REF!+'Dec-25'!K320</f>
        <v>#REF!</v>
      </c>
      <c r="L320" s="35" t="e">
        <f t="shared" si="82"/>
        <v>#REF!</v>
      </c>
      <c r="M320" s="35" t="e">
        <f t="shared" si="81"/>
        <v>#REF!</v>
      </c>
      <c r="N320" s="32"/>
    </row>
    <row r="321" spans="1:24" ht="15.75" thickBot="1" x14ac:dyDescent="0.3">
      <c r="A321" s="14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14"/>
      <c r="G322" s="33"/>
      <c r="H322" s="33"/>
      <c r="I322" s="33"/>
      <c r="J322" s="33"/>
      <c r="K322" s="33"/>
      <c r="L322" s="33"/>
      <c r="M322" s="33"/>
      <c r="N322" s="33"/>
    </row>
    <row r="323" spans="1:24" x14ac:dyDescent="0.25">
      <c r="A323" s="4">
        <f>+A307+1</f>
        <v>20</v>
      </c>
      <c r="B323" s="5"/>
      <c r="C323" s="6" t="s">
        <v>36</v>
      </c>
      <c r="D323" s="7"/>
      <c r="E323" s="8"/>
      <c r="F323" s="8"/>
      <c r="G323" s="10">
        <f>+$G$3</f>
        <v>2024</v>
      </c>
      <c r="H323" s="10">
        <f>+G323</f>
        <v>2024</v>
      </c>
      <c r="I323" s="10">
        <f t="shared" ref="I323:M324" si="83">+H323</f>
        <v>2024</v>
      </c>
      <c r="J323" s="10">
        <f t="shared" si="83"/>
        <v>2024</v>
      </c>
      <c r="K323" s="10">
        <f t="shared" si="83"/>
        <v>2024</v>
      </c>
      <c r="L323" s="10">
        <f t="shared" si="83"/>
        <v>2024</v>
      </c>
      <c r="M323" s="10">
        <f t="shared" si="83"/>
        <v>2024</v>
      </c>
      <c r="N323" s="11"/>
      <c r="S323" s="12" t="str">
        <f>+C323</f>
        <v>Kancesi</v>
      </c>
      <c r="T323" s="13" t="e">
        <f>+L327</f>
        <v>#REF!</v>
      </c>
      <c r="U323" s="13" t="e">
        <f>+L328+L329</f>
        <v>#REF!</v>
      </c>
      <c r="V323" s="13" t="e">
        <f>+L330+L331</f>
        <v>#REF!</v>
      </c>
      <c r="W323" s="13" t="e">
        <f>+L334</f>
        <v>#REF!</v>
      </c>
      <c r="X323" s="13" t="e">
        <f>+L332</f>
        <v>#REF!</v>
      </c>
    </row>
    <row r="324" spans="1:24" x14ac:dyDescent="0.25">
      <c r="A324" s="14"/>
      <c r="B324" s="15"/>
      <c r="C324" s="41" t="str">
        <f>+$C308</f>
        <v>Year to Date 2024/2025</v>
      </c>
      <c r="D324" s="18"/>
      <c r="E324" s="18"/>
      <c r="F324" s="18"/>
      <c r="G324" s="20" t="str">
        <f>+$G$4</f>
        <v>Week</v>
      </c>
      <c r="H324" s="20" t="str">
        <f>+G324</f>
        <v>Week</v>
      </c>
      <c r="I324" s="20" t="str">
        <f t="shared" si="83"/>
        <v>Week</v>
      </c>
      <c r="J324" s="20" t="str">
        <f t="shared" si="83"/>
        <v>Week</v>
      </c>
      <c r="K324" s="20" t="str">
        <f t="shared" si="83"/>
        <v>Week</v>
      </c>
      <c r="L324" s="20" t="str">
        <f t="shared" si="83"/>
        <v>Week</v>
      </c>
      <c r="M324" s="20" t="str">
        <f t="shared" si="83"/>
        <v>Week</v>
      </c>
      <c r="N324" s="21"/>
    </row>
    <row r="325" spans="1:24" ht="15.75" thickBot="1" x14ac:dyDescent="0.3">
      <c r="A325" s="14"/>
      <c r="B325" s="22"/>
      <c r="C325" s="23"/>
      <c r="D325" s="23"/>
      <c r="E325" s="23"/>
      <c r="F325" s="23"/>
      <c r="G325" s="25">
        <f>+$G$5</f>
        <v>1</v>
      </c>
      <c r="H325" s="25">
        <f>+$H$5</f>
        <v>2</v>
      </c>
      <c r="I325" s="25">
        <f>+$I$5</f>
        <v>3</v>
      </c>
      <c r="J325" s="25">
        <f>+$J$5</f>
        <v>4</v>
      </c>
      <c r="K325" s="25">
        <f>+$K$5</f>
        <v>5</v>
      </c>
      <c r="L325" s="25" t="s">
        <v>6</v>
      </c>
      <c r="M325" s="25" t="s">
        <v>7</v>
      </c>
      <c r="N325" s="26"/>
    </row>
    <row r="326" spans="1:24" x14ac:dyDescent="0.25">
      <c r="A326" s="14"/>
      <c r="B326" s="27"/>
      <c r="C326" s="28"/>
      <c r="D326" s="28"/>
      <c r="E326" s="28"/>
      <c r="F326" s="28"/>
      <c r="G326" s="29"/>
      <c r="H326" s="29"/>
      <c r="I326" s="29"/>
      <c r="J326" s="29"/>
      <c r="K326" s="28"/>
      <c r="L326" s="28"/>
      <c r="M326" s="28"/>
      <c r="N326" s="30"/>
    </row>
    <row r="327" spans="1:24" x14ac:dyDescent="0.25">
      <c r="A327" s="14"/>
      <c r="B327" s="27"/>
      <c r="C327" s="28" t="s">
        <v>8</v>
      </c>
      <c r="D327" s="28"/>
      <c r="E327" s="28"/>
      <c r="F327" s="28"/>
      <c r="G327" s="31" t="e">
        <f>SUM(G328:G331)</f>
        <v>#REF!</v>
      </c>
      <c r="H327" s="31" t="e">
        <f t="shared" ref="H327:L327" si="84">SUM(H328:H331)</f>
        <v>#REF!</v>
      </c>
      <c r="I327" s="31" t="e">
        <f t="shared" si="84"/>
        <v>#REF!</v>
      </c>
      <c r="J327" s="31" t="e">
        <f t="shared" si="84"/>
        <v>#REF!</v>
      </c>
      <c r="K327" s="31" t="e">
        <f t="shared" si="84"/>
        <v>#REF!</v>
      </c>
      <c r="L327" s="31" t="e">
        <f t="shared" si="84"/>
        <v>#REF!</v>
      </c>
      <c r="M327" s="31" t="e">
        <f>ROUND((L327/$E$1),0)</f>
        <v>#REF!</v>
      </c>
      <c r="N327" s="32"/>
    </row>
    <row r="328" spans="1:24" x14ac:dyDescent="0.25">
      <c r="A328" s="14"/>
      <c r="B328" s="27"/>
      <c r="C328" s="28"/>
      <c r="D328" s="28" t="s">
        <v>9</v>
      </c>
      <c r="E328" s="28"/>
      <c r="F328" s="28"/>
      <c r="G328" s="42" t="e">
        <f>+'Jul-24'!G328+'Aug-24'!G328+'Sep-24'!G328+'Oct-24'!G328+'Nov-24'!G328+'Dec-24'!G328+'Jan-25'!G328+'Feb-25'!G328+#REF!+#REF!+#REF!+'Dec-25'!G328</f>
        <v>#REF!</v>
      </c>
      <c r="H328" s="42" t="e">
        <f>+'Jul-24'!H328+'Aug-24'!H328+'Sep-24'!H328+'Oct-24'!H328+'Nov-24'!H328+'Dec-24'!H328+'Jan-25'!H328+'Feb-25'!H328+#REF!+#REF!+#REF!+'Dec-25'!H328</f>
        <v>#REF!</v>
      </c>
      <c r="I328" s="42" t="e">
        <f>+'Jul-24'!I328+'Aug-24'!I328+'Sep-24'!I328+'Oct-24'!I328+'Nov-24'!I328+'Dec-24'!I328+'Jan-25'!I328+'Feb-25'!I328+#REF!+#REF!+#REF!+'Dec-25'!I328</f>
        <v>#REF!</v>
      </c>
      <c r="J328" s="42" t="e">
        <f>+'Jul-24'!J328+'Aug-24'!J328+'Sep-24'!J328+'Oct-24'!J328+'Nov-24'!J328+'Dec-24'!J328+'Jan-25'!J328+'Feb-25'!J328+#REF!+#REF!+#REF!+'Dec-25'!J328</f>
        <v>#REF!</v>
      </c>
      <c r="K328" s="42" t="e">
        <f>+'Jul-24'!K328+'Aug-24'!K328+'Sep-24'!K328+'Oct-24'!K328+'Nov-24'!K328+'Dec-24'!K328+'Jan-25'!K328+'Feb-25'!K328+#REF!+#REF!+#REF!+'Dec-25'!K328</f>
        <v>#REF!</v>
      </c>
      <c r="L328" s="35" t="e">
        <f>SUM(G328:K328)</f>
        <v>#REF!</v>
      </c>
      <c r="M328" s="35" t="e">
        <f t="shared" ref="M328:M336" si="85">ROUND((L328/$E$1),0)</f>
        <v>#REF!</v>
      </c>
      <c r="N328" s="32"/>
    </row>
    <row r="329" spans="1:24" x14ac:dyDescent="0.25">
      <c r="A329" s="14"/>
      <c r="B329" s="27"/>
      <c r="C329" s="28"/>
      <c r="D329" s="28" t="s">
        <v>10</v>
      </c>
      <c r="E329" s="28"/>
      <c r="F329" s="28"/>
      <c r="G329" s="42" t="e">
        <f>+'Jul-24'!G329+'Aug-24'!G329+'Sep-24'!G329+'Oct-24'!G329+'Nov-24'!G329+'Dec-24'!G329+'Jan-25'!G329+'Feb-25'!G329+#REF!+#REF!+#REF!+'Dec-25'!G329</f>
        <v>#REF!</v>
      </c>
      <c r="H329" s="42" t="e">
        <f>+'Jul-24'!H329+'Aug-24'!H329+'Sep-24'!H329+'Oct-24'!H329+'Nov-24'!H329+'Dec-24'!H329+'Jan-25'!H329+'Feb-25'!H329+#REF!+#REF!+#REF!+'Dec-25'!H329</f>
        <v>#REF!</v>
      </c>
      <c r="I329" s="42" t="e">
        <f>+'Jul-24'!I329+'Aug-24'!I329+'Sep-24'!I329+'Oct-24'!I329+'Nov-24'!I329+'Dec-24'!I329+'Jan-25'!I329+'Feb-25'!I329+#REF!+#REF!+#REF!+'Dec-25'!I329</f>
        <v>#REF!</v>
      </c>
      <c r="J329" s="42" t="e">
        <f>+'Jul-24'!J329+'Aug-24'!J329+'Sep-24'!J329+'Oct-24'!J329+'Nov-24'!J329+'Dec-24'!J329+'Jan-25'!J329+'Feb-25'!J329+#REF!+#REF!+#REF!+'Dec-25'!J329</f>
        <v>#REF!</v>
      </c>
      <c r="K329" s="42" t="e">
        <f>+'Jul-24'!K329+'Aug-24'!K329+'Sep-24'!K329+'Oct-24'!K329+'Nov-24'!K329+'Dec-24'!K329+'Jan-25'!K329+'Feb-25'!K329+#REF!+#REF!+#REF!+'Dec-25'!K329</f>
        <v>#REF!</v>
      </c>
      <c r="L329" s="35" t="e">
        <f t="shared" ref="L329:L336" si="86">SUM(G329:K329)</f>
        <v>#REF!</v>
      </c>
      <c r="M329" s="35" t="e">
        <f t="shared" si="85"/>
        <v>#REF!</v>
      </c>
      <c r="N329" s="32"/>
    </row>
    <row r="330" spans="1:24" x14ac:dyDescent="0.25">
      <c r="A330" s="14"/>
      <c r="B330" s="27"/>
      <c r="C330" s="28"/>
      <c r="D330" s="28" t="s">
        <v>11</v>
      </c>
      <c r="E330" s="28"/>
      <c r="F330" s="28"/>
      <c r="G330" s="42" t="e">
        <f>+'Jul-24'!G330+'Aug-24'!G330+'Sep-24'!G330+'Oct-24'!G330+'Nov-24'!G330+'Dec-24'!G330+'Jan-25'!G330+'Feb-25'!G330+#REF!+#REF!+#REF!+'Dec-25'!G330</f>
        <v>#REF!</v>
      </c>
      <c r="H330" s="42" t="e">
        <f>+'Jul-24'!H330+'Aug-24'!H330+'Sep-24'!H330+'Oct-24'!H330+'Nov-24'!H330+'Dec-24'!H330+'Jan-25'!H330+'Feb-25'!H330+#REF!+#REF!+#REF!+'Dec-25'!H330</f>
        <v>#REF!</v>
      </c>
      <c r="I330" s="42" t="e">
        <f>+'Jul-24'!I330+'Aug-24'!I330+'Sep-24'!I330+'Oct-24'!I330+'Nov-24'!I330+'Dec-24'!I330+'Jan-25'!I330+'Feb-25'!I330+#REF!+#REF!+#REF!+'Dec-25'!I330</f>
        <v>#REF!</v>
      </c>
      <c r="J330" s="42" t="e">
        <f>+'Jul-24'!J330+'Aug-24'!J330+'Sep-24'!J330+'Oct-24'!J330+'Nov-24'!J330+'Dec-24'!J330+'Jan-25'!J330+'Feb-25'!J330+#REF!+#REF!+#REF!+'Dec-25'!J330</f>
        <v>#REF!</v>
      </c>
      <c r="K330" s="42" t="e">
        <f>+'Jul-24'!K330+'Aug-24'!K330+'Sep-24'!K330+'Oct-24'!K330+'Nov-24'!K330+'Dec-24'!K330+'Jan-25'!K330+'Feb-25'!K330+#REF!+#REF!+#REF!+'Dec-25'!K330</f>
        <v>#REF!</v>
      </c>
      <c r="L330" s="35" t="e">
        <f t="shared" si="86"/>
        <v>#REF!</v>
      </c>
      <c r="M330" s="35" t="e">
        <f t="shared" si="85"/>
        <v>#REF!</v>
      </c>
      <c r="N330" s="32"/>
    </row>
    <row r="331" spans="1:24" x14ac:dyDescent="0.25">
      <c r="A331" s="14"/>
      <c r="B331" s="27"/>
      <c r="C331" s="28"/>
      <c r="D331" s="28" t="s">
        <v>12</v>
      </c>
      <c r="E331" s="28"/>
      <c r="F331" s="28"/>
      <c r="G331" s="43" t="e">
        <f>+'Jul-24'!G331+'Aug-24'!G331+'Sep-24'!G331+'Oct-24'!G331+'Nov-24'!G331+'Dec-24'!G331+'Jan-25'!G331+'Feb-25'!G331+#REF!+#REF!+#REF!+'Dec-25'!G331</f>
        <v>#REF!</v>
      </c>
      <c r="H331" s="43" t="e">
        <f>+'Jul-24'!H331+'Aug-24'!H331+'Sep-24'!H331+'Oct-24'!H331+'Nov-24'!H331+'Dec-24'!H331+'Jan-25'!H331+'Feb-25'!H331+#REF!+#REF!+#REF!+'Dec-25'!H331</f>
        <v>#REF!</v>
      </c>
      <c r="I331" s="43" t="e">
        <f>+'Jul-24'!I331+'Aug-24'!I331+'Sep-24'!I331+'Oct-24'!I331+'Nov-24'!I331+'Dec-24'!I331+'Jan-25'!I331+'Feb-25'!I331+#REF!+#REF!+#REF!+'Dec-25'!I331</f>
        <v>#REF!</v>
      </c>
      <c r="J331" s="43" t="e">
        <f>+'Jul-24'!J331+'Aug-24'!J331+'Sep-24'!J331+'Oct-24'!J331+'Nov-24'!J331+'Dec-24'!J331+'Jan-25'!J331+'Feb-25'!J331+#REF!+#REF!+#REF!+'Dec-25'!J331</f>
        <v>#REF!</v>
      </c>
      <c r="K331" s="43" t="e">
        <f>+'Jul-24'!K331+'Aug-24'!K331+'Sep-24'!K331+'Oct-24'!K331+'Nov-24'!K331+'Dec-24'!K331+'Jan-25'!K331+'Feb-25'!K331+#REF!+#REF!+#REF!+'Dec-25'!K331</f>
        <v>#REF!</v>
      </c>
      <c r="L331" s="31" t="e">
        <f t="shared" si="86"/>
        <v>#REF!</v>
      </c>
      <c r="M331" s="31" t="e">
        <f t="shared" si="85"/>
        <v>#REF!</v>
      </c>
      <c r="N331" s="32"/>
    </row>
    <row r="332" spans="1:24" x14ac:dyDescent="0.25">
      <c r="A332" s="14"/>
      <c r="B332" s="27"/>
      <c r="C332" s="28" t="s">
        <v>13</v>
      </c>
      <c r="D332" s="28"/>
      <c r="E332" s="28"/>
      <c r="F332" s="28"/>
      <c r="G332" s="42" t="e">
        <f>+'Jul-24'!G332+'Aug-24'!G332+'Sep-24'!G332+'Oct-24'!G332+'Nov-24'!G332+'Dec-24'!G332+'Jan-25'!G332+'Feb-25'!G332+#REF!+#REF!+#REF!+'Dec-25'!G332</f>
        <v>#REF!</v>
      </c>
      <c r="H332" s="42" t="e">
        <f>+'Jul-24'!H332+'Aug-24'!H332+'Sep-24'!H332+'Oct-24'!H332+'Nov-24'!H332+'Dec-24'!H332+'Jan-25'!H332+'Feb-25'!H332+#REF!+#REF!+#REF!+'Dec-25'!H332</f>
        <v>#REF!</v>
      </c>
      <c r="I332" s="42" t="e">
        <f>+'Jul-24'!I332+'Aug-24'!I332+'Sep-24'!I332+'Oct-24'!I332+'Nov-24'!I332+'Dec-24'!I332+'Jan-25'!I332+'Feb-25'!I332+#REF!+#REF!+#REF!+'Dec-25'!I332</f>
        <v>#REF!</v>
      </c>
      <c r="J332" s="42" t="e">
        <f>+'Jul-24'!J332+'Aug-24'!J332+'Sep-24'!J332+'Oct-24'!J332+'Nov-24'!J332+'Dec-24'!J332+'Jan-25'!J332+'Feb-25'!J332+#REF!+#REF!+#REF!+'Dec-25'!J332</f>
        <v>#REF!</v>
      </c>
      <c r="K332" s="42" t="e">
        <f>+'Jul-24'!K332+'Aug-24'!K332+'Sep-24'!K332+'Oct-24'!K332+'Nov-24'!K332+'Dec-24'!K332+'Jan-25'!K332+'Feb-25'!K332+#REF!+#REF!+#REF!+'Dec-25'!K332</f>
        <v>#REF!</v>
      </c>
      <c r="L332" s="35" t="e">
        <f t="shared" si="86"/>
        <v>#REF!</v>
      </c>
      <c r="M332" s="35" t="e">
        <f t="shared" si="85"/>
        <v>#REF!</v>
      </c>
      <c r="N332" s="32"/>
    </row>
    <row r="333" spans="1:24" x14ac:dyDescent="0.25">
      <c r="A333" s="14"/>
      <c r="B333" s="27"/>
      <c r="C333" s="28" t="s">
        <v>14</v>
      </c>
      <c r="D333" s="28"/>
      <c r="E333" s="28"/>
      <c r="F333" s="28"/>
      <c r="G333" s="42" t="e">
        <f>+'Jul-24'!G333+'Aug-24'!G333+'Sep-24'!G333+'Oct-24'!G333+'Nov-24'!G333+'Dec-24'!G333+'Jan-25'!G333+'Feb-25'!G333+#REF!+#REF!+#REF!+'Dec-25'!G333</f>
        <v>#REF!</v>
      </c>
      <c r="H333" s="42" t="e">
        <f>+'Jul-24'!H333+'Aug-24'!H333+'Sep-24'!H333+'Oct-24'!H333+'Nov-24'!H333+'Dec-24'!H333+'Jan-25'!H333+'Feb-25'!H333+#REF!+#REF!+#REF!+'Dec-25'!H333</f>
        <v>#REF!</v>
      </c>
      <c r="I333" s="42" t="e">
        <f>+'Jul-24'!I333+'Aug-24'!I333+'Sep-24'!I333+'Oct-24'!I333+'Nov-24'!I333+'Dec-24'!I333+'Jan-25'!I333+'Feb-25'!I333+#REF!+#REF!+#REF!+'Dec-25'!I333</f>
        <v>#REF!</v>
      </c>
      <c r="J333" s="42" t="e">
        <f>+'Jul-24'!J333+'Aug-24'!J333+'Sep-24'!J333+'Oct-24'!J333+'Nov-24'!J333+'Dec-24'!J333+'Jan-25'!J333+'Feb-25'!J333+#REF!+#REF!+#REF!+'Dec-25'!J333</f>
        <v>#REF!</v>
      </c>
      <c r="K333" s="42" t="e">
        <f>+'Jul-24'!K333+'Aug-24'!K333+'Sep-24'!K333+'Oct-24'!K333+'Nov-24'!K333+'Dec-24'!K333+'Jan-25'!K333+'Feb-25'!K333+#REF!+#REF!+#REF!+'Dec-25'!K333</f>
        <v>#REF!</v>
      </c>
      <c r="L333" s="35" t="e">
        <f t="shared" si="86"/>
        <v>#REF!</v>
      </c>
      <c r="M333" s="35" t="e">
        <f t="shared" si="85"/>
        <v>#REF!</v>
      </c>
      <c r="N333" s="32"/>
    </row>
    <row r="334" spans="1:24" x14ac:dyDescent="0.25">
      <c r="A334" s="14"/>
      <c r="B334" s="27"/>
      <c r="C334" s="28" t="s">
        <v>4</v>
      </c>
      <c r="D334" s="28"/>
      <c r="E334" s="28"/>
      <c r="F334" s="28"/>
      <c r="G334" s="42" t="e">
        <f>+'Jul-24'!G334+'Aug-24'!G334+'Sep-24'!G334+'Oct-24'!G334+'Nov-24'!G334+'Dec-24'!G334+'Jan-25'!G334+'Feb-25'!G334+#REF!+#REF!+#REF!+'Dec-25'!G334</f>
        <v>#REF!</v>
      </c>
      <c r="H334" s="42" t="e">
        <f>+'Jul-24'!H334+'Aug-24'!H334+'Sep-24'!H334+'Oct-24'!H334+'Nov-24'!H334+'Dec-24'!H334+'Jan-25'!H334+'Feb-25'!H334+#REF!+#REF!+#REF!+'Dec-25'!H334</f>
        <v>#REF!</v>
      </c>
      <c r="I334" s="42" t="e">
        <f>+'Jul-24'!I334+'Aug-24'!I334+'Sep-24'!I334+'Oct-24'!I334+'Nov-24'!I334+'Dec-24'!I334+'Jan-25'!I334+'Feb-25'!I334+#REF!+#REF!+#REF!+'Dec-25'!I334</f>
        <v>#REF!</v>
      </c>
      <c r="J334" s="42" t="e">
        <f>+'Jul-24'!J334+'Aug-24'!J334+'Sep-24'!J334+'Oct-24'!J334+'Nov-24'!J334+'Dec-24'!J334+'Jan-25'!J334+'Feb-25'!J334+#REF!+#REF!+#REF!+'Dec-25'!J334</f>
        <v>#REF!</v>
      </c>
      <c r="K334" s="42" t="e">
        <f>+'Jul-24'!K334+'Aug-24'!K334+'Sep-24'!K334+'Oct-24'!K334+'Nov-24'!K334+'Dec-24'!K334+'Jan-25'!K334+'Feb-25'!K334+#REF!+#REF!+#REF!+'Dec-25'!K334</f>
        <v>#REF!</v>
      </c>
      <c r="L334" s="35" t="e">
        <f t="shared" si="86"/>
        <v>#REF!</v>
      </c>
      <c r="M334" s="35" t="e">
        <f t="shared" si="85"/>
        <v>#REF!</v>
      </c>
      <c r="N334" s="32"/>
    </row>
    <row r="335" spans="1:24" x14ac:dyDescent="0.25">
      <c r="A335" s="14"/>
      <c r="B335" s="27"/>
      <c r="C335" s="28" t="s">
        <v>15</v>
      </c>
      <c r="D335" s="28"/>
      <c r="E335" s="28"/>
      <c r="F335" s="28"/>
      <c r="G335" s="42" t="e">
        <f>+'Jul-24'!G335+'Aug-24'!G335+'Sep-24'!G335+'Oct-24'!G335+'Nov-24'!G335+'Dec-24'!G335+'Jan-25'!G335+'Feb-25'!G335+#REF!+#REF!+#REF!+'Dec-25'!G335</f>
        <v>#REF!</v>
      </c>
      <c r="H335" s="42" t="e">
        <f>+'Jul-24'!H335+'Aug-24'!H335+'Sep-24'!H335+'Oct-24'!H335+'Nov-24'!H335+'Dec-24'!H335+'Jan-25'!H335+'Feb-25'!H335+#REF!+#REF!+#REF!+'Dec-25'!H335</f>
        <v>#REF!</v>
      </c>
      <c r="I335" s="42" t="e">
        <f>+'Jul-24'!I335+'Aug-24'!I335+'Sep-24'!I335+'Oct-24'!I335+'Nov-24'!I335+'Dec-24'!I335+'Jan-25'!I335+'Feb-25'!I335+#REF!+#REF!+#REF!+'Dec-25'!I335</f>
        <v>#REF!</v>
      </c>
      <c r="J335" s="42" t="e">
        <f>+'Jul-24'!J335+'Aug-24'!J335+'Sep-24'!J335+'Oct-24'!J335+'Nov-24'!J335+'Dec-24'!J335+'Jan-25'!J335+'Feb-25'!J335+#REF!+#REF!+#REF!+'Dec-25'!J335</f>
        <v>#REF!</v>
      </c>
      <c r="K335" s="42" t="e">
        <f>+'Jul-24'!K335+'Aug-24'!K335+'Sep-24'!K335+'Oct-24'!K335+'Nov-24'!K335+'Dec-24'!K335+'Jan-25'!K335+'Feb-25'!K335+#REF!+#REF!+#REF!+'Dec-25'!K335</f>
        <v>#REF!</v>
      </c>
      <c r="L335" s="35" t="e">
        <f t="shared" si="86"/>
        <v>#REF!</v>
      </c>
      <c r="M335" s="35" t="e">
        <f t="shared" si="85"/>
        <v>#REF!</v>
      </c>
      <c r="N335" s="32"/>
    </row>
    <row r="336" spans="1:24" x14ac:dyDescent="0.25">
      <c r="A336" s="14"/>
      <c r="B336" s="27"/>
      <c r="C336" s="28" t="s">
        <v>16</v>
      </c>
      <c r="D336" s="28"/>
      <c r="E336" s="28"/>
      <c r="F336" s="28"/>
      <c r="G336" s="42" t="e">
        <f>+'Jul-24'!G336+'Aug-24'!G336+'Sep-24'!G336+'Oct-24'!G336+'Nov-24'!G336+'Dec-24'!G336+'Jan-25'!G336+'Feb-25'!G336+#REF!+#REF!+#REF!+'Dec-25'!G336</f>
        <v>#REF!</v>
      </c>
      <c r="H336" s="42" t="e">
        <f>+'Jul-24'!H336+'Aug-24'!H336+'Sep-24'!H336+'Oct-24'!H336+'Nov-24'!H336+'Dec-24'!H336+'Jan-25'!H336+'Feb-25'!H336+#REF!+#REF!+#REF!+'Dec-25'!H336</f>
        <v>#REF!</v>
      </c>
      <c r="I336" s="42" t="e">
        <f>+'Jul-24'!I336+'Aug-24'!I336+'Sep-24'!I336+'Oct-24'!I336+'Nov-24'!I336+'Dec-24'!I336+'Jan-25'!I336+'Feb-25'!I336+#REF!+#REF!+#REF!+'Dec-25'!I336</f>
        <v>#REF!</v>
      </c>
      <c r="J336" s="42" t="e">
        <f>+'Jul-24'!J336+'Aug-24'!J336+'Sep-24'!J336+'Oct-24'!J336+'Nov-24'!J336+'Dec-24'!J336+'Jan-25'!J336+'Feb-25'!J336+#REF!+#REF!+#REF!+'Dec-25'!J336</f>
        <v>#REF!</v>
      </c>
      <c r="K336" s="42" t="e">
        <f>+'Jul-24'!K336+'Aug-24'!K336+'Sep-24'!K336+'Oct-24'!K336+'Nov-24'!K336+'Dec-24'!K336+'Jan-25'!K336+'Feb-25'!K336+#REF!+#REF!+#REF!+'Dec-25'!K336</f>
        <v>#REF!</v>
      </c>
      <c r="L336" s="35" t="e">
        <f t="shared" si="86"/>
        <v>#REF!</v>
      </c>
      <c r="M336" s="35" t="e">
        <f t="shared" si="85"/>
        <v>#REF!</v>
      </c>
      <c r="N336" s="32"/>
    </row>
    <row r="337" spans="1:24" ht="15.75" thickBot="1" x14ac:dyDescent="0.3">
      <c r="A337" s="14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14"/>
      <c r="G338" s="33"/>
      <c r="H338" s="33"/>
      <c r="I338" s="33"/>
      <c r="J338" s="33"/>
      <c r="K338" s="33"/>
      <c r="L338" s="33"/>
      <c r="M338" s="33"/>
      <c r="N338" s="33"/>
    </row>
    <row r="339" spans="1:24" x14ac:dyDescent="0.25">
      <c r="A339" s="4">
        <f>+A323+1</f>
        <v>21</v>
      </c>
      <c r="B339" s="40"/>
      <c r="C339" s="6" t="s">
        <v>37</v>
      </c>
      <c r="D339" s="7"/>
      <c r="E339" s="8"/>
      <c r="F339" s="8"/>
      <c r="G339" s="10">
        <f>+$G$3</f>
        <v>2024</v>
      </c>
      <c r="H339" s="10">
        <f>+G339</f>
        <v>2024</v>
      </c>
      <c r="I339" s="10">
        <f t="shared" ref="I339:M340" si="87">+H339</f>
        <v>2024</v>
      </c>
      <c r="J339" s="10">
        <f t="shared" si="87"/>
        <v>2024</v>
      </c>
      <c r="K339" s="10">
        <f t="shared" si="87"/>
        <v>2024</v>
      </c>
      <c r="L339" s="10">
        <f t="shared" si="87"/>
        <v>2024</v>
      </c>
      <c r="M339" s="10">
        <f t="shared" si="87"/>
        <v>2024</v>
      </c>
      <c r="N339" s="11"/>
      <c r="S339" s="12" t="str">
        <f>+C339</f>
        <v>Mpuluzi</v>
      </c>
      <c r="T339" s="13" t="e">
        <f>+L343</f>
        <v>#REF!</v>
      </c>
      <c r="U339" s="13" t="e">
        <f>+L344+L345</f>
        <v>#REF!</v>
      </c>
      <c r="V339" s="13" t="e">
        <f>+L346+L347</f>
        <v>#REF!</v>
      </c>
      <c r="W339" s="13" t="e">
        <f>+L350</f>
        <v>#REF!</v>
      </c>
      <c r="X339" s="13" t="e">
        <f>+L348</f>
        <v>#REF!</v>
      </c>
    </row>
    <row r="340" spans="1:24" x14ac:dyDescent="0.25">
      <c r="A340" s="14"/>
      <c r="B340" s="15"/>
      <c r="C340" s="41" t="str">
        <f>+$C324</f>
        <v>Year to Date 2024/2025</v>
      </c>
      <c r="D340" s="18"/>
      <c r="E340" s="18"/>
      <c r="F340" s="18"/>
      <c r="G340" s="20" t="str">
        <f>+$G$4</f>
        <v>Week</v>
      </c>
      <c r="H340" s="20" t="str">
        <f>+G340</f>
        <v>Week</v>
      </c>
      <c r="I340" s="20" t="str">
        <f t="shared" si="87"/>
        <v>Week</v>
      </c>
      <c r="J340" s="20" t="str">
        <f t="shared" si="87"/>
        <v>Week</v>
      </c>
      <c r="K340" s="20" t="str">
        <f t="shared" si="87"/>
        <v>Week</v>
      </c>
      <c r="L340" s="20" t="str">
        <f t="shared" si="87"/>
        <v>Week</v>
      </c>
      <c r="M340" s="20" t="str">
        <f t="shared" si="87"/>
        <v>Week</v>
      </c>
      <c r="N340" s="21"/>
    </row>
    <row r="341" spans="1:24" ht="15.75" thickBot="1" x14ac:dyDescent="0.3">
      <c r="A341" s="14"/>
      <c r="B341" s="22"/>
      <c r="C341" s="23"/>
      <c r="D341" s="23"/>
      <c r="E341" s="23"/>
      <c r="F341" s="23"/>
      <c r="G341" s="25">
        <f>+$G$5</f>
        <v>1</v>
      </c>
      <c r="H341" s="25">
        <f>+$H$5</f>
        <v>2</v>
      </c>
      <c r="I341" s="25">
        <f>+$I$5</f>
        <v>3</v>
      </c>
      <c r="J341" s="25">
        <f>+$J$5</f>
        <v>4</v>
      </c>
      <c r="K341" s="25">
        <f>+$K$5</f>
        <v>5</v>
      </c>
      <c r="L341" s="25" t="s">
        <v>6</v>
      </c>
      <c r="M341" s="25" t="s">
        <v>7</v>
      </c>
      <c r="N341" s="26"/>
    </row>
    <row r="342" spans="1:24" x14ac:dyDescent="0.25">
      <c r="A342" s="14"/>
      <c r="B342" s="27"/>
      <c r="C342" s="28"/>
      <c r="D342" s="28"/>
      <c r="E342" s="28"/>
      <c r="F342" s="28"/>
      <c r="G342" s="29"/>
      <c r="H342" s="29"/>
      <c r="I342" s="29"/>
      <c r="J342" s="29"/>
      <c r="K342" s="28"/>
      <c r="L342" s="28"/>
      <c r="M342" s="28"/>
      <c r="N342" s="30"/>
    </row>
    <row r="343" spans="1:24" x14ac:dyDescent="0.25">
      <c r="A343" s="14"/>
      <c r="B343" s="27"/>
      <c r="C343" s="28" t="s">
        <v>8</v>
      </c>
      <c r="D343" s="28"/>
      <c r="E343" s="28"/>
      <c r="F343" s="28"/>
      <c r="G343" s="31" t="e">
        <f>SUM(G344:G347)</f>
        <v>#REF!</v>
      </c>
      <c r="H343" s="31" t="e">
        <f t="shared" ref="H343:L343" si="88">SUM(H344:H347)</f>
        <v>#REF!</v>
      </c>
      <c r="I343" s="31" t="e">
        <f t="shared" si="88"/>
        <v>#REF!</v>
      </c>
      <c r="J343" s="31" t="e">
        <f t="shared" si="88"/>
        <v>#REF!</v>
      </c>
      <c r="K343" s="31" t="e">
        <f t="shared" si="88"/>
        <v>#REF!</v>
      </c>
      <c r="L343" s="31" t="e">
        <f t="shared" si="88"/>
        <v>#REF!</v>
      </c>
      <c r="M343" s="31" t="e">
        <f>ROUND((L343/$E$1),0)</f>
        <v>#REF!</v>
      </c>
      <c r="N343" s="32"/>
    </row>
    <row r="344" spans="1:24" x14ac:dyDescent="0.25">
      <c r="A344" s="14"/>
      <c r="B344" s="27"/>
      <c r="C344" s="28"/>
      <c r="D344" s="28" t="s">
        <v>9</v>
      </c>
      <c r="E344" s="28"/>
      <c r="F344" s="28"/>
      <c r="G344" s="42" t="e">
        <f>+'Jul-24'!G344+'Aug-24'!G344+'Sep-24'!G344+'Oct-24'!G344+'Nov-24'!G344+'Dec-24'!G344+'Jan-25'!G344+'Feb-25'!G344+#REF!+#REF!+#REF!+'Dec-25'!G344</f>
        <v>#REF!</v>
      </c>
      <c r="H344" s="42" t="e">
        <f>+'Jul-24'!H344+'Aug-24'!H344+'Sep-24'!H344+'Oct-24'!H344+'Nov-24'!H344+'Dec-24'!H344+'Jan-25'!H344+'Feb-25'!H344+#REF!+#REF!+#REF!+'Dec-25'!H344</f>
        <v>#REF!</v>
      </c>
      <c r="I344" s="42" t="e">
        <f>+'Jul-24'!I344+'Aug-24'!I344+'Sep-24'!I344+'Oct-24'!I344+'Nov-24'!I344+'Dec-24'!I344+'Jan-25'!I344+'Feb-25'!I344+#REF!+#REF!+#REF!+'Dec-25'!I344</f>
        <v>#REF!</v>
      </c>
      <c r="J344" s="42" t="e">
        <f>+'Jul-24'!J344+'Aug-24'!J344+'Sep-24'!J344+'Oct-24'!J344+'Nov-24'!J344+'Dec-24'!J344+'Jan-25'!J344+'Feb-25'!J344+#REF!+#REF!+#REF!+'Dec-25'!J344</f>
        <v>#REF!</v>
      </c>
      <c r="K344" s="42" t="e">
        <f>+'Jul-24'!K344+'Aug-24'!K344+'Sep-24'!K344+'Oct-24'!K344+'Nov-24'!K344+'Dec-24'!K344+'Jan-25'!K344+'Feb-25'!K344+#REF!+#REF!+#REF!+'Dec-25'!K344</f>
        <v>#REF!</v>
      </c>
      <c r="L344" s="35" t="e">
        <f>SUM(G344:K344)</f>
        <v>#REF!</v>
      </c>
      <c r="M344" s="35" t="e">
        <f t="shared" ref="M344:M352" si="89">ROUND((L344/$E$1),0)</f>
        <v>#REF!</v>
      </c>
      <c r="N344" s="32"/>
    </row>
    <row r="345" spans="1:24" x14ac:dyDescent="0.25">
      <c r="A345" s="14"/>
      <c r="B345" s="27"/>
      <c r="C345" s="28"/>
      <c r="D345" s="28" t="s">
        <v>10</v>
      </c>
      <c r="E345" s="28"/>
      <c r="F345" s="28"/>
      <c r="G345" s="42" t="e">
        <f>+'Jul-24'!G345+'Aug-24'!G345+'Sep-24'!G345+'Oct-24'!G345+'Nov-24'!G345+'Dec-24'!G345+'Jan-25'!G345+'Feb-25'!G345+#REF!+#REF!+#REF!+'Dec-25'!G345</f>
        <v>#REF!</v>
      </c>
      <c r="H345" s="42" t="e">
        <f>+'Jul-24'!H345+'Aug-24'!H345+'Sep-24'!H345+'Oct-24'!H345+'Nov-24'!H345+'Dec-24'!H345+'Jan-25'!H345+'Feb-25'!H345+#REF!+#REF!+#REF!+'Dec-25'!H345</f>
        <v>#REF!</v>
      </c>
      <c r="I345" s="42" t="e">
        <f>+'Jul-24'!I345+'Aug-24'!I345+'Sep-24'!I345+'Oct-24'!I345+'Nov-24'!I345+'Dec-24'!I345+'Jan-25'!I345+'Feb-25'!I345+#REF!+#REF!+#REF!+'Dec-25'!I345</f>
        <v>#REF!</v>
      </c>
      <c r="J345" s="42" t="e">
        <f>+'Jul-24'!J345+'Aug-24'!J345+'Sep-24'!J345+'Oct-24'!J345+'Nov-24'!J345+'Dec-24'!J345+'Jan-25'!J345+'Feb-25'!J345+#REF!+#REF!+#REF!+'Dec-25'!J345</f>
        <v>#REF!</v>
      </c>
      <c r="K345" s="42" t="e">
        <f>+'Jul-24'!K345+'Aug-24'!K345+'Sep-24'!K345+'Oct-24'!K345+'Nov-24'!K345+'Dec-24'!K345+'Jan-25'!K345+'Feb-25'!K345+#REF!+#REF!+#REF!+'Dec-25'!K345</f>
        <v>#REF!</v>
      </c>
      <c r="L345" s="35" t="e">
        <f t="shared" ref="L345:L352" si="90">SUM(G345:K345)</f>
        <v>#REF!</v>
      </c>
      <c r="M345" s="35" t="e">
        <f t="shared" si="89"/>
        <v>#REF!</v>
      </c>
      <c r="N345" s="32"/>
    </row>
    <row r="346" spans="1:24" x14ac:dyDescent="0.25">
      <c r="A346" s="14"/>
      <c r="B346" s="27"/>
      <c r="C346" s="28"/>
      <c r="D346" s="28" t="s">
        <v>11</v>
      </c>
      <c r="E346" s="28"/>
      <c r="F346" s="28"/>
      <c r="G346" s="42" t="e">
        <f>+'Jul-24'!G346+'Aug-24'!G346+'Sep-24'!G346+'Oct-24'!G346+'Nov-24'!G346+'Dec-24'!G346+'Jan-25'!G346+'Feb-25'!G346+#REF!+#REF!+#REF!+'Dec-25'!G346</f>
        <v>#REF!</v>
      </c>
      <c r="H346" s="42" t="e">
        <f>+'Jul-24'!H346+'Aug-24'!H346+'Sep-24'!H346+'Oct-24'!H346+'Nov-24'!H346+'Dec-24'!H346+'Jan-25'!H346+'Feb-25'!H346+#REF!+#REF!+#REF!+'Dec-25'!H346</f>
        <v>#REF!</v>
      </c>
      <c r="I346" s="42" t="e">
        <f>+'Jul-24'!I346+'Aug-24'!I346+'Sep-24'!I346+'Oct-24'!I346+'Nov-24'!I346+'Dec-24'!I346+'Jan-25'!I346+'Feb-25'!I346+#REF!+#REF!+#REF!+'Dec-25'!I346</f>
        <v>#REF!</v>
      </c>
      <c r="J346" s="42" t="e">
        <f>+'Jul-24'!J346+'Aug-24'!J346+'Sep-24'!J346+'Oct-24'!J346+'Nov-24'!J346+'Dec-24'!J346+'Jan-25'!J346+'Feb-25'!J346+#REF!+#REF!+#REF!+'Dec-25'!J346</f>
        <v>#REF!</v>
      </c>
      <c r="K346" s="42" t="e">
        <f>+'Jul-24'!K346+'Aug-24'!K346+'Sep-24'!K346+'Oct-24'!K346+'Nov-24'!K346+'Dec-24'!K346+'Jan-25'!K346+'Feb-25'!K346+#REF!+#REF!+#REF!+'Dec-25'!K346</f>
        <v>#REF!</v>
      </c>
      <c r="L346" s="35" t="e">
        <f t="shared" si="90"/>
        <v>#REF!</v>
      </c>
      <c r="M346" s="35" t="e">
        <f t="shared" si="89"/>
        <v>#REF!</v>
      </c>
      <c r="N346" s="32"/>
    </row>
    <row r="347" spans="1:24" x14ac:dyDescent="0.25">
      <c r="A347" s="14"/>
      <c r="B347" s="27"/>
      <c r="C347" s="28"/>
      <c r="D347" s="28" t="s">
        <v>12</v>
      </c>
      <c r="E347" s="28"/>
      <c r="F347" s="28"/>
      <c r="G347" s="43" t="e">
        <f>+'Jul-24'!G347+'Aug-24'!G347+'Sep-24'!G347+'Oct-24'!G347+'Nov-24'!G347+'Dec-24'!G347+'Jan-25'!G347+'Feb-25'!G347+#REF!+#REF!+#REF!+'Dec-25'!G347</f>
        <v>#REF!</v>
      </c>
      <c r="H347" s="43" t="e">
        <f>+'Jul-24'!H347+'Aug-24'!H347+'Sep-24'!H347+'Oct-24'!H347+'Nov-24'!H347+'Dec-24'!H347+'Jan-25'!H347+'Feb-25'!H347+#REF!+#REF!+#REF!+'Dec-25'!H347</f>
        <v>#REF!</v>
      </c>
      <c r="I347" s="43" t="e">
        <f>+'Jul-24'!I347+'Aug-24'!I347+'Sep-24'!I347+'Oct-24'!I347+'Nov-24'!I347+'Dec-24'!I347+'Jan-25'!I347+'Feb-25'!I347+#REF!+#REF!+#REF!+'Dec-25'!I347</f>
        <v>#REF!</v>
      </c>
      <c r="J347" s="43" t="e">
        <f>+'Jul-24'!J347+'Aug-24'!J347+'Sep-24'!J347+'Oct-24'!J347+'Nov-24'!J347+'Dec-24'!J347+'Jan-25'!J347+'Feb-25'!J347+#REF!+#REF!+#REF!+'Dec-25'!J347</f>
        <v>#REF!</v>
      </c>
      <c r="K347" s="43" t="e">
        <f>+'Jul-24'!K347+'Aug-24'!K347+'Sep-24'!K347+'Oct-24'!K347+'Nov-24'!K347+'Dec-24'!K347+'Jan-25'!K347+'Feb-25'!K347+#REF!+#REF!+#REF!+'Dec-25'!K347</f>
        <v>#REF!</v>
      </c>
      <c r="L347" s="31" t="e">
        <f t="shared" si="90"/>
        <v>#REF!</v>
      </c>
      <c r="M347" s="31" t="e">
        <f t="shared" si="89"/>
        <v>#REF!</v>
      </c>
      <c r="N347" s="32"/>
    </row>
    <row r="348" spans="1:24" x14ac:dyDescent="0.25">
      <c r="A348" s="14"/>
      <c r="B348" s="27"/>
      <c r="C348" s="28" t="s">
        <v>13</v>
      </c>
      <c r="D348" s="28"/>
      <c r="E348" s="28"/>
      <c r="F348" s="28"/>
      <c r="G348" s="42" t="e">
        <f>+'Jul-24'!G348+'Aug-24'!G348+'Sep-24'!G348+'Oct-24'!G348+'Nov-24'!G348+'Dec-24'!G348+'Jan-25'!G348+'Feb-25'!G348+#REF!+#REF!+#REF!+'Dec-25'!G348</f>
        <v>#REF!</v>
      </c>
      <c r="H348" s="42" t="e">
        <f>+'Jul-24'!H348+'Aug-24'!H348+'Sep-24'!H348+'Oct-24'!H348+'Nov-24'!H348+'Dec-24'!H348+'Jan-25'!H348+'Feb-25'!H348+#REF!+#REF!+#REF!+'Dec-25'!H348</f>
        <v>#REF!</v>
      </c>
      <c r="I348" s="42" t="e">
        <f>+'Jul-24'!I348+'Aug-24'!I348+'Sep-24'!I348+'Oct-24'!I348+'Nov-24'!I348+'Dec-24'!I348+'Jan-25'!I348+'Feb-25'!I348+#REF!+#REF!+#REF!+'Dec-25'!I348</f>
        <v>#REF!</v>
      </c>
      <c r="J348" s="42" t="e">
        <f>+'Jul-24'!J348+'Aug-24'!J348+'Sep-24'!J348+'Oct-24'!J348+'Nov-24'!J348+'Dec-24'!J348+'Jan-25'!J348+'Feb-25'!J348+#REF!+#REF!+#REF!+'Dec-25'!J348</f>
        <v>#REF!</v>
      </c>
      <c r="K348" s="42" t="e">
        <f>+'Jul-24'!K348+'Aug-24'!K348+'Sep-24'!K348+'Oct-24'!K348+'Nov-24'!K348+'Dec-24'!K348+'Jan-25'!K348+'Feb-25'!K348+#REF!+#REF!+#REF!+'Dec-25'!K348</f>
        <v>#REF!</v>
      </c>
      <c r="L348" s="35" t="e">
        <f t="shared" si="90"/>
        <v>#REF!</v>
      </c>
      <c r="M348" s="35" t="e">
        <f t="shared" si="89"/>
        <v>#REF!</v>
      </c>
      <c r="N348" s="32"/>
    </row>
    <row r="349" spans="1:24" x14ac:dyDescent="0.25">
      <c r="A349" s="14"/>
      <c r="B349" s="27"/>
      <c r="C349" s="28" t="s">
        <v>14</v>
      </c>
      <c r="D349" s="28"/>
      <c r="E349" s="28"/>
      <c r="F349" s="28"/>
      <c r="G349" s="42" t="e">
        <f>+'Jul-24'!G349+'Aug-24'!G349+'Sep-24'!G349+'Oct-24'!G349+'Nov-24'!G349+'Dec-24'!G349+'Jan-25'!G349+'Feb-25'!G349+#REF!+#REF!+#REF!+'Dec-25'!G349</f>
        <v>#REF!</v>
      </c>
      <c r="H349" s="42" t="e">
        <f>+'Jul-24'!H349+'Aug-24'!H349+'Sep-24'!H349+'Oct-24'!H349+'Nov-24'!H349+'Dec-24'!H349+'Jan-25'!H349+'Feb-25'!H349+#REF!+#REF!+#REF!+'Dec-25'!H349</f>
        <v>#REF!</v>
      </c>
      <c r="I349" s="42" t="e">
        <f>+'Jul-24'!I349+'Aug-24'!I349+'Sep-24'!I349+'Oct-24'!I349+'Nov-24'!I349+'Dec-24'!I349+'Jan-25'!I349+'Feb-25'!I349+#REF!+#REF!+#REF!+'Dec-25'!I349</f>
        <v>#REF!</v>
      </c>
      <c r="J349" s="42" t="e">
        <f>+'Jul-24'!J349+'Aug-24'!J349+'Sep-24'!J349+'Oct-24'!J349+'Nov-24'!J349+'Dec-24'!J349+'Jan-25'!J349+'Feb-25'!J349+#REF!+#REF!+#REF!+'Dec-25'!J349</f>
        <v>#REF!</v>
      </c>
      <c r="K349" s="42" t="e">
        <f>+'Jul-24'!K349+'Aug-24'!K349+'Sep-24'!K349+'Oct-24'!K349+'Nov-24'!K349+'Dec-24'!K349+'Jan-25'!K349+'Feb-25'!K349+#REF!+#REF!+#REF!+'Dec-25'!K349</f>
        <v>#REF!</v>
      </c>
      <c r="L349" s="35" t="e">
        <f t="shared" si="90"/>
        <v>#REF!</v>
      </c>
      <c r="M349" s="35" t="e">
        <f t="shared" si="89"/>
        <v>#REF!</v>
      </c>
      <c r="N349" s="32"/>
    </row>
    <row r="350" spans="1:24" x14ac:dyDescent="0.25">
      <c r="A350" s="14"/>
      <c r="B350" s="27"/>
      <c r="C350" s="28" t="s">
        <v>4</v>
      </c>
      <c r="D350" s="28"/>
      <c r="E350" s="28"/>
      <c r="F350" s="28"/>
      <c r="G350" s="42" t="e">
        <f>+'Jul-24'!G350+'Aug-24'!G350+'Sep-24'!G350+'Oct-24'!G350+'Nov-24'!G350+'Dec-24'!G350+'Jan-25'!G350+'Feb-25'!G350+#REF!+#REF!+#REF!+'Dec-25'!G350</f>
        <v>#REF!</v>
      </c>
      <c r="H350" s="42" t="e">
        <f>+'Jul-24'!H350+'Aug-24'!H350+'Sep-24'!H350+'Oct-24'!H350+'Nov-24'!H350+'Dec-24'!H350+'Jan-25'!H350+'Feb-25'!H350+#REF!+#REF!+#REF!+'Dec-25'!H350</f>
        <v>#REF!</v>
      </c>
      <c r="I350" s="42" t="e">
        <f>+'Jul-24'!I350+'Aug-24'!I350+'Sep-24'!I350+'Oct-24'!I350+'Nov-24'!I350+'Dec-24'!I350+'Jan-25'!I350+'Feb-25'!I350+#REF!+#REF!+#REF!+'Dec-25'!I350</f>
        <v>#REF!</v>
      </c>
      <c r="J350" s="42" t="e">
        <f>+'Jul-24'!J350+'Aug-24'!J350+'Sep-24'!J350+'Oct-24'!J350+'Nov-24'!J350+'Dec-24'!J350+'Jan-25'!J350+'Feb-25'!J350+#REF!+#REF!+#REF!+'Dec-25'!J350</f>
        <v>#REF!</v>
      </c>
      <c r="K350" s="42" t="e">
        <f>+'Jul-24'!K350+'Aug-24'!K350+'Sep-24'!K350+'Oct-24'!K350+'Nov-24'!K350+'Dec-24'!K350+'Jan-25'!K350+'Feb-25'!K350+#REF!+#REF!+#REF!+'Dec-25'!K350</f>
        <v>#REF!</v>
      </c>
      <c r="L350" s="35" t="e">
        <f t="shared" si="90"/>
        <v>#REF!</v>
      </c>
      <c r="M350" s="35" t="e">
        <f t="shared" si="89"/>
        <v>#REF!</v>
      </c>
      <c r="N350" s="32"/>
    </row>
    <row r="351" spans="1:24" x14ac:dyDescent="0.25">
      <c r="A351" s="14"/>
      <c r="B351" s="27"/>
      <c r="C351" s="28" t="s">
        <v>15</v>
      </c>
      <c r="D351" s="28"/>
      <c r="E351" s="28"/>
      <c r="F351" s="28"/>
      <c r="G351" s="42" t="e">
        <f>+'Jul-24'!G351+'Aug-24'!G351+'Sep-24'!G351+'Oct-24'!G351+'Nov-24'!G351+'Dec-24'!G351+'Jan-25'!G351+'Feb-25'!G351+#REF!+#REF!+#REF!+'Dec-25'!G351</f>
        <v>#REF!</v>
      </c>
      <c r="H351" s="42" t="e">
        <f>+'Jul-24'!H351+'Aug-24'!H351+'Sep-24'!H351+'Oct-24'!H351+'Nov-24'!H351+'Dec-24'!H351+'Jan-25'!H351+'Feb-25'!H351+#REF!+#REF!+#REF!+'Dec-25'!H351</f>
        <v>#REF!</v>
      </c>
      <c r="I351" s="42" t="e">
        <f>+'Jul-24'!I351+'Aug-24'!I351+'Sep-24'!I351+'Oct-24'!I351+'Nov-24'!I351+'Dec-24'!I351+'Jan-25'!I351+'Feb-25'!I351+#REF!+#REF!+#REF!+'Dec-25'!I351</f>
        <v>#REF!</v>
      </c>
      <c r="J351" s="42" t="e">
        <f>+'Jul-24'!J351+'Aug-24'!J351+'Sep-24'!J351+'Oct-24'!J351+'Nov-24'!J351+'Dec-24'!J351+'Jan-25'!J351+'Feb-25'!J351+#REF!+#REF!+#REF!+'Dec-25'!J351</f>
        <v>#REF!</v>
      </c>
      <c r="K351" s="42" t="e">
        <f>+'Jul-24'!K351+'Aug-24'!K351+'Sep-24'!K351+'Oct-24'!K351+'Nov-24'!K351+'Dec-24'!K351+'Jan-25'!K351+'Feb-25'!K351+#REF!+#REF!+#REF!+'Dec-25'!K351</f>
        <v>#REF!</v>
      </c>
      <c r="L351" s="35" t="e">
        <f t="shared" si="90"/>
        <v>#REF!</v>
      </c>
      <c r="M351" s="35" t="e">
        <f t="shared" si="89"/>
        <v>#REF!</v>
      </c>
      <c r="N351" s="32"/>
    </row>
    <row r="352" spans="1:24" x14ac:dyDescent="0.25">
      <c r="A352" s="14"/>
      <c r="B352" s="27"/>
      <c r="C352" s="28" t="s">
        <v>16</v>
      </c>
      <c r="D352" s="28"/>
      <c r="E352" s="28"/>
      <c r="F352" s="28"/>
      <c r="G352" s="42" t="e">
        <f>+'Jul-24'!G352+'Aug-24'!G352+'Sep-24'!G352+'Oct-24'!G352+'Nov-24'!G352+'Dec-24'!G352+'Jan-25'!G352+'Feb-25'!G352+#REF!+#REF!+#REF!+'Dec-25'!G352</f>
        <v>#REF!</v>
      </c>
      <c r="H352" s="42" t="e">
        <f>+'Jul-24'!H352+'Aug-24'!H352+'Sep-24'!H352+'Oct-24'!H352+'Nov-24'!H352+'Dec-24'!H352+'Jan-25'!H352+'Feb-25'!H352+#REF!+#REF!+#REF!+'Dec-25'!H352</f>
        <v>#REF!</v>
      </c>
      <c r="I352" s="42" t="e">
        <f>+'Jul-24'!I352+'Aug-24'!I352+'Sep-24'!I352+'Oct-24'!I352+'Nov-24'!I352+'Dec-24'!I352+'Jan-25'!I352+'Feb-25'!I352+#REF!+#REF!+#REF!+'Dec-25'!I352</f>
        <v>#REF!</v>
      </c>
      <c r="J352" s="42" t="e">
        <f>+'Jul-24'!J352+'Aug-24'!J352+'Sep-24'!J352+'Oct-24'!J352+'Nov-24'!J352+'Dec-24'!J352+'Jan-25'!J352+'Feb-25'!J352+#REF!+#REF!+#REF!+'Dec-25'!J352</f>
        <v>#REF!</v>
      </c>
      <c r="K352" s="42" t="e">
        <f>+'Jul-24'!K352+'Aug-24'!K352+'Sep-24'!K352+'Oct-24'!K352+'Nov-24'!K352+'Dec-24'!K352+'Jan-25'!K352+'Feb-25'!K352+#REF!+#REF!+#REF!+'Dec-25'!K352</f>
        <v>#REF!</v>
      </c>
      <c r="L352" s="35" t="e">
        <f t="shared" si="90"/>
        <v>#REF!</v>
      </c>
      <c r="M352" s="35" t="e">
        <f t="shared" si="89"/>
        <v>#REF!</v>
      </c>
      <c r="N352" s="32"/>
    </row>
    <row r="353" spans="1:24" ht="15.75" thickBot="1" x14ac:dyDescent="0.3">
      <c r="A353" s="14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4"/>
      <c r="H354" s="44"/>
      <c r="I354" s="44"/>
      <c r="J354" s="44"/>
      <c r="K354" s="44"/>
      <c r="L354" s="44"/>
      <c r="M354" s="44"/>
      <c r="N354" s="44"/>
    </row>
    <row r="355" spans="1:24" x14ac:dyDescent="0.25">
      <c r="A355" s="4">
        <f>+A339+1</f>
        <v>22</v>
      </c>
      <c r="B355" s="40"/>
      <c r="C355" s="6" t="s">
        <v>38</v>
      </c>
      <c r="D355" s="7"/>
      <c r="E355" s="8"/>
      <c r="F355" s="8"/>
      <c r="G355" s="10">
        <f>+$G$3</f>
        <v>2024</v>
      </c>
      <c r="H355" s="10">
        <f>+G355</f>
        <v>2024</v>
      </c>
      <c r="I355" s="10">
        <f t="shared" ref="I355:M356" si="91">+H355</f>
        <v>2024</v>
      </c>
      <c r="J355" s="10">
        <f t="shared" si="91"/>
        <v>2024</v>
      </c>
      <c r="K355" s="10">
        <f t="shared" si="91"/>
        <v>2024</v>
      </c>
      <c r="L355" s="10">
        <f t="shared" si="91"/>
        <v>2024</v>
      </c>
      <c r="M355" s="10">
        <f t="shared" si="91"/>
        <v>2024</v>
      </c>
      <c r="N355" s="11"/>
      <c r="S355" s="12" t="str">
        <f>+C355</f>
        <v>Bulunga</v>
      </c>
      <c r="T355" s="13" t="e">
        <f>+L359</f>
        <v>#REF!</v>
      </c>
      <c r="U355" s="13" t="e">
        <f>+L360+L361</f>
        <v>#REF!</v>
      </c>
      <c r="V355" s="13" t="e">
        <f>+L362+L363</f>
        <v>#REF!</v>
      </c>
      <c r="W355" s="13" t="e">
        <f>+L366</f>
        <v>#REF!</v>
      </c>
      <c r="X355" s="13" t="e">
        <f>+L364</f>
        <v>#REF!</v>
      </c>
    </row>
    <row r="356" spans="1:24" x14ac:dyDescent="0.25">
      <c r="A356" s="14"/>
      <c r="B356" s="15"/>
      <c r="C356" s="41" t="str">
        <f>+$C340</f>
        <v>Year to Date 2024/2025</v>
      </c>
      <c r="D356" s="18"/>
      <c r="E356" s="18"/>
      <c r="F356" s="18"/>
      <c r="G356" s="20" t="str">
        <f>+$G$4</f>
        <v>Week</v>
      </c>
      <c r="H356" s="20" t="str">
        <f>+G356</f>
        <v>Week</v>
      </c>
      <c r="I356" s="20" t="str">
        <f t="shared" si="91"/>
        <v>Week</v>
      </c>
      <c r="J356" s="20" t="str">
        <f t="shared" si="91"/>
        <v>Week</v>
      </c>
      <c r="K356" s="20" t="str">
        <f t="shared" si="91"/>
        <v>Week</v>
      </c>
      <c r="L356" s="20" t="str">
        <f t="shared" si="91"/>
        <v>Week</v>
      </c>
      <c r="M356" s="20" t="str">
        <f t="shared" si="91"/>
        <v>Week</v>
      </c>
      <c r="N356" s="21"/>
    </row>
    <row r="357" spans="1:24" ht="15.75" thickBot="1" x14ac:dyDescent="0.3">
      <c r="A357" s="14"/>
      <c r="B357" s="22"/>
      <c r="C357" s="23"/>
      <c r="D357" s="23"/>
      <c r="E357" s="23"/>
      <c r="F357" s="23"/>
      <c r="G357" s="25">
        <f>+$G$5</f>
        <v>1</v>
      </c>
      <c r="H357" s="25">
        <f>+$H$5</f>
        <v>2</v>
      </c>
      <c r="I357" s="25">
        <f>+$I$5</f>
        <v>3</v>
      </c>
      <c r="J357" s="25">
        <f>+$J$5</f>
        <v>4</v>
      </c>
      <c r="K357" s="25">
        <f>+$K$5</f>
        <v>5</v>
      </c>
      <c r="L357" s="25" t="s">
        <v>6</v>
      </c>
      <c r="M357" s="25" t="s">
        <v>7</v>
      </c>
      <c r="N357" s="26"/>
    </row>
    <row r="358" spans="1:24" x14ac:dyDescent="0.25">
      <c r="A358" s="14"/>
      <c r="B358" s="27"/>
      <c r="C358" s="28"/>
      <c r="D358" s="28"/>
      <c r="E358" s="28"/>
      <c r="F358" s="28"/>
      <c r="G358" s="29"/>
      <c r="H358" s="29"/>
      <c r="I358" s="29"/>
      <c r="J358" s="29"/>
      <c r="K358" s="28"/>
      <c r="L358" s="28"/>
      <c r="M358" s="28"/>
      <c r="N358" s="30"/>
    </row>
    <row r="359" spans="1:24" x14ac:dyDescent="0.25">
      <c r="A359" s="14"/>
      <c r="B359" s="27"/>
      <c r="C359" s="28" t="s">
        <v>8</v>
      </c>
      <c r="D359" s="28"/>
      <c r="E359" s="28"/>
      <c r="F359" s="28"/>
      <c r="G359" s="31" t="e">
        <f>SUM(G360:G363)</f>
        <v>#REF!</v>
      </c>
      <c r="H359" s="31" t="e">
        <f t="shared" ref="H359:L359" si="92">SUM(H360:H363)</f>
        <v>#REF!</v>
      </c>
      <c r="I359" s="31" t="e">
        <f t="shared" si="92"/>
        <v>#REF!</v>
      </c>
      <c r="J359" s="31" t="e">
        <f t="shared" si="92"/>
        <v>#REF!</v>
      </c>
      <c r="K359" s="31" t="e">
        <f t="shared" si="92"/>
        <v>#REF!</v>
      </c>
      <c r="L359" s="31" t="e">
        <f t="shared" si="92"/>
        <v>#REF!</v>
      </c>
      <c r="M359" s="31" t="e">
        <f>ROUND((L359/$E$1),0)</f>
        <v>#REF!</v>
      </c>
      <c r="N359" s="32"/>
    </row>
    <row r="360" spans="1:24" x14ac:dyDescent="0.25">
      <c r="A360" s="14"/>
      <c r="B360" s="27"/>
      <c r="C360" s="28"/>
      <c r="D360" s="28" t="s">
        <v>9</v>
      </c>
      <c r="E360" s="28"/>
      <c r="F360" s="28"/>
      <c r="G360" s="42" t="e">
        <f>+'Jul-24'!G360+'Aug-24'!G360+'Sep-24'!G360+'Oct-24'!G360+'Nov-24'!G360+'Dec-24'!G360+'Jan-25'!G360+'Feb-25'!G360+#REF!+#REF!+#REF!+'Dec-25'!G360</f>
        <v>#REF!</v>
      </c>
      <c r="H360" s="42" t="e">
        <f>+'Jul-24'!H360+'Aug-24'!H360+'Sep-24'!H360+'Oct-24'!H360+'Nov-24'!H360+'Dec-24'!H360+'Jan-25'!H360+'Feb-25'!H360+#REF!+#REF!+#REF!+'Dec-25'!H360</f>
        <v>#REF!</v>
      </c>
      <c r="I360" s="42" t="e">
        <f>+'Jul-24'!I360+'Aug-24'!I360+'Sep-24'!I360+'Oct-24'!I360+'Nov-24'!I360+'Dec-24'!I360+'Jan-25'!I360+'Feb-25'!I360+#REF!+#REF!+#REF!+'Dec-25'!I360</f>
        <v>#REF!</v>
      </c>
      <c r="J360" s="42" t="e">
        <f>+'Jul-24'!J360+'Aug-24'!J360+'Sep-24'!J360+'Oct-24'!J360+'Nov-24'!J360+'Dec-24'!J360+'Jan-25'!J360+'Feb-25'!J360+#REF!+#REF!+#REF!+'Dec-25'!J360</f>
        <v>#REF!</v>
      </c>
      <c r="K360" s="42" t="e">
        <f>+'Jul-24'!K360+'Aug-24'!K360+'Sep-24'!K360+'Oct-24'!K360+'Nov-24'!K360+'Dec-24'!K360+'Jan-25'!K360+'Feb-25'!K360+#REF!+#REF!+#REF!+'Dec-25'!K360</f>
        <v>#REF!</v>
      </c>
      <c r="L360" s="35" t="e">
        <f>SUM(G360:K360)</f>
        <v>#REF!</v>
      </c>
      <c r="M360" s="35" t="e">
        <f t="shared" ref="M360:M368" si="93">ROUND((L360/$E$1),0)</f>
        <v>#REF!</v>
      </c>
      <c r="N360" s="32"/>
    </row>
    <row r="361" spans="1:24" x14ac:dyDescent="0.25">
      <c r="A361" s="14"/>
      <c r="B361" s="27"/>
      <c r="C361" s="28"/>
      <c r="D361" s="28" t="s">
        <v>10</v>
      </c>
      <c r="E361" s="28"/>
      <c r="F361" s="28"/>
      <c r="G361" s="42" t="e">
        <f>+'Jul-24'!G361+'Aug-24'!G361+'Sep-24'!G361+'Oct-24'!G361+'Nov-24'!G361+'Dec-24'!G361+'Jan-25'!G361+'Feb-25'!G361+#REF!+#REF!+#REF!+'Dec-25'!G361</f>
        <v>#REF!</v>
      </c>
      <c r="H361" s="42" t="e">
        <f>+'Jul-24'!H361+'Aug-24'!H361+'Sep-24'!H361+'Oct-24'!H361+'Nov-24'!H361+'Dec-24'!H361+'Jan-25'!H361+'Feb-25'!H361+#REF!+#REF!+#REF!+'Dec-25'!H361</f>
        <v>#REF!</v>
      </c>
      <c r="I361" s="42" t="e">
        <f>+'Jul-24'!I361+'Aug-24'!I361+'Sep-24'!I361+'Oct-24'!I361+'Nov-24'!I361+'Dec-24'!I361+'Jan-25'!I361+'Feb-25'!I361+#REF!+#REF!+#REF!+'Dec-25'!I361</f>
        <v>#REF!</v>
      </c>
      <c r="J361" s="42" t="e">
        <f>+'Jul-24'!J361+'Aug-24'!J361+'Sep-24'!J361+'Oct-24'!J361+'Nov-24'!J361+'Dec-24'!J361+'Jan-25'!J361+'Feb-25'!J361+#REF!+#REF!+#REF!+'Dec-25'!J361</f>
        <v>#REF!</v>
      </c>
      <c r="K361" s="42" t="e">
        <f>+'Jul-24'!K361+'Aug-24'!K361+'Sep-24'!K361+'Oct-24'!K361+'Nov-24'!K361+'Dec-24'!K361+'Jan-25'!K361+'Feb-25'!K361+#REF!+#REF!+#REF!+'Dec-25'!K361</f>
        <v>#REF!</v>
      </c>
      <c r="L361" s="35" t="e">
        <f t="shared" ref="L361:L368" si="94">SUM(G361:K361)</f>
        <v>#REF!</v>
      </c>
      <c r="M361" s="35" t="e">
        <f t="shared" si="93"/>
        <v>#REF!</v>
      </c>
      <c r="N361" s="32"/>
    </row>
    <row r="362" spans="1:24" x14ac:dyDescent="0.25">
      <c r="A362" s="14"/>
      <c r="B362" s="27"/>
      <c r="C362" s="28"/>
      <c r="D362" s="28" t="s">
        <v>11</v>
      </c>
      <c r="E362" s="28"/>
      <c r="F362" s="28"/>
      <c r="G362" s="42" t="e">
        <f>+'Jul-24'!G362+'Aug-24'!G362+'Sep-24'!G362+'Oct-24'!G362+'Nov-24'!G362+'Dec-24'!G362+'Jan-25'!G362+'Feb-25'!G362+#REF!+#REF!+#REF!+'Dec-25'!G362</f>
        <v>#REF!</v>
      </c>
      <c r="H362" s="42" t="e">
        <f>+'Jul-24'!H362+'Aug-24'!H362+'Sep-24'!H362+'Oct-24'!H362+'Nov-24'!H362+'Dec-24'!H362+'Jan-25'!H362+'Feb-25'!H362+#REF!+#REF!+#REF!+'Dec-25'!H362</f>
        <v>#REF!</v>
      </c>
      <c r="I362" s="42" t="e">
        <f>+'Jul-24'!I362+'Aug-24'!I362+'Sep-24'!I362+'Oct-24'!I362+'Nov-24'!I362+'Dec-24'!I362+'Jan-25'!I362+'Feb-25'!I362+#REF!+#REF!+#REF!+'Dec-25'!I362</f>
        <v>#REF!</v>
      </c>
      <c r="J362" s="42" t="e">
        <f>+'Jul-24'!J362+'Aug-24'!J362+'Sep-24'!J362+'Oct-24'!J362+'Nov-24'!J362+'Dec-24'!J362+'Jan-25'!J362+'Feb-25'!J362+#REF!+#REF!+#REF!+'Dec-25'!J362</f>
        <v>#REF!</v>
      </c>
      <c r="K362" s="42" t="e">
        <f>+'Jul-24'!K362+'Aug-24'!K362+'Sep-24'!K362+'Oct-24'!K362+'Nov-24'!K362+'Dec-24'!K362+'Jan-25'!K362+'Feb-25'!K362+#REF!+#REF!+#REF!+'Dec-25'!K362</f>
        <v>#REF!</v>
      </c>
      <c r="L362" s="35" t="e">
        <f t="shared" si="94"/>
        <v>#REF!</v>
      </c>
      <c r="M362" s="35" t="e">
        <f t="shared" si="93"/>
        <v>#REF!</v>
      </c>
      <c r="N362" s="32"/>
    </row>
    <row r="363" spans="1:24" x14ac:dyDescent="0.25">
      <c r="A363" s="14"/>
      <c r="B363" s="27"/>
      <c r="C363" s="28"/>
      <c r="D363" s="28" t="s">
        <v>12</v>
      </c>
      <c r="E363" s="28"/>
      <c r="F363" s="28"/>
      <c r="G363" s="43" t="e">
        <f>+'Jul-24'!G363+'Aug-24'!G363+'Sep-24'!G363+'Oct-24'!G363+'Nov-24'!G363+'Dec-24'!G363+'Jan-25'!G363+'Feb-25'!G363+#REF!+#REF!+#REF!+'Dec-25'!G363</f>
        <v>#REF!</v>
      </c>
      <c r="H363" s="43" t="e">
        <f>+'Jul-24'!H363+'Aug-24'!H363+'Sep-24'!H363+'Oct-24'!H363+'Nov-24'!H363+'Dec-24'!H363+'Jan-25'!H363+'Feb-25'!H363+#REF!+#REF!+#REF!+'Dec-25'!H363</f>
        <v>#REF!</v>
      </c>
      <c r="I363" s="43" t="e">
        <f>+'Jul-24'!I363+'Aug-24'!I363+'Sep-24'!I363+'Oct-24'!I363+'Nov-24'!I363+'Dec-24'!I363+'Jan-25'!I363+'Feb-25'!I363+#REF!+#REF!+#REF!+'Dec-25'!I363</f>
        <v>#REF!</v>
      </c>
      <c r="J363" s="43" t="e">
        <f>+'Jul-24'!J363+'Aug-24'!J363+'Sep-24'!J363+'Oct-24'!J363+'Nov-24'!J363+'Dec-24'!J363+'Jan-25'!J363+'Feb-25'!J363+#REF!+#REF!+#REF!+'Dec-25'!J363</f>
        <v>#REF!</v>
      </c>
      <c r="K363" s="43" t="e">
        <f>+'Jul-24'!K363+'Aug-24'!K363+'Sep-24'!K363+'Oct-24'!K363+'Nov-24'!K363+'Dec-24'!K363+'Jan-25'!K363+'Feb-25'!K363+#REF!+#REF!+#REF!+'Dec-25'!K363</f>
        <v>#REF!</v>
      </c>
      <c r="L363" s="31" t="e">
        <f t="shared" si="94"/>
        <v>#REF!</v>
      </c>
      <c r="M363" s="31" t="e">
        <f t="shared" si="93"/>
        <v>#REF!</v>
      </c>
      <c r="N363" s="32"/>
    </row>
    <row r="364" spans="1:24" x14ac:dyDescent="0.25">
      <c r="A364" s="14"/>
      <c r="B364" s="27"/>
      <c r="C364" s="28" t="s">
        <v>13</v>
      </c>
      <c r="D364" s="28"/>
      <c r="E364" s="28"/>
      <c r="F364" s="28"/>
      <c r="G364" s="42" t="e">
        <f>+'Jul-24'!G364+'Aug-24'!G364+'Sep-24'!G364+'Oct-24'!G364+'Nov-24'!G364+'Dec-24'!G364+'Jan-25'!G364+'Feb-25'!G364+#REF!+#REF!+#REF!+'Dec-25'!G364</f>
        <v>#REF!</v>
      </c>
      <c r="H364" s="42" t="e">
        <f>+'Jul-24'!H364+'Aug-24'!H364+'Sep-24'!H364+'Oct-24'!H364+'Nov-24'!H364+'Dec-24'!H364+'Jan-25'!H364+'Feb-25'!H364+#REF!+#REF!+#REF!+'Dec-25'!H364</f>
        <v>#REF!</v>
      </c>
      <c r="I364" s="42" t="e">
        <f>+'Jul-24'!I364+'Aug-24'!I364+'Sep-24'!I364+'Oct-24'!I364+'Nov-24'!I364+'Dec-24'!I364+'Jan-25'!I364+'Feb-25'!I364+#REF!+#REF!+#REF!+'Dec-25'!I364</f>
        <v>#REF!</v>
      </c>
      <c r="J364" s="42" t="e">
        <f>+'Jul-24'!J364+'Aug-24'!J364+'Sep-24'!J364+'Oct-24'!J364+'Nov-24'!J364+'Dec-24'!J364+'Jan-25'!J364+'Feb-25'!J364+#REF!+#REF!+#REF!+'Dec-25'!J364</f>
        <v>#REF!</v>
      </c>
      <c r="K364" s="42" t="e">
        <f>+'Jul-24'!K364+'Aug-24'!K364+'Sep-24'!K364+'Oct-24'!K364+'Nov-24'!K364+'Dec-24'!K364+'Jan-25'!K364+'Feb-25'!K364+#REF!+#REF!+#REF!+'Dec-25'!K364</f>
        <v>#REF!</v>
      </c>
      <c r="L364" s="35" t="e">
        <f t="shared" si="94"/>
        <v>#REF!</v>
      </c>
      <c r="M364" s="35" t="e">
        <f t="shared" si="93"/>
        <v>#REF!</v>
      </c>
      <c r="N364" s="32"/>
    </row>
    <row r="365" spans="1:24" x14ac:dyDescent="0.25">
      <c r="A365" s="14"/>
      <c r="B365" s="27"/>
      <c r="C365" s="28" t="s">
        <v>14</v>
      </c>
      <c r="D365" s="28"/>
      <c r="E365" s="28"/>
      <c r="F365" s="28"/>
      <c r="G365" s="42" t="e">
        <f>+'Jul-24'!G365+'Aug-24'!G365+'Sep-24'!G365+'Oct-24'!G365+'Nov-24'!G365+'Dec-24'!G365+'Jan-25'!G365+'Feb-25'!G365+#REF!+#REF!+#REF!+'Dec-25'!G365</f>
        <v>#REF!</v>
      </c>
      <c r="H365" s="42" t="e">
        <f>+'Jul-24'!H365+'Aug-24'!H365+'Sep-24'!H365+'Oct-24'!H365+'Nov-24'!H365+'Dec-24'!H365+'Jan-25'!H365+'Feb-25'!H365+#REF!+#REF!+#REF!+'Dec-25'!H365</f>
        <v>#REF!</v>
      </c>
      <c r="I365" s="42" t="e">
        <f>+'Jul-24'!I365+'Aug-24'!I365+'Sep-24'!I365+'Oct-24'!I365+'Nov-24'!I365+'Dec-24'!I365+'Jan-25'!I365+'Feb-25'!I365+#REF!+#REF!+#REF!+'Dec-25'!I365</f>
        <v>#REF!</v>
      </c>
      <c r="J365" s="42" t="e">
        <f>+'Jul-24'!J365+'Aug-24'!J365+'Sep-24'!J365+'Oct-24'!J365+'Nov-24'!J365+'Dec-24'!J365+'Jan-25'!J365+'Feb-25'!J365+#REF!+#REF!+#REF!+'Dec-25'!J365</f>
        <v>#REF!</v>
      </c>
      <c r="K365" s="42" t="e">
        <f>+'Jul-24'!K365+'Aug-24'!K365+'Sep-24'!K365+'Oct-24'!K365+'Nov-24'!K365+'Dec-24'!K365+'Jan-25'!K365+'Feb-25'!K365+#REF!+#REF!+#REF!+'Dec-25'!K365</f>
        <v>#REF!</v>
      </c>
      <c r="L365" s="35" t="e">
        <f t="shared" si="94"/>
        <v>#REF!</v>
      </c>
      <c r="M365" s="35" t="e">
        <f t="shared" si="93"/>
        <v>#REF!</v>
      </c>
      <c r="N365" s="32"/>
    </row>
    <row r="366" spans="1:24" x14ac:dyDescent="0.25">
      <c r="A366" s="14"/>
      <c r="B366" s="27"/>
      <c r="C366" s="28" t="s">
        <v>4</v>
      </c>
      <c r="D366" s="28"/>
      <c r="E366" s="28"/>
      <c r="F366" s="28"/>
      <c r="G366" s="42" t="e">
        <f>+'Jul-24'!G366+'Aug-24'!G366+'Sep-24'!G366+'Oct-24'!G366+'Nov-24'!G366+'Dec-24'!G366+'Jan-25'!G366+'Feb-25'!G366+#REF!+#REF!+#REF!+'Dec-25'!G366</f>
        <v>#REF!</v>
      </c>
      <c r="H366" s="42" t="e">
        <f>+'Jul-24'!H366+'Aug-24'!H366+'Sep-24'!H366+'Oct-24'!H366+'Nov-24'!H366+'Dec-24'!H366+'Jan-25'!H366+'Feb-25'!H366+#REF!+#REF!+#REF!+'Dec-25'!H366</f>
        <v>#REF!</v>
      </c>
      <c r="I366" s="42" t="e">
        <f>+'Jul-24'!I366+'Aug-24'!I366+'Sep-24'!I366+'Oct-24'!I366+'Nov-24'!I366+'Dec-24'!I366+'Jan-25'!I366+'Feb-25'!I366+#REF!+#REF!+#REF!+'Dec-25'!I366</f>
        <v>#REF!</v>
      </c>
      <c r="J366" s="42" t="e">
        <f>+'Jul-24'!J366+'Aug-24'!J366+'Sep-24'!J366+'Oct-24'!J366+'Nov-24'!J366+'Dec-24'!J366+'Jan-25'!J366+'Feb-25'!J366+#REF!+#REF!+#REF!+'Dec-25'!J366</f>
        <v>#REF!</v>
      </c>
      <c r="K366" s="42" t="e">
        <f>+'Jul-24'!K366+'Aug-24'!K366+'Sep-24'!K366+'Oct-24'!K366+'Nov-24'!K366+'Dec-24'!K366+'Jan-25'!K366+'Feb-25'!K366+#REF!+#REF!+#REF!+'Dec-25'!K366</f>
        <v>#REF!</v>
      </c>
      <c r="L366" s="35" t="e">
        <f t="shared" si="94"/>
        <v>#REF!</v>
      </c>
      <c r="M366" s="35" t="e">
        <f t="shared" si="93"/>
        <v>#REF!</v>
      </c>
      <c r="N366" s="32"/>
    </row>
    <row r="367" spans="1:24" x14ac:dyDescent="0.25">
      <c r="A367" s="14"/>
      <c r="B367" s="27"/>
      <c r="C367" s="28" t="s">
        <v>15</v>
      </c>
      <c r="D367" s="28"/>
      <c r="E367" s="28"/>
      <c r="F367" s="28"/>
      <c r="G367" s="42" t="e">
        <f>+'Jul-24'!G367+'Aug-24'!G367+'Sep-24'!G367+'Oct-24'!G367+'Nov-24'!G367+'Dec-24'!G367+'Jan-25'!G367+'Feb-25'!G367+#REF!+#REF!+#REF!+'Dec-25'!G367</f>
        <v>#REF!</v>
      </c>
      <c r="H367" s="42" t="e">
        <f>+'Jul-24'!H367+'Aug-24'!H367+'Sep-24'!H367+'Oct-24'!H367+'Nov-24'!H367+'Dec-24'!H367+'Jan-25'!H367+'Feb-25'!H367+#REF!+#REF!+#REF!+'Dec-25'!H367</f>
        <v>#REF!</v>
      </c>
      <c r="I367" s="42" t="e">
        <f>+'Jul-24'!I367+'Aug-24'!I367+'Sep-24'!I367+'Oct-24'!I367+'Nov-24'!I367+'Dec-24'!I367+'Jan-25'!I367+'Feb-25'!I367+#REF!+#REF!+#REF!+'Dec-25'!I367</f>
        <v>#REF!</v>
      </c>
      <c r="J367" s="42" t="e">
        <f>+'Jul-24'!J367+'Aug-24'!J367+'Sep-24'!J367+'Oct-24'!J367+'Nov-24'!J367+'Dec-24'!J367+'Jan-25'!J367+'Feb-25'!J367+#REF!+#REF!+#REF!+'Dec-25'!J367</f>
        <v>#REF!</v>
      </c>
      <c r="K367" s="42" t="e">
        <f>+'Jul-24'!K367+'Aug-24'!K367+'Sep-24'!K367+'Oct-24'!K367+'Nov-24'!K367+'Dec-24'!K367+'Jan-25'!K367+'Feb-25'!K367+#REF!+#REF!+#REF!+'Dec-25'!K367</f>
        <v>#REF!</v>
      </c>
      <c r="L367" s="35" t="e">
        <f t="shared" si="94"/>
        <v>#REF!</v>
      </c>
      <c r="M367" s="35" t="e">
        <f t="shared" si="93"/>
        <v>#REF!</v>
      </c>
      <c r="N367" s="32"/>
    </row>
    <row r="368" spans="1:24" x14ac:dyDescent="0.25">
      <c r="A368" s="14"/>
      <c r="B368" s="27"/>
      <c r="C368" s="28" t="s">
        <v>16</v>
      </c>
      <c r="D368" s="28"/>
      <c r="E368" s="28"/>
      <c r="F368" s="28"/>
      <c r="G368" s="42" t="e">
        <f>+'Jul-24'!G368+'Aug-24'!G368+'Sep-24'!G368+'Oct-24'!G368+'Nov-24'!G368+'Dec-24'!G368+'Jan-25'!G368+'Feb-25'!G368+#REF!+#REF!+#REF!+'Dec-25'!G368</f>
        <v>#REF!</v>
      </c>
      <c r="H368" s="42" t="e">
        <f>+'Jul-24'!H368+'Aug-24'!H368+'Sep-24'!H368+'Oct-24'!H368+'Nov-24'!H368+'Dec-24'!H368+'Jan-25'!H368+'Feb-25'!H368+#REF!+#REF!+#REF!+'Dec-25'!H368</f>
        <v>#REF!</v>
      </c>
      <c r="I368" s="42" t="e">
        <f>+'Jul-24'!I368+'Aug-24'!I368+'Sep-24'!I368+'Oct-24'!I368+'Nov-24'!I368+'Dec-24'!I368+'Jan-25'!I368+'Feb-25'!I368+#REF!+#REF!+#REF!+'Dec-25'!I368</f>
        <v>#REF!</v>
      </c>
      <c r="J368" s="42" t="e">
        <f>+'Jul-24'!J368+'Aug-24'!J368+'Sep-24'!J368+'Oct-24'!J368+'Nov-24'!J368+'Dec-24'!J368+'Jan-25'!J368+'Feb-25'!J368+#REF!+#REF!+#REF!+'Dec-25'!J368</f>
        <v>#REF!</v>
      </c>
      <c r="K368" s="42" t="e">
        <f>+'Jul-24'!K368+'Aug-24'!K368+'Sep-24'!K368+'Oct-24'!K368+'Nov-24'!K368+'Dec-24'!K368+'Jan-25'!K368+'Feb-25'!K368+#REF!+#REF!+#REF!+'Dec-25'!K368</f>
        <v>#REF!</v>
      </c>
      <c r="L368" s="35" t="e">
        <f t="shared" si="94"/>
        <v>#REF!</v>
      </c>
      <c r="M368" s="35" t="e">
        <f t="shared" si="93"/>
        <v>#REF!</v>
      </c>
      <c r="N368" s="32"/>
    </row>
    <row r="369" spans="1:24" ht="15.75" thickBot="1" x14ac:dyDescent="0.3">
      <c r="A369" s="14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14"/>
      <c r="G370" s="33"/>
      <c r="H370" s="33"/>
      <c r="I370" s="33"/>
      <c r="J370" s="33"/>
      <c r="K370" s="33"/>
      <c r="L370" s="33"/>
      <c r="M370" s="33"/>
      <c r="N370" s="33"/>
    </row>
    <row r="371" spans="1:24" x14ac:dyDescent="0.25">
      <c r="A371" s="4">
        <f>+A355+1</f>
        <v>23</v>
      </c>
      <c r="B371" s="5"/>
      <c r="C371" s="6" t="s">
        <v>39</v>
      </c>
      <c r="D371" s="7"/>
      <c r="E371" s="8"/>
      <c r="F371" s="8"/>
      <c r="G371" s="10">
        <f>+$G$3</f>
        <v>2024</v>
      </c>
      <c r="H371" s="10">
        <f>+G371</f>
        <v>2024</v>
      </c>
      <c r="I371" s="10">
        <f t="shared" ref="I371:M372" si="95">+H371</f>
        <v>2024</v>
      </c>
      <c r="J371" s="10">
        <f t="shared" si="95"/>
        <v>2024</v>
      </c>
      <c r="K371" s="10">
        <f t="shared" si="95"/>
        <v>2024</v>
      </c>
      <c r="L371" s="10">
        <f t="shared" si="95"/>
        <v>2024</v>
      </c>
      <c r="M371" s="10">
        <f t="shared" si="95"/>
        <v>2024</v>
      </c>
      <c r="N371" s="11"/>
      <c r="P371" s="44"/>
      <c r="S371" s="12" t="str">
        <f>+C371</f>
        <v>Mbowane</v>
      </c>
      <c r="T371" s="13" t="e">
        <f>+L375</f>
        <v>#REF!</v>
      </c>
      <c r="U371" s="13" t="e">
        <f>+L376+L377</f>
        <v>#REF!</v>
      </c>
      <c r="V371" s="13" t="e">
        <f>+L378+L379</f>
        <v>#REF!</v>
      </c>
      <c r="W371" s="13" t="e">
        <f>+L382</f>
        <v>#REF!</v>
      </c>
      <c r="X371" s="13" t="e">
        <f>+L380</f>
        <v>#REF!</v>
      </c>
    </row>
    <row r="372" spans="1:24" x14ac:dyDescent="0.25">
      <c r="A372" s="14"/>
      <c r="B372" s="15"/>
      <c r="C372" s="41" t="str">
        <f>+$C356</f>
        <v>Year to Date 2024/2025</v>
      </c>
      <c r="D372" s="18"/>
      <c r="E372" s="18"/>
      <c r="F372" s="18"/>
      <c r="G372" s="20" t="str">
        <f>+$G$4</f>
        <v>Week</v>
      </c>
      <c r="H372" s="20" t="str">
        <f>+G372</f>
        <v>Week</v>
      </c>
      <c r="I372" s="20" t="str">
        <f t="shared" si="95"/>
        <v>Week</v>
      </c>
      <c r="J372" s="20" t="str">
        <f t="shared" si="95"/>
        <v>Week</v>
      </c>
      <c r="K372" s="20" t="str">
        <f t="shared" si="95"/>
        <v>Week</v>
      </c>
      <c r="L372" s="20" t="str">
        <f t="shared" si="95"/>
        <v>Week</v>
      </c>
      <c r="M372" s="20" t="str">
        <f t="shared" si="95"/>
        <v>Week</v>
      </c>
      <c r="N372" s="21"/>
    </row>
    <row r="373" spans="1:24" ht="15.75" thickBot="1" x14ac:dyDescent="0.3">
      <c r="A373" s="14"/>
      <c r="B373" s="22"/>
      <c r="C373" s="23"/>
      <c r="D373" s="23"/>
      <c r="E373" s="23"/>
      <c r="F373" s="23"/>
      <c r="G373" s="25">
        <f>+$G$5</f>
        <v>1</v>
      </c>
      <c r="H373" s="25">
        <f>+$H$5</f>
        <v>2</v>
      </c>
      <c r="I373" s="25">
        <f>+$I$5</f>
        <v>3</v>
      </c>
      <c r="J373" s="25">
        <f>+$J$5</f>
        <v>4</v>
      </c>
      <c r="K373" s="25">
        <f>+$K$5</f>
        <v>5</v>
      </c>
      <c r="L373" s="25" t="s">
        <v>6</v>
      </c>
      <c r="M373" s="25" t="s">
        <v>7</v>
      </c>
      <c r="N373" s="26"/>
    </row>
    <row r="374" spans="1:24" x14ac:dyDescent="0.25">
      <c r="A374" s="14"/>
      <c r="B374" s="27"/>
      <c r="C374" s="28"/>
      <c r="D374" s="28"/>
      <c r="E374" s="28"/>
      <c r="F374" s="28"/>
      <c r="G374" s="29"/>
      <c r="H374" s="29"/>
      <c r="I374" s="29"/>
      <c r="J374" s="29"/>
      <c r="K374" s="28"/>
      <c r="L374" s="28"/>
      <c r="M374" s="28"/>
      <c r="N374" s="30"/>
    </row>
    <row r="375" spans="1:24" x14ac:dyDescent="0.25">
      <c r="A375" s="14"/>
      <c r="B375" s="27"/>
      <c r="C375" s="28" t="s">
        <v>8</v>
      </c>
      <c r="D375" s="28"/>
      <c r="E375" s="28"/>
      <c r="F375" s="28"/>
      <c r="G375" s="31" t="e">
        <f>SUM(G376:G379)</f>
        <v>#REF!</v>
      </c>
      <c r="H375" s="31" t="e">
        <f t="shared" ref="H375:L375" si="96">SUM(H376:H379)</f>
        <v>#REF!</v>
      </c>
      <c r="I375" s="31" t="e">
        <f t="shared" si="96"/>
        <v>#REF!</v>
      </c>
      <c r="J375" s="31" t="e">
        <f t="shared" si="96"/>
        <v>#REF!</v>
      </c>
      <c r="K375" s="31" t="e">
        <f t="shared" si="96"/>
        <v>#REF!</v>
      </c>
      <c r="L375" s="31" t="e">
        <f t="shared" si="96"/>
        <v>#REF!</v>
      </c>
      <c r="M375" s="31" t="e">
        <f>ROUND((L375/$E$1),0)</f>
        <v>#REF!</v>
      </c>
      <c r="N375" s="32"/>
    </row>
    <row r="376" spans="1:24" x14ac:dyDescent="0.25">
      <c r="A376" s="14"/>
      <c r="B376" s="27"/>
      <c r="C376" s="28"/>
      <c r="D376" s="28" t="s">
        <v>9</v>
      </c>
      <c r="E376" s="28"/>
      <c r="F376" s="28"/>
      <c r="G376" s="42" t="e">
        <f>+'Jul-24'!G376+'Aug-24'!G376+'Sep-24'!G376+'Oct-24'!G376+'Nov-24'!G376+'Dec-24'!G376+'Jan-25'!G376+'Feb-25'!G376+#REF!+#REF!+#REF!+'Dec-25'!G376</f>
        <v>#REF!</v>
      </c>
      <c r="H376" s="42" t="e">
        <f>+'Jul-24'!H376+'Aug-24'!H376+'Sep-24'!H376+'Oct-24'!H376+'Nov-24'!H376+'Dec-24'!H376+'Jan-25'!H376+'Feb-25'!H376+#REF!+#REF!+#REF!+'Dec-25'!H376</f>
        <v>#REF!</v>
      </c>
      <c r="I376" s="42" t="e">
        <f>+'Jul-24'!I376+'Aug-24'!I376+'Sep-24'!I376+'Oct-24'!I376+'Nov-24'!I376+'Dec-24'!I376+'Jan-25'!I376+'Feb-25'!I376+#REF!+#REF!+#REF!+'Dec-25'!I376</f>
        <v>#REF!</v>
      </c>
      <c r="J376" s="42" t="e">
        <f>+'Jul-24'!J376+'Aug-24'!J376+'Sep-24'!J376+'Oct-24'!J376+'Nov-24'!J376+'Dec-24'!J376+'Jan-25'!J376+'Feb-25'!J376+#REF!+#REF!+#REF!+'Dec-25'!J376</f>
        <v>#REF!</v>
      </c>
      <c r="K376" s="42" t="e">
        <f>+'Jul-24'!K376+'Aug-24'!K376+'Sep-24'!K376+'Oct-24'!K376+'Nov-24'!K376+'Dec-24'!K376+'Jan-25'!K376+'Feb-25'!K376+#REF!+#REF!+#REF!+'Dec-25'!K376</f>
        <v>#REF!</v>
      </c>
      <c r="L376" s="35" t="e">
        <f>SUM(G376:K376)</f>
        <v>#REF!</v>
      </c>
      <c r="M376" s="35" t="e">
        <f t="shared" ref="M376:M384" si="97">ROUND((L376/$E$1),0)</f>
        <v>#REF!</v>
      </c>
      <c r="N376" s="32"/>
    </row>
    <row r="377" spans="1:24" x14ac:dyDescent="0.25">
      <c r="A377" s="14"/>
      <c r="B377" s="27"/>
      <c r="C377" s="28"/>
      <c r="D377" s="28" t="s">
        <v>10</v>
      </c>
      <c r="E377" s="28"/>
      <c r="F377" s="28"/>
      <c r="G377" s="42" t="e">
        <f>+'Jul-24'!G377+'Aug-24'!G377+'Sep-24'!G377+'Oct-24'!G377+'Nov-24'!G377+'Dec-24'!G377+'Jan-25'!G377+'Feb-25'!G377+#REF!+#REF!+#REF!+'Dec-25'!G377</f>
        <v>#REF!</v>
      </c>
      <c r="H377" s="42" t="e">
        <f>+'Jul-24'!H377+'Aug-24'!H377+'Sep-24'!H377+'Oct-24'!H377+'Nov-24'!H377+'Dec-24'!H377+'Jan-25'!H377+'Feb-25'!H377+#REF!+#REF!+#REF!+'Dec-25'!H377</f>
        <v>#REF!</v>
      </c>
      <c r="I377" s="42" t="e">
        <f>+'Jul-24'!I377+'Aug-24'!I377+'Sep-24'!I377+'Oct-24'!I377+'Nov-24'!I377+'Dec-24'!I377+'Jan-25'!I377+'Feb-25'!I377+#REF!+#REF!+#REF!+'Dec-25'!I377</f>
        <v>#REF!</v>
      </c>
      <c r="J377" s="42" t="e">
        <f>+'Jul-24'!J377+'Aug-24'!J377+'Sep-24'!J377+'Oct-24'!J377+'Nov-24'!J377+'Dec-24'!J377+'Jan-25'!J377+'Feb-25'!J377+#REF!+#REF!+#REF!+'Dec-25'!J377</f>
        <v>#REF!</v>
      </c>
      <c r="K377" s="42" t="e">
        <f>+'Jul-24'!K377+'Aug-24'!K377+'Sep-24'!K377+'Oct-24'!K377+'Nov-24'!K377+'Dec-24'!K377+'Jan-25'!K377+'Feb-25'!K377+#REF!+#REF!+#REF!+'Dec-25'!K377</f>
        <v>#REF!</v>
      </c>
      <c r="L377" s="35" t="e">
        <f t="shared" ref="L377:L384" si="98">SUM(G377:K377)</f>
        <v>#REF!</v>
      </c>
      <c r="M377" s="35" t="e">
        <f t="shared" si="97"/>
        <v>#REF!</v>
      </c>
      <c r="N377" s="32"/>
    </row>
    <row r="378" spans="1:24" x14ac:dyDescent="0.25">
      <c r="A378" s="14"/>
      <c r="B378" s="27"/>
      <c r="C378" s="28"/>
      <c r="D378" s="28" t="s">
        <v>11</v>
      </c>
      <c r="E378" s="28"/>
      <c r="F378" s="28"/>
      <c r="G378" s="42" t="e">
        <f>+'Jul-24'!G378+'Aug-24'!G378+'Sep-24'!G378+'Oct-24'!G378+'Nov-24'!G378+'Dec-24'!G378+'Jan-25'!G378+'Feb-25'!G378+#REF!+#REF!+#REF!+'Dec-25'!G378</f>
        <v>#REF!</v>
      </c>
      <c r="H378" s="42" t="e">
        <f>+'Jul-24'!H378+'Aug-24'!H378+'Sep-24'!H378+'Oct-24'!H378+'Nov-24'!H378+'Dec-24'!H378+'Jan-25'!H378+'Feb-25'!H378+#REF!+#REF!+#REF!+'Dec-25'!H378</f>
        <v>#REF!</v>
      </c>
      <c r="I378" s="42" t="e">
        <f>+'Jul-24'!I378+'Aug-24'!I378+'Sep-24'!I378+'Oct-24'!I378+'Nov-24'!I378+'Dec-24'!I378+'Jan-25'!I378+'Feb-25'!I378+#REF!+#REF!+#REF!+'Dec-25'!I378</f>
        <v>#REF!</v>
      </c>
      <c r="J378" s="42" t="e">
        <f>+'Jul-24'!J378+'Aug-24'!J378+'Sep-24'!J378+'Oct-24'!J378+'Nov-24'!J378+'Dec-24'!J378+'Jan-25'!J378+'Feb-25'!J378+#REF!+#REF!+#REF!+'Dec-25'!J378</f>
        <v>#REF!</v>
      </c>
      <c r="K378" s="42" t="e">
        <f>+'Jul-24'!K378+'Aug-24'!K378+'Sep-24'!K378+'Oct-24'!K378+'Nov-24'!K378+'Dec-24'!K378+'Jan-25'!K378+'Feb-25'!K378+#REF!+#REF!+#REF!+'Dec-25'!K378</f>
        <v>#REF!</v>
      </c>
      <c r="L378" s="35" t="e">
        <f t="shared" si="98"/>
        <v>#REF!</v>
      </c>
      <c r="M378" s="35" t="e">
        <f t="shared" si="97"/>
        <v>#REF!</v>
      </c>
      <c r="N378" s="32"/>
    </row>
    <row r="379" spans="1:24" x14ac:dyDescent="0.25">
      <c r="A379" s="14"/>
      <c r="B379" s="27"/>
      <c r="C379" s="28"/>
      <c r="D379" s="28" t="s">
        <v>12</v>
      </c>
      <c r="E379" s="28"/>
      <c r="F379" s="28"/>
      <c r="G379" s="43" t="e">
        <f>+'Jul-24'!G379+'Aug-24'!G379+'Sep-24'!G379+'Oct-24'!G379+'Nov-24'!G379+'Dec-24'!G379+'Jan-25'!G379+'Feb-25'!G379+#REF!+#REF!+#REF!+'Dec-25'!G379</f>
        <v>#REF!</v>
      </c>
      <c r="H379" s="43" t="e">
        <f>+'Jul-24'!H379+'Aug-24'!H379+'Sep-24'!H379+'Oct-24'!H379+'Nov-24'!H379+'Dec-24'!H379+'Jan-25'!H379+'Feb-25'!H379+#REF!+#REF!+#REF!+'Dec-25'!H379</f>
        <v>#REF!</v>
      </c>
      <c r="I379" s="43" t="e">
        <f>+'Jul-24'!I379+'Aug-24'!I379+'Sep-24'!I379+'Oct-24'!I379+'Nov-24'!I379+'Dec-24'!I379+'Jan-25'!I379+'Feb-25'!I379+#REF!+#REF!+#REF!+'Dec-25'!I379</f>
        <v>#REF!</v>
      </c>
      <c r="J379" s="43" t="e">
        <f>+'Jul-24'!J379+'Aug-24'!J379+'Sep-24'!J379+'Oct-24'!J379+'Nov-24'!J379+'Dec-24'!J379+'Jan-25'!J379+'Feb-25'!J379+#REF!+#REF!+#REF!+'Dec-25'!J379</f>
        <v>#REF!</v>
      </c>
      <c r="K379" s="43" t="e">
        <f>+'Jul-24'!K379+'Aug-24'!K379+'Sep-24'!K379+'Oct-24'!K379+'Nov-24'!K379+'Dec-24'!K379+'Jan-25'!K379+'Feb-25'!K379+#REF!+#REF!+#REF!+'Dec-25'!K379</f>
        <v>#REF!</v>
      </c>
      <c r="L379" s="31" t="e">
        <f t="shared" si="98"/>
        <v>#REF!</v>
      </c>
      <c r="M379" s="31" t="e">
        <f t="shared" si="97"/>
        <v>#REF!</v>
      </c>
      <c r="N379" s="32"/>
    </row>
    <row r="380" spans="1:24" x14ac:dyDescent="0.25">
      <c r="A380" s="14"/>
      <c r="B380" s="27"/>
      <c r="C380" s="28" t="s">
        <v>13</v>
      </c>
      <c r="D380" s="28"/>
      <c r="E380" s="28"/>
      <c r="F380" s="28"/>
      <c r="G380" s="42" t="e">
        <f>+'Jul-24'!G380+'Aug-24'!G380+'Sep-24'!G380+'Oct-24'!G380+'Nov-24'!G380+'Dec-24'!G380+'Jan-25'!G380+'Feb-25'!G380+#REF!+#REF!+#REF!+'Dec-25'!G380</f>
        <v>#REF!</v>
      </c>
      <c r="H380" s="42" t="e">
        <f>+'Jul-24'!H380+'Aug-24'!H380+'Sep-24'!H380+'Oct-24'!H380+'Nov-24'!H380+'Dec-24'!H380+'Jan-25'!H380+'Feb-25'!H380+#REF!+#REF!+#REF!+'Dec-25'!H380</f>
        <v>#REF!</v>
      </c>
      <c r="I380" s="42" t="e">
        <f>+'Jul-24'!I380+'Aug-24'!I380+'Sep-24'!I380+'Oct-24'!I380+'Nov-24'!I380+'Dec-24'!I380+'Jan-25'!I380+'Feb-25'!I380+#REF!+#REF!+#REF!+'Dec-25'!I380</f>
        <v>#REF!</v>
      </c>
      <c r="J380" s="42" t="e">
        <f>+'Jul-24'!J380+'Aug-24'!J380+'Sep-24'!J380+'Oct-24'!J380+'Nov-24'!J380+'Dec-24'!J380+'Jan-25'!J380+'Feb-25'!J380+#REF!+#REF!+#REF!+'Dec-25'!J380</f>
        <v>#REF!</v>
      </c>
      <c r="K380" s="42" t="e">
        <f>+'Jul-24'!K380+'Aug-24'!K380+'Sep-24'!K380+'Oct-24'!K380+'Nov-24'!K380+'Dec-24'!K380+'Jan-25'!K380+'Feb-25'!K380+#REF!+#REF!+#REF!+'Dec-25'!K380</f>
        <v>#REF!</v>
      </c>
      <c r="L380" s="35" t="e">
        <f t="shared" si="98"/>
        <v>#REF!</v>
      </c>
      <c r="M380" s="35" t="e">
        <f t="shared" si="97"/>
        <v>#REF!</v>
      </c>
      <c r="N380" s="32"/>
    </row>
    <row r="381" spans="1:24" x14ac:dyDescent="0.25">
      <c r="A381" s="14"/>
      <c r="B381" s="27"/>
      <c r="C381" s="28" t="s">
        <v>14</v>
      </c>
      <c r="D381" s="28"/>
      <c r="E381" s="28"/>
      <c r="F381" s="28"/>
      <c r="G381" s="42" t="e">
        <f>+'Jul-24'!G381+'Aug-24'!G381+'Sep-24'!G381+'Oct-24'!G381+'Nov-24'!G381+'Dec-24'!G381+'Jan-25'!G381+'Feb-25'!G381+#REF!+#REF!+#REF!+'Dec-25'!G381</f>
        <v>#REF!</v>
      </c>
      <c r="H381" s="42" t="e">
        <f>+'Jul-24'!H381+'Aug-24'!H381+'Sep-24'!H381+'Oct-24'!H381+'Nov-24'!H381+'Dec-24'!H381+'Jan-25'!H381+'Feb-25'!H381+#REF!+#REF!+#REF!+'Dec-25'!H381</f>
        <v>#REF!</v>
      </c>
      <c r="I381" s="42" t="e">
        <f>+'Jul-24'!I381+'Aug-24'!I381+'Sep-24'!I381+'Oct-24'!I381+'Nov-24'!I381+'Dec-24'!I381+'Jan-25'!I381+'Feb-25'!I381+#REF!+#REF!+#REF!+'Dec-25'!I381</f>
        <v>#REF!</v>
      </c>
      <c r="J381" s="42" t="e">
        <f>+'Jul-24'!J381+'Aug-24'!J381+'Sep-24'!J381+'Oct-24'!J381+'Nov-24'!J381+'Dec-24'!J381+'Jan-25'!J381+'Feb-25'!J381+#REF!+#REF!+#REF!+'Dec-25'!J381</f>
        <v>#REF!</v>
      </c>
      <c r="K381" s="42" t="e">
        <f>+'Jul-24'!K381+'Aug-24'!K381+'Sep-24'!K381+'Oct-24'!K381+'Nov-24'!K381+'Dec-24'!K381+'Jan-25'!K381+'Feb-25'!K381+#REF!+#REF!+#REF!+'Dec-25'!K381</f>
        <v>#REF!</v>
      </c>
      <c r="L381" s="35" t="e">
        <f t="shared" si="98"/>
        <v>#REF!</v>
      </c>
      <c r="M381" s="35" t="e">
        <f t="shared" si="97"/>
        <v>#REF!</v>
      </c>
      <c r="N381" s="32"/>
    </row>
    <row r="382" spans="1:24" x14ac:dyDescent="0.25">
      <c r="A382" s="14"/>
      <c r="B382" s="27"/>
      <c r="C382" s="28" t="s">
        <v>4</v>
      </c>
      <c r="D382" s="28"/>
      <c r="E382" s="28"/>
      <c r="F382" s="28"/>
      <c r="G382" s="42" t="e">
        <f>+'Jul-24'!G382+'Aug-24'!G382+'Sep-24'!G382+'Oct-24'!G382+'Nov-24'!G382+'Dec-24'!G382+'Jan-25'!G382+'Feb-25'!G382+#REF!+#REF!+#REF!+'Dec-25'!G382</f>
        <v>#REF!</v>
      </c>
      <c r="H382" s="42" t="e">
        <f>+'Jul-24'!H382+'Aug-24'!H382+'Sep-24'!H382+'Oct-24'!H382+'Nov-24'!H382+'Dec-24'!H382+'Jan-25'!H382+'Feb-25'!H382+#REF!+#REF!+#REF!+'Dec-25'!H382</f>
        <v>#REF!</v>
      </c>
      <c r="I382" s="42" t="e">
        <f>+'Jul-24'!I382+'Aug-24'!I382+'Sep-24'!I382+'Oct-24'!I382+'Nov-24'!I382+'Dec-24'!I382+'Jan-25'!I382+'Feb-25'!I382+#REF!+#REF!+#REF!+'Dec-25'!I382</f>
        <v>#REF!</v>
      </c>
      <c r="J382" s="42" t="e">
        <f>+'Jul-24'!J382+'Aug-24'!J382+'Sep-24'!J382+'Oct-24'!J382+'Nov-24'!J382+'Dec-24'!J382+'Jan-25'!J382+'Feb-25'!J382+#REF!+#REF!+#REF!+'Dec-25'!J382</f>
        <v>#REF!</v>
      </c>
      <c r="K382" s="42" t="e">
        <f>+'Jul-24'!K382+'Aug-24'!K382+'Sep-24'!K382+'Oct-24'!K382+'Nov-24'!K382+'Dec-24'!K382+'Jan-25'!K382+'Feb-25'!K382+#REF!+#REF!+#REF!+'Dec-25'!K382</f>
        <v>#REF!</v>
      </c>
      <c r="L382" s="35" t="e">
        <f t="shared" si="98"/>
        <v>#REF!</v>
      </c>
      <c r="M382" s="35" t="e">
        <f t="shared" si="97"/>
        <v>#REF!</v>
      </c>
      <c r="N382" s="32"/>
    </row>
    <row r="383" spans="1:24" x14ac:dyDescent="0.25">
      <c r="A383" s="14"/>
      <c r="B383" s="27"/>
      <c r="C383" s="28" t="s">
        <v>15</v>
      </c>
      <c r="D383" s="28"/>
      <c r="E383" s="28"/>
      <c r="F383" s="28"/>
      <c r="G383" s="42" t="e">
        <f>+'Jul-24'!G383+'Aug-24'!G383+'Sep-24'!G383+'Oct-24'!G383+'Nov-24'!G383+'Dec-24'!G383+'Jan-25'!G383+'Feb-25'!G383+#REF!+#REF!+#REF!+'Dec-25'!G383</f>
        <v>#REF!</v>
      </c>
      <c r="H383" s="42" t="e">
        <f>+'Jul-24'!H383+'Aug-24'!H383+'Sep-24'!H383+'Oct-24'!H383+'Nov-24'!H383+'Dec-24'!H383+'Jan-25'!H383+'Feb-25'!H383+#REF!+#REF!+#REF!+'Dec-25'!H383</f>
        <v>#REF!</v>
      </c>
      <c r="I383" s="42" t="e">
        <f>+'Jul-24'!I383+'Aug-24'!I383+'Sep-24'!I383+'Oct-24'!I383+'Nov-24'!I383+'Dec-24'!I383+'Jan-25'!I383+'Feb-25'!I383+#REF!+#REF!+#REF!+'Dec-25'!I383</f>
        <v>#REF!</v>
      </c>
      <c r="J383" s="42" t="e">
        <f>+'Jul-24'!J383+'Aug-24'!J383+'Sep-24'!J383+'Oct-24'!J383+'Nov-24'!J383+'Dec-24'!J383+'Jan-25'!J383+'Feb-25'!J383+#REF!+#REF!+#REF!+'Dec-25'!J383</f>
        <v>#REF!</v>
      </c>
      <c r="K383" s="42" t="e">
        <f>+'Jul-24'!K383+'Aug-24'!K383+'Sep-24'!K383+'Oct-24'!K383+'Nov-24'!K383+'Dec-24'!K383+'Jan-25'!K383+'Feb-25'!K383+#REF!+#REF!+#REF!+'Dec-25'!K383</f>
        <v>#REF!</v>
      </c>
      <c r="L383" s="35" t="e">
        <f t="shared" si="98"/>
        <v>#REF!</v>
      </c>
      <c r="M383" s="35" t="e">
        <f t="shared" si="97"/>
        <v>#REF!</v>
      </c>
      <c r="N383" s="32"/>
    </row>
    <row r="384" spans="1:24" x14ac:dyDescent="0.25">
      <c r="A384" s="14"/>
      <c r="B384" s="27"/>
      <c r="C384" s="28" t="s">
        <v>16</v>
      </c>
      <c r="D384" s="28"/>
      <c r="E384" s="28"/>
      <c r="F384" s="28"/>
      <c r="G384" s="42" t="e">
        <f>+'Jul-24'!G384+'Aug-24'!G384+'Sep-24'!G384+'Oct-24'!G384+'Nov-24'!G384+'Dec-24'!G384+'Jan-25'!G384+'Feb-25'!G384+#REF!+#REF!+#REF!+'Dec-25'!G384</f>
        <v>#REF!</v>
      </c>
      <c r="H384" s="42" t="e">
        <f>+'Jul-24'!H384+'Aug-24'!H384+'Sep-24'!H384+'Oct-24'!H384+'Nov-24'!H384+'Dec-24'!H384+'Jan-25'!H384+'Feb-25'!H384+#REF!+#REF!+#REF!+'Dec-25'!H384</f>
        <v>#REF!</v>
      </c>
      <c r="I384" s="42" t="e">
        <f>+'Jul-24'!I384+'Aug-24'!I384+'Sep-24'!I384+'Oct-24'!I384+'Nov-24'!I384+'Dec-24'!I384+'Jan-25'!I384+'Feb-25'!I384+#REF!+#REF!+#REF!+'Dec-25'!I384</f>
        <v>#REF!</v>
      </c>
      <c r="J384" s="42" t="e">
        <f>+'Jul-24'!J384+'Aug-24'!J384+'Sep-24'!J384+'Oct-24'!J384+'Nov-24'!J384+'Dec-24'!J384+'Jan-25'!J384+'Feb-25'!J384+#REF!+#REF!+#REF!+'Dec-25'!J384</f>
        <v>#REF!</v>
      </c>
      <c r="K384" s="42" t="e">
        <f>+'Jul-24'!K384+'Aug-24'!K384+'Sep-24'!K384+'Oct-24'!K384+'Nov-24'!K384+'Dec-24'!K384+'Jan-25'!K384+'Feb-25'!K384+#REF!+#REF!+#REF!+'Dec-25'!K384</f>
        <v>#REF!</v>
      </c>
      <c r="L384" s="35" t="e">
        <f t="shared" si="98"/>
        <v>#REF!</v>
      </c>
      <c r="M384" s="35" t="e">
        <f t="shared" si="97"/>
        <v>#REF!</v>
      </c>
      <c r="N384" s="32"/>
    </row>
    <row r="385" spans="1:24" ht="15.75" thickBot="1" x14ac:dyDescent="0.3">
      <c r="A385" s="14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14"/>
      <c r="G386" s="33"/>
      <c r="H386" s="33"/>
      <c r="I386" s="33"/>
      <c r="J386" s="33"/>
      <c r="K386" s="33"/>
      <c r="L386" s="33"/>
      <c r="M386" s="33"/>
      <c r="N386" s="33"/>
    </row>
    <row r="387" spans="1:24" x14ac:dyDescent="0.25">
      <c r="A387" s="4">
        <f>+A371+1</f>
        <v>24</v>
      </c>
      <c r="B387" s="40"/>
      <c r="C387" s="6" t="s">
        <v>40</v>
      </c>
      <c r="D387" s="7"/>
      <c r="E387" s="8"/>
      <c r="F387" s="8"/>
      <c r="G387" s="10">
        <f>+$G$3</f>
        <v>2024</v>
      </c>
      <c r="H387" s="10">
        <f>+G387</f>
        <v>2024</v>
      </c>
      <c r="I387" s="10">
        <f t="shared" ref="I387:M388" si="99">+H387</f>
        <v>2024</v>
      </c>
      <c r="J387" s="10">
        <f t="shared" si="99"/>
        <v>2024</v>
      </c>
      <c r="K387" s="10">
        <f t="shared" si="99"/>
        <v>2024</v>
      </c>
      <c r="L387" s="10">
        <f t="shared" si="99"/>
        <v>2024</v>
      </c>
      <c r="M387" s="10">
        <f t="shared" si="99"/>
        <v>2024</v>
      </c>
      <c r="N387" s="11"/>
      <c r="P387" s="44"/>
      <c r="S387" s="12" t="str">
        <f>+C387</f>
        <v>Sibovini</v>
      </c>
      <c r="T387" s="13" t="e">
        <f>+L391</f>
        <v>#REF!</v>
      </c>
      <c r="U387" s="13" t="e">
        <f>+L392+L393</f>
        <v>#REF!</v>
      </c>
      <c r="V387" s="13" t="e">
        <f>+L394+L395</f>
        <v>#REF!</v>
      </c>
      <c r="W387" s="13" t="e">
        <f>+L398</f>
        <v>#REF!</v>
      </c>
      <c r="X387" s="13" t="e">
        <f>+L396</f>
        <v>#REF!</v>
      </c>
    </row>
    <row r="388" spans="1:24" x14ac:dyDescent="0.25">
      <c r="A388" s="14"/>
      <c r="B388" s="15"/>
      <c r="C388" s="41" t="str">
        <f>+$C372</f>
        <v>Year to Date 2024/2025</v>
      </c>
      <c r="D388" s="18"/>
      <c r="E388" s="18"/>
      <c r="F388" s="18"/>
      <c r="G388" s="20" t="str">
        <f>+$G$4</f>
        <v>Week</v>
      </c>
      <c r="H388" s="20" t="str">
        <f>+G388</f>
        <v>Week</v>
      </c>
      <c r="I388" s="20" t="str">
        <f t="shared" si="99"/>
        <v>Week</v>
      </c>
      <c r="J388" s="20" t="str">
        <f t="shared" si="99"/>
        <v>Week</v>
      </c>
      <c r="K388" s="20" t="str">
        <f t="shared" si="99"/>
        <v>Week</v>
      </c>
      <c r="L388" s="20" t="str">
        <f t="shared" si="99"/>
        <v>Week</v>
      </c>
      <c r="M388" s="20" t="str">
        <f t="shared" si="99"/>
        <v>Week</v>
      </c>
      <c r="N388" s="21"/>
    </row>
    <row r="389" spans="1:24" ht="15.75" thickBot="1" x14ac:dyDescent="0.3">
      <c r="A389" s="14"/>
      <c r="B389" s="22"/>
      <c r="C389" s="23"/>
      <c r="D389" s="23"/>
      <c r="E389" s="23"/>
      <c r="F389" s="23"/>
      <c r="G389" s="25">
        <f>+$G$5</f>
        <v>1</v>
      </c>
      <c r="H389" s="25">
        <f>+$H$5</f>
        <v>2</v>
      </c>
      <c r="I389" s="25">
        <f>+$I$5</f>
        <v>3</v>
      </c>
      <c r="J389" s="25">
        <f>+$J$5</f>
        <v>4</v>
      </c>
      <c r="K389" s="25">
        <f>+$K$5</f>
        <v>5</v>
      </c>
      <c r="L389" s="25" t="s">
        <v>6</v>
      </c>
      <c r="M389" s="25" t="s">
        <v>7</v>
      </c>
      <c r="N389" s="26"/>
    </row>
    <row r="390" spans="1:24" x14ac:dyDescent="0.25">
      <c r="A390" s="14"/>
      <c r="B390" s="27"/>
      <c r="C390" s="28"/>
      <c r="D390" s="28"/>
      <c r="E390" s="28"/>
      <c r="F390" s="28"/>
      <c r="G390" s="29"/>
      <c r="H390" s="29"/>
      <c r="I390" s="29"/>
      <c r="J390" s="29"/>
      <c r="K390" s="28"/>
      <c r="L390" s="28"/>
      <c r="M390" s="28"/>
      <c r="N390" s="30"/>
    </row>
    <row r="391" spans="1:24" x14ac:dyDescent="0.25">
      <c r="A391" s="14"/>
      <c r="B391" s="27"/>
      <c r="C391" s="28" t="s">
        <v>8</v>
      </c>
      <c r="D391" s="28"/>
      <c r="E391" s="28"/>
      <c r="F391" s="28"/>
      <c r="G391" s="31" t="e">
        <f>SUM(G392:G395)</f>
        <v>#REF!</v>
      </c>
      <c r="H391" s="31" t="e">
        <f t="shared" ref="H391:L391" si="100">SUM(H392:H395)</f>
        <v>#REF!</v>
      </c>
      <c r="I391" s="31" t="e">
        <f t="shared" si="100"/>
        <v>#REF!</v>
      </c>
      <c r="J391" s="31" t="e">
        <f t="shared" si="100"/>
        <v>#REF!</v>
      </c>
      <c r="K391" s="31" t="e">
        <f t="shared" si="100"/>
        <v>#REF!</v>
      </c>
      <c r="L391" s="31" t="e">
        <f t="shared" si="100"/>
        <v>#REF!</v>
      </c>
      <c r="M391" s="31" t="e">
        <f>ROUND((L391/$E$1),0)</f>
        <v>#REF!</v>
      </c>
      <c r="N391" s="32"/>
    </row>
    <row r="392" spans="1:24" x14ac:dyDescent="0.25">
      <c r="A392" s="14"/>
      <c r="B392" s="27"/>
      <c r="C392" s="28"/>
      <c r="D392" s="28" t="s">
        <v>9</v>
      </c>
      <c r="E392" s="28"/>
      <c r="F392" s="28"/>
      <c r="G392" s="42" t="e">
        <f>+'Jul-24'!G392+'Aug-24'!G392+'Sep-24'!G392+'Oct-24'!G392+'Nov-24'!G392+'Dec-24'!G392+'Jan-25'!G392+'Feb-25'!G392+#REF!+#REF!+#REF!+'Dec-25'!G392</f>
        <v>#REF!</v>
      </c>
      <c r="H392" s="42" t="e">
        <f>+'Jul-24'!H392+'Aug-24'!H392+'Sep-24'!H392+'Oct-24'!H392+'Nov-24'!H392+'Dec-24'!H392+'Jan-25'!H392+'Feb-25'!H392+#REF!+#REF!+#REF!+'Dec-25'!H392</f>
        <v>#REF!</v>
      </c>
      <c r="I392" s="42" t="e">
        <f>+'Jul-24'!I392+'Aug-24'!I392+'Sep-24'!I392+'Oct-24'!I392+'Nov-24'!I392+'Dec-24'!I392+'Jan-25'!I392+'Feb-25'!I392+#REF!+#REF!+#REF!+'Dec-25'!I392</f>
        <v>#REF!</v>
      </c>
      <c r="J392" s="42" t="e">
        <f>+'Jul-24'!J392+'Aug-24'!J392+'Sep-24'!J392+'Oct-24'!J392+'Nov-24'!J392+'Dec-24'!J392+'Jan-25'!J392+'Feb-25'!J392+#REF!+#REF!+#REF!+'Dec-25'!J392</f>
        <v>#REF!</v>
      </c>
      <c r="K392" s="42" t="e">
        <f>+'Jul-24'!K392+'Aug-24'!K392+'Sep-24'!K392+'Oct-24'!K392+'Nov-24'!K392+'Dec-24'!K392+'Jan-25'!K392+'Feb-25'!K392+#REF!+#REF!+#REF!+'Dec-25'!K392</f>
        <v>#REF!</v>
      </c>
      <c r="L392" s="35" t="e">
        <f>SUM(G392:K392)</f>
        <v>#REF!</v>
      </c>
      <c r="M392" s="35" t="e">
        <f t="shared" ref="M392:M400" si="101">ROUND((L392/$E$1),0)</f>
        <v>#REF!</v>
      </c>
      <c r="N392" s="32"/>
    </row>
    <row r="393" spans="1:24" x14ac:dyDescent="0.25">
      <c r="A393" s="14"/>
      <c r="B393" s="27"/>
      <c r="C393" s="28"/>
      <c r="D393" s="28" t="s">
        <v>10</v>
      </c>
      <c r="E393" s="28"/>
      <c r="F393" s="28"/>
      <c r="G393" s="42" t="e">
        <f>+'Jul-24'!G393+'Aug-24'!G393+'Sep-24'!G393+'Oct-24'!G393+'Nov-24'!G393+'Dec-24'!G393+'Jan-25'!G393+'Feb-25'!G393+#REF!+#REF!+#REF!+'Dec-25'!G393</f>
        <v>#REF!</v>
      </c>
      <c r="H393" s="42" t="e">
        <f>+'Jul-24'!H393+'Aug-24'!H393+'Sep-24'!H393+'Oct-24'!H393+'Nov-24'!H393+'Dec-24'!H393+'Jan-25'!H393+'Feb-25'!H393+#REF!+#REF!+#REF!+'Dec-25'!H393</f>
        <v>#REF!</v>
      </c>
      <c r="I393" s="42" t="e">
        <f>+'Jul-24'!I393+'Aug-24'!I393+'Sep-24'!I393+'Oct-24'!I393+'Nov-24'!I393+'Dec-24'!I393+'Jan-25'!I393+'Feb-25'!I393+#REF!+#REF!+#REF!+'Dec-25'!I393</f>
        <v>#REF!</v>
      </c>
      <c r="J393" s="42" t="e">
        <f>+'Jul-24'!J393+'Aug-24'!J393+'Sep-24'!J393+'Oct-24'!J393+'Nov-24'!J393+'Dec-24'!J393+'Jan-25'!J393+'Feb-25'!J393+#REF!+#REF!+#REF!+'Dec-25'!J393</f>
        <v>#REF!</v>
      </c>
      <c r="K393" s="42" t="e">
        <f>+'Jul-24'!K393+'Aug-24'!K393+'Sep-24'!K393+'Oct-24'!K393+'Nov-24'!K393+'Dec-24'!K393+'Jan-25'!K393+'Feb-25'!K393+#REF!+#REF!+#REF!+'Dec-25'!K393</f>
        <v>#REF!</v>
      </c>
      <c r="L393" s="35" t="e">
        <f t="shared" ref="L393:L400" si="102">SUM(G393:K393)</f>
        <v>#REF!</v>
      </c>
      <c r="M393" s="35" t="e">
        <f t="shared" si="101"/>
        <v>#REF!</v>
      </c>
      <c r="N393" s="32"/>
    </row>
    <row r="394" spans="1:24" x14ac:dyDescent="0.25">
      <c r="A394" s="14"/>
      <c r="B394" s="27"/>
      <c r="C394" s="28"/>
      <c r="D394" s="28" t="s">
        <v>11</v>
      </c>
      <c r="E394" s="28"/>
      <c r="F394" s="28"/>
      <c r="G394" s="42" t="e">
        <f>+'Jul-24'!G394+'Aug-24'!G394+'Sep-24'!G394+'Oct-24'!G394+'Nov-24'!G394+'Dec-24'!G394+'Jan-25'!G394+'Feb-25'!G394+#REF!+#REF!+#REF!+'Dec-25'!G394</f>
        <v>#REF!</v>
      </c>
      <c r="H394" s="42" t="e">
        <f>+'Jul-24'!H394+'Aug-24'!H394+'Sep-24'!H394+'Oct-24'!H394+'Nov-24'!H394+'Dec-24'!H394+'Jan-25'!H394+'Feb-25'!H394+#REF!+#REF!+#REF!+'Dec-25'!H394</f>
        <v>#REF!</v>
      </c>
      <c r="I394" s="42" t="e">
        <f>+'Jul-24'!I394+'Aug-24'!I394+'Sep-24'!I394+'Oct-24'!I394+'Nov-24'!I394+'Dec-24'!I394+'Jan-25'!I394+'Feb-25'!I394+#REF!+#REF!+#REF!+'Dec-25'!I394</f>
        <v>#REF!</v>
      </c>
      <c r="J394" s="42" t="e">
        <f>+'Jul-24'!J394+'Aug-24'!J394+'Sep-24'!J394+'Oct-24'!J394+'Nov-24'!J394+'Dec-24'!J394+'Jan-25'!J394+'Feb-25'!J394+#REF!+#REF!+#REF!+'Dec-25'!J394</f>
        <v>#REF!</v>
      </c>
      <c r="K394" s="42" t="e">
        <f>+'Jul-24'!K394+'Aug-24'!K394+'Sep-24'!K394+'Oct-24'!K394+'Nov-24'!K394+'Dec-24'!K394+'Jan-25'!K394+'Feb-25'!K394+#REF!+#REF!+#REF!+'Dec-25'!K394</f>
        <v>#REF!</v>
      </c>
      <c r="L394" s="35" t="e">
        <f t="shared" si="102"/>
        <v>#REF!</v>
      </c>
      <c r="M394" s="35" t="e">
        <f t="shared" si="101"/>
        <v>#REF!</v>
      </c>
      <c r="N394" s="32"/>
    </row>
    <row r="395" spans="1:24" x14ac:dyDescent="0.25">
      <c r="A395" s="14"/>
      <c r="B395" s="27"/>
      <c r="C395" s="28"/>
      <c r="D395" s="28" t="s">
        <v>12</v>
      </c>
      <c r="E395" s="28"/>
      <c r="F395" s="28"/>
      <c r="G395" s="43" t="e">
        <f>+'Jul-24'!G395+'Aug-24'!G395+'Sep-24'!G395+'Oct-24'!G395+'Nov-24'!G395+'Dec-24'!G395+'Jan-25'!G395+'Feb-25'!G395+#REF!+#REF!+#REF!+'Dec-25'!G395</f>
        <v>#REF!</v>
      </c>
      <c r="H395" s="43" t="e">
        <f>+'Jul-24'!H395+'Aug-24'!H395+'Sep-24'!H395+'Oct-24'!H395+'Nov-24'!H395+'Dec-24'!H395+'Jan-25'!H395+'Feb-25'!H395+#REF!+#REF!+#REF!+'Dec-25'!H395</f>
        <v>#REF!</v>
      </c>
      <c r="I395" s="43" t="e">
        <f>+'Jul-24'!I395+'Aug-24'!I395+'Sep-24'!I395+'Oct-24'!I395+'Nov-24'!I395+'Dec-24'!I395+'Jan-25'!I395+'Feb-25'!I395+#REF!+#REF!+#REF!+'Dec-25'!I395</f>
        <v>#REF!</v>
      </c>
      <c r="J395" s="43" t="e">
        <f>+'Jul-24'!J395+'Aug-24'!J395+'Sep-24'!J395+'Oct-24'!J395+'Nov-24'!J395+'Dec-24'!J395+'Jan-25'!J395+'Feb-25'!J395+#REF!+#REF!+#REF!+'Dec-25'!J395</f>
        <v>#REF!</v>
      </c>
      <c r="K395" s="43" t="e">
        <f>+'Jul-24'!K395+'Aug-24'!K395+'Sep-24'!K395+'Oct-24'!K395+'Nov-24'!K395+'Dec-24'!K395+'Jan-25'!K395+'Feb-25'!K395+#REF!+#REF!+#REF!+'Dec-25'!K395</f>
        <v>#REF!</v>
      </c>
      <c r="L395" s="31" t="e">
        <f t="shared" si="102"/>
        <v>#REF!</v>
      </c>
      <c r="M395" s="31" t="e">
        <f t="shared" si="101"/>
        <v>#REF!</v>
      </c>
      <c r="N395" s="32"/>
    </row>
    <row r="396" spans="1:24" x14ac:dyDescent="0.25">
      <c r="A396" s="14"/>
      <c r="B396" s="27"/>
      <c r="C396" s="28" t="s">
        <v>13</v>
      </c>
      <c r="D396" s="28"/>
      <c r="E396" s="28"/>
      <c r="F396" s="28"/>
      <c r="G396" s="42" t="e">
        <f>+'Jul-24'!G396+'Aug-24'!G396+'Sep-24'!G396+'Oct-24'!G396+'Nov-24'!G396+'Dec-24'!G396+'Jan-25'!G396+'Feb-25'!G396+#REF!+#REF!+#REF!+'Dec-25'!G396</f>
        <v>#REF!</v>
      </c>
      <c r="H396" s="42" t="e">
        <f>+'Jul-24'!H396+'Aug-24'!H396+'Sep-24'!H396+'Oct-24'!H396+'Nov-24'!H396+'Dec-24'!H396+'Jan-25'!H396+'Feb-25'!H396+#REF!+#REF!+#REF!+'Dec-25'!H396</f>
        <v>#REF!</v>
      </c>
      <c r="I396" s="42" t="e">
        <f>+'Jul-24'!I396+'Aug-24'!I396+'Sep-24'!I396+'Oct-24'!I396+'Nov-24'!I396+'Dec-24'!I396+'Jan-25'!I396+'Feb-25'!I396+#REF!+#REF!+#REF!+'Dec-25'!I396</f>
        <v>#REF!</v>
      </c>
      <c r="J396" s="42" t="e">
        <f>+'Jul-24'!J396+'Aug-24'!J396+'Sep-24'!J396+'Oct-24'!J396+'Nov-24'!J396+'Dec-24'!J396+'Jan-25'!J396+'Feb-25'!J396+#REF!+#REF!+#REF!+'Dec-25'!J396</f>
        <v>#REF!</v>
      </c>
      <c r="K396" s="42" t="e">
        <f>+'Jul-24'!K396+'Aug-24'!K396+'Sep-24'!K396+'Oct-24'!K396+'Nov-24'!K396+'Dec-24'!K396+'Jan-25'!K396+'Feb-25'!K396+#REF!+#REF!+#REF!+'Dec-25'!K396</f>
        <v>#REF!</v>
      </c>
      <c r="L396" s="35" t="e">
        <f t="shared" si="102"/>
        <v>#REF!</v>
      </c>
      <c r="M396" s="35" t="e">
        <f t="shared" si="101"/>
        <v>#REF!</v>
      </c>
      <c r="N396" s="32"/>
    </row>
    <row r="397" spans="1:24" x14ac:dyDescent="0.25">
      <c r="A397" s="14"/>
      <c r="B397" s="27"/>
      <c r="C397" s="28" t="s">
        <v>14</v>
      </c>
      <c r="D397" s="28"/>
      <c r="E397" s="28"/>
      <c r="F397" s="28"/>
      <c r="G397" s="42" t="e">
        <f>+'Jul-24'!G397+'Aug-24'!G397+'Sep-24'!G397+'Oct-24'!G397+'Nov-24'!G397+'Dec-24'!G397+'Jan-25'!G397+'Feb-25'!G397+#REF!+#REF!+#REF!+'Dec-25'!G397</f>
        <v>#REF!</v>
      </c>
      <c r="H397" s="42" t="e">
        <f>+'Jul-24'!H397+'Aug-24'!H397+'Sep-24'!H397+'Oct-24'!H397+'Nov-24'!H397+'Dec-24'!H397+'Jan-25'!H397+'Feb-25'!H397+#REF!+#REF!+#REF!+'Dec-25'!H397</f>
        <v>#REF!</v>
      </c>
      <c r="I397" s="42" t="e">
        <f>+'Jul-24'!I397+'Aug-24'!I397+'Sep-24'!I397+'Oct-24'!I397+'Nov-24'!I397+'Dec-24'!I397+'Jan-25'!I397+'Feb-25'!I397+#REF!+#REF!+#REF!+'Dec-25'!I397</f>
        <v>#REF!</v>
      </c>
      <c r="J397" s="42" t="e">
        <f>+'Jul-24'!J397+'Aug-24'!J397+'Sep-24'!J397+'Oct-24'!J397+'Nov-24'!J397+'Dec-24'!J397+'Jan-25'!J397+'Feb-25'!J397+#REF!+#REF!+#REF!+'Dec-25'!J397</f>
        <v>#REF!</v>
      </c>
      <c r="K397" s="42" t="e">
        <f>+'Jul-24'!K397+'Aug-24'!K397+'Sep-24'!K397+'Oct-24'!K397+'Nov-24'!K397+'Dec-24'!K397+'Jan-25'!K397+'Feb-25'!K397+#REF!+#REF!+#REF!+'Dec-25'!K397</f>
        <v>#REF!</v>
      </c>
      <c r="L397" s="35" t="e">
        <f t="shared" si="102"/>
        <v>#REF!</v>
      </c>
      <c r="M397" s="35" t="e">
        <f t="shared" si="101"/>
        <v>#REF!</v>
      </c>
      <c r="N397" s="32"/>
    </row>
    <row r="398" spans="1:24" x14ac:dyDescent="0.25">
      <c r="A398" s="14"/>
      <c r="B398" s="27"/>
      <c r="C398" s="28" t="s">
        <v>4</v>
      </c>
      <c r="D398" s="28"/>
      <c r="E398" s="28"/>
      <c r="F398" s="28"/>
      <c r="G398" s="42" t="e">
        <f>+'Jul-24'!G398+'Aug-24'!G398+'Sep-24'!G398+'Oct-24'!G398+'Nov-24'!G398+'Dec-24'!G398+'Jan-25'!G398+'Feb-25'!G398+#REF!+#REF!+#REF!+'Dec-25'!G398</f>
        <v>#REF!</v>
      </c>
      <c r="H398" s="42" t="e">
        <f>+'Jul-24'!H398+'Aug-24'!H398+'Sep-24'!H398+'Oct-24'!H398+'Nov-24'!H398+'Dec-24'!H398+'Jan-25'!H398+'Feb-25'!H398+#REF!+#REF!+#REF!+'Dec-25'!H398</f>
        <v>#REF!</v>
      </c>
      <c r="I398" s="42" t="e">
        <f>+'Jul-24'!I398+'Aug-24'!I398+'Sep-24'!I398+'Oct-24'!I398+'Nov-24'!I398+'Dec-24'!I398+'Jan-25'!I398+'Feb-25'!I398+#REF!+#REF!+#REF!+'Dec-25'!I398</f>
        <v>#REF!</v>
      </c>
      <c r="J398" s="42" t="e">
        <f>+'Jul-24'!J398+'Aug-24'!J398+'Sep-24'!J398+'Oct-24'!J398+'Nov-24'!J398+'Dec-24'!J398+'Jan-25'!J398+'Feb-25'!J398+#REF!+#REF!+#REF!+'Dec-25'!J398</f>
        <v>#REF!</v>
      </c>
      <c r="K398" s="42" t="e">
        <f>+'Jul-24'!K398+'Aug-24'!K398+'Sep-24'!K398+'Oct-24'!K398+'Nov-24'!K398+'Dec-24'!K398+'Jan-25'!K398+'Feb-25'!K398+#REF!+#REF!+#REF!+'Dec-25'!K398</f>
        <v>#REF!</v>
      </c>
      <c r="L398" s="35" t="e">
        <f t="shared" si="102"/>
        <v>#REF!</v>
      </c>
      <c r="M398" s="35" t="e">
        <f t="shared" si="101"/>
        <v>#REF!</v>
      </c>
      <c r="N398" s="32"/>
    </row>
    <row r="399" spans="1:24" x14ac:dyDescent="0.25">
      <c r="A399" s="14"/>
      <c r="B399" s="27"/>
      <c r="C399" s="28" t="s">
        <v>15</v>
      </c>
      <c r="D399" s="28"/>
      <c r="E399" s="28"/>
      <c r="F399" s="28"/>
      <c r="G399" s="42" t="e">
        <f>+'Jul-24'!G399+'Aug-24'!G399+'Sep-24'!G399+'Oct-24'!G399+'Nov-24'!G399+'Dec-24'!G399+'Jan-25'!G399+'Feb-25'!G399+#REF!+#REF!+#REF!+'Dec-25'!G399</f>
        <v>#REF!</v>
      </c>
      <c r="H399" s="42" t="e">
        <f>+'Jul-24'!H399+'Aug-24'!H399+'Sep-24'!H399+'Oct-24'!H399+'Nov-24'!H399+'Dec-24'!H399+'Jan-25'!H399+'Feb-25'!H399+#REF!+#REF!+#REF!+'Dec-25'!H399</f>
        <v>#REF!</v>
      </c>
      <c r="I399" s="42" t="e">
        <f>+'Jul-24'!I399+'Aug-24'!I399+'Sep-24'!I399+'Oct-24'!I399+'Nov-24'!I399+'Dec-24'!I399+'Jan-25'!I399+'Feb-25'!I399+#REF!+#REF!+#REF!+'Dec-25'!I399</f>
        <v>#REF!</v>
      </c>
      <c r="J399" s="42" t="e">
        <f>+'Jul-24'!J399+'Aug-24'!J399+'Sep-24'!J399+'Oct-24'!J399+'Nov-24'!J399+'Dec-24'!J399+'Jan-25'!J399+'Feb-25'!J399+#REF!+#REF!+#REF!+'Dec-25'!J399</f>
        <v>#REF!</v>
      </c>
      <c r="K399" s="42" t="e">
        <f>+'Jul-24'!K399+'Aug-24'!K399+'Sep-24'!K399+'Oct-24'!K399+'Nov-24'!K399+'Dec-24'!K399+'Jan-25'!K399+'Feb-25'!K399+#REF!+#REF!+#REF!+'Dec-25'!K399</f>
        <v>#REF!</v>
      </c>
      <c r="L399" s="35" t="e">
        <f t="shared" si="102"/>
        <v>#REF!</v>
      </c>
      <c r="M399" s="35" t="e">
        <f t="shared" si="101"/>
        <v>#REF!</v>
      </c>
      <c r="N399" s="32"/>
    </row>
    <row r="400" spans="1:24" x14ac:dyDescent="0.25">
      <c r="A400" s="14"/>
      <c r="B400" s="27"/>
      <c r="C400" s="28" t="s">
        <v>16</v>
      </c>
      <c r="D400" s="28"/>
      <c r="E400" s="28"/>
      <c r="F400" s="28"/>
      <c r="G400" s="42" t="e">
        <f>+'Jul-24'!G400+'Aug-24'!G400+'Sep-24'!G400+'Oct-24'!G400+'Nov-24'!G400+'Dec-24'!G400+'Jan-25'!G400+'Feb-25'!G400+#REF!+#REF!+#REF!+'Dec-25'!G400</f>
        <v>#REF!</v>
      </c>
      <c r="H400" s="42" t="e">
        <f>+'Jul-24'!H400+'Aug-24'!H400+'Sep-24'!H400+'Oct-24'!H400+'Nov-24'!H400+'Dec-24'!H400+'Jan-25'!H400+'Feb-25'!H400+#REF!+#REF!+#REF!+'Dec-25'!H400</f>
        <v>#REF!</v>
      </c>
      <c r="I400" s="42" t="e">
        <f>+'Jul-24'!I400+'Aug-24'!I400+'Sep-24'!I400+'Oct-24'!I400+'Nov-24'!I400+'Dec-24'!I400+'Jan-25'!I400+'Feb-25'!I400+#REF!+#REF!+#REF!+'Dec-25'!I400</f>
        <v>#REF!</v>
      </c>
      <c r="J400" s="42" t="e">
        <f>+'Jul-24'!J400+'Aug-24'!J400+'Sep-24'!J400+'Oct-24'!J400+'Nov-24'!J400+'Dec-24'!J400+'Jan-25'!J400+'Feb-25'!J400+#REF!+#REF!+#REF!+'Dec-25'!J400</f>
        <v>#REF!</v>
      </c>
      <c r="K400" s="42" t="e">
        <f>+'Jul-24'!K400+'Aug-24'!K400+'Sep-24'!K400+'Oct-24'!K400+'Nov-24'!K400+'Dec-24'!K400+'Jan-25'!K400+'Feb-25'!K400+#REF!+#REF!+#REF!+'Dec-25'!K400</f>
        <v>#REF!</v>
      </c>
      <c r="L400" s="35" t="e">
        <f t="shared" si="102"/>
        <v>#REF!</v>
      </c>
      <c r="M400" s="35" t="e">
        <f t="shared" si="101"/>
        <v>#REF!</v>
      </c>
      <c r="N400" s="32"/>
    </row>
    <row r="401" spans="1:24" ht="15.75" thickBot="1" x14ac:dyDescent="0.3">
      <c r="A401" s="14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4">
        <f>+A387+1</f>
        <v>25</v>
      </c>
      <c r="B403" s="40"/>
      <c r="C403" s="6" t="s">
        <v>41</v>
      </c>
      <c r="D403" s="7"/>
      <c r="E403" s="8"/>
      <c r="F403" s="8"/>
      <c r="G403" s="10">
        <f>+$G$3</f>
        <v>2024</v>
      </c>
      <c r="H403" s="10">
        <f>+G403</f>
        <v>2024</v>
      </c>
      <c r="I403" s="10">
        <f t="shared" ref="I403:M404" si="103">+H403</f>
        <v>2024</v>
      </c>
      <c r="J403" s="10">
        <f t="shared" si="103"/>
        <v>2024</v>
      </c>
      <c r="K403" s="10">
        <f t="shared" si="103"/>
        <v>2024</v>
      </c>
      <c r="L403" s="10">
        <f t="shared" si="103"/>
        <v>2024</v>
      </c>
      <c r="M403" s="10">
        <f t="shared" si="103"/>
        <v>2024</v>
      </c>
      <c r="N403" s="11"/>
      <c r="P403" s="44"/>
      <c r="S403" s="12" t="str">
        <f>+C403</f>
        <v>Nsubani</v>
      </c>
      <c r="T403" s="13" t="e">
        <f>+L407</f>
        <v>#REF!</v>
      </c>
      <c r="U403" s="13" t="e">
        <f>+L408+L409</f>
        <v>#REF!</v>
      </c>
      <c r="V403" s="13" t="e">
        <f>+L410+L411</f>
        <v>#REF!</v>
      </c>
      <c r="W403" s="13" t="e">
        <f>+L414</f>
        <v>#REF!</v>
      </c>
      <c r="X403" s="13" t="e">
        <f>+L412</f>
        <v>#REF!</v>
      </c>
    </row>
    <row r="404" spans="1:24" x14ac:dyDescent="0.25">
      <c r="A404" s="14"/>
      <c r="B404" s="15"/>
      <c r="C404" s="41" t="str">
        <f>+$C388</f>
        <v>Year to Date 2024/2025</v>
      </c>
      <c r="D404" s="18"/>
      <c r="E404" s="18"/>
      <c r="F404" s="18"/>
      <c r="G404" s="20" t="str">
        <f>+$G$4</f>
        <v>Week</v>
      </c>
      <c r="H404" s="20" t="str">
        <f>+G404</f>
        <v>Week</v>
      </c>
      <c r="I404" s="20" t="str">
        <f t="shared" si="103"/>
        <v>Week</v>
      </c>
      <c r="J404" s="20" t="str">
        <f t="shared" si="103"/>
        <v>Week</v>
      </c>
      <c r="K404" s="20" t="str">
        <f t="shared" si="103"/>
        <v>Week</v>
      </c>
      <c r="L404" s="20" t="str">
        <f t="shared" si="103"/>
        <v>Week</v>
      </c>
      <c r="M404" s="20" t="str">
        <f t="shared" si="103"/>
        <v>Week</v>
      </c>
      <c r="N404" s="21"/>
    </row>
    <row r="405" spans="1:24" ht="15.75" thickBot="1" x14ac:dyDescent="0.3">
      <c r="A405" s="14"/>
      <c r="B405" s="22"/>
      <c r="C405" s="23"/>
      <c r="D405" s="23"/>
      <c r="E405" s="23"/>
      <c r="F405" s="23"/>
      <c r="G405" s="25">
        <f>+$G$5</f>
        <v>1</v>
      </c>
      <c r="H405" s="25">
        <f>+$H$5</f>
        <v>2</v>
      </c>
      <c r="I405" s="25">
        <f>+$I$5</f>
        <v>3</v>
      </c>
      <c r="J405" s="25">
        <f>+$J$5</f>
        <v>4</v>
      </c>
      <c r="K405" s="25">
        <f>+$K$5</f>
        <v>5</v>
      </c>
      <c r="L405" s="25" t="s">
        <v>6</v>
      </c>
      <c r="M405" s="25" t="s">
        <v>7</v>
      </c>
      <c r="N405" s="26"/>
    </row>
    <row r="406" spans="1:24" x14ac:dyDescent="0.25">
      <c r="A406" s="14"/>
      <c r="B406" s="27"/>
      <c r="C406" s="28"/>
      <c r="D406" s="28"/>
      <c r="E406" s="28"/>
      <c r="F406" s="28"/>
      <c r="G406" s="29"/>
      <c r="H406" s="29"/>
      <c r="I406" s="29"/>
      <c r="J406" s="29"/>
      <c r="K406" s="28"/>
      <c r="L406" s="28"/>
      <c r="M406" s="28"/>
      <c r="N406" s="30"/>
    </row>
    <row r="407" spans="1:24" x14ac:dyDescent="0.25">
      <c r="A407" s="14"/>
      <c r="B407" s="27"/>
      <c r="C407" s="28" t="s">
        <v>8</v>
      </c>
      <c r="D407" s="28"/>
      <c r="E407" s="28"/>
      <c r="F407" s="28"/>
      <c r="G407" s="31" t="e">
        <f>SUM(G408:G411)</f>
        <v>#REF!</v>
      </c>
      <c r="H407" s="31" t="e">
        <f t="shared" ref="H407:L407" si="104">SUM(H408:H411)</f>
        <v>#REF!</v>
      </c>
      <c r="I407" s="31" t="e">
        <f t="shared" si="104"/>
        <v>#REF!</v>
      </c>
      <c r="J407" s="31" t="e">
        <f t="shared" si="104"/>
        <v>#REF!</v>
      </c>
      <c r="K407" s="31" t="e">
        <f t="shared" si="104"/>
        <v>#REF!</v>
      </c>
      <c r="L407" s="31" t="e">
        <f t="shared" si="104"/>
        <v>#REF!</v>
      </c>
      <c r="M407" s="31" t="e">
        <f>ROUND((L407/$E$1),0)</f>
        <v>#REF!</v>
      </c>
      <c r="N407" s="32"/>
    </row>
    <row r="408" spans="1:24" x14ac:dyDescent="0.25">
      <c r="A408" s="14"/>
      <c r="B408" s="27"/>
      <c r="C408" s="28"/>
      <c r="D408" s="28" t="s">
        <v>9</v>
      </c>
      <c r="E408" s="28"/>
      <c r="F408" s="28"/>
      <c r="G408" s="42" t="e">
        <f>+'Jul-24'!G408+'Aug-24'!G408+'Sep-24'!G408+'Oct-24'!G408+'Nov-24'!G408+'Dec-24'!G408+'Jan-25'!G408+'Feb-25'!G408+#REF!+#REF!+#REF!+'Dec-25'!G408</f>
        <v>#REF!</v>
      </c>
      <c r="H408" s="42" t="e">
        <f>+'Jul-24'!H408+'Aug-24'!H408+'Sep-24'!H408+'Oct-24'!H408+'Nov-24'!H408+'Dec-24'!H408+'Jan-25'!H408+'Feb-25'!H408+#REF!+#REF!+#REF!+'Dec-25'!H408</f>
        <v>#REF!</v>
      </c>
      <c r="I408" s="42" t="e">
        <f>+'Jul-24'!I408+'Aug-24'!I408+'Sep-24'!I408+'Oct-24'!I408+'Nov-24'!I408+'Dec-24'!I408+'Jan-25'!I408+'Feb-25'!I408+#REF!+#REF!+#REF!+'Dec-25'!I408</f>
        <v>#REF!</v>
      </c>
      <c r="J408" s="42" t="e">
        <f>+'Jul-24'!J408+'Aug-24'!J408+'Sep-24'!J408+'Oct-24'!J408+'Nov-24'!J408+'Dec-24'!J408+'Jan-25'!J408+'Feb-25'!J408+#REF!+#REF!+#REF!+'Dec-25'!J408</f>
        <v>#REF!</v>
      </c>
      <c r="K408" s="42" t="e">
        <f>+'Jul-24'!K408+'Aug-24'!K408+'Sep-24'!K408+'Oct-24'!K408+'Nov-24'!K408+'Dec-24'!K408+'Jan-25'!K408+'Feb-25'!K408+#REF!+#REF!+#REF!+'Dec-25'!K408</f>
        <v>#REF!</v>
      </c>
      <c r="L408" s="35" t="e">
        <f>SUM(G408:K408)</f>
        <v>#REF!</v>
      </c>
      <c r="M408" s="35" t="e">
        <f t="shared" ref="M408:M416" si="105">ROUND((L408/$E$1),0)</f>
        <v>#REF!</v>
      </c>
      <c r="N408" s="32"/>
    </row>
    <row r="409" spans="1:24" x14ac:dyDescent="0.25">
      <c r="A409" s="14"/>
      <c r="B409" s="27"/>
      <c r="C409" s="28"/>
      <c r="D409" s="28" t="s">
        <v>10</v>
      </c>
      <c r="E409" s="28"/>
      <c r="F409" s="28"/>
      <c r="G409" s="42" t="e">
        <f>+'Jul-24'!G409+'Aug-24'!G409+'Sep-24'!G409+'Oct-24'!G409+'Nov-24'!G409+'Dec-24'!G409+'Jan-25'!G409+'Feb-25'!G409+#REF!+#REF!+#REF!+'Dec-25'!G409</f>
        <v>#REF!</v>
      </c>
      <c r="H409" s="42" t="e">
        <f>+'Jul-24'!H409+'Aug-24'!H409+'Sep-24'!H409+'Oct-24'!H409+'Nov-24'!H409+'Dec-24'!H409+'Jan-25'!H409+'Feb-25'!H409+#REF!+#REF!+#REF!+'Dec-25'!H409</f>
        <v>#REF!</v>
      </c>
      <c r="I409" s="42" t="e">
        <f>+'Jul-24'!I409+'Aug-24'!I409+'Sep-24'!I409+'Oct-24'!I409+'Nov-24'!I409+'Dec-24'!I409+'Jan-25'!I409+'Feb-25'!I409+#REF!+#REF!+#REF!+'Dec-25'!I409</f>
        <v>#REF!</v>
      </c>
      <c r="J409" s="42" t="e">
        <f>+'Jul-24'!J409+'Aug-24'!J409+'Sep-24'!J409+'Oct-24'!J409+'Nov-24'!J409+'Dec-24'!J409+'Jan-25'!J409+'Feb-25'!J409+#REF!+#REF!+#REF!+'Dec-25'!J409</f>
        <v>#REF!</v>
      </c>
      <c r="K409" s="42" t="e">
        <f>+'Jul-24'!K409+'Aug-24'!K409+'Sep-24'!K409+'Oct-24'!K409+'Nov-24'!K409+'Dec-24'!K409+'Jan-25'!K409+'Feb-25'!K409+#REF!+#REF!+#REF!+'Dec-25'!K409</f>
        <v>#REF!</v>
      </c>
      <c r="L409" s="35" t="e">
        <f t="shared" ref="L409:L416" si="106">SUM(G409:K409)</f>
        <v>#REF!</v>
      </c>
      <c r="M409" s="35" t="e">
        <f t="shared" si="105"/>
        <v>#REF!</v>
      </c>
      <c r="N409" s="32"/>
    </row>
    <row r="410" spans="1:24" x14ac:dyDescent="0.25">
      <c r="A410" s="14"/>
      <c r="B410" s="27"/>
      <c r="C410" s="28"/>
      <c r="D410" s="28" t="s">
        <v>11</v>
      </c>
      <c r="E410" s="28"/>
      <c r="F410" s="28"/>
      <c r="G410" s="42" t="e">
        <f>+'Jul-24'!G410+'Aug-24'!G410+'Sep-24'!G410+'Oct-24'!G410+'Nov-24'!G410+'Dec-24'!G410+'Jan-25'!G410+'Feb-25'!G410+#REF!+#REF!+#REF!+'Dec-25'!G410</f>
        <v>#REF!</v>
      </c>
      <c r="H410" s="42" t="e">
        <f>+'Jul-24'!H410+'Aug-24'!H410+'Sep-24'!H410+'Oct-24'!H410+'Nov-24'!H410+'Dec-24'!H410+'Jan-25'!H410+'Feb-25'!H410+#REF!+#REF!+#REF!+'Dec-25'!H410</f>
        <v>#REF!</v>
      </c>
      <c r="I410" s="42" t="e">
        <f>+'Jul-24'!I410+'Aug-24'!I410+'Sep-24'!I410+'Oct-24'!I410+'Nov-24'!I410+'Dec-24'!I410+'Jan-25'!I410+'Feb-25'!I410+#REF!+#REF!+#REF!+'Dec-25'!I410</f>
        <v>#REF!</v>
      </c>
      <c r="J410" s="42" t="e">
        <f>+'Jul-24'!J410+'Aug-24'!J410+'Sep-24'!J410+'Oct-24'!J410+'Nov-24'!J410+'Dec-24'!J410+'Jan-25'!J410+'Feb-25'!J410+#REF!+#REF!+#REF!+'Dec-25'!J410</f>
        <v>#REF!</v>
      </c>
      <c r="K410" s="42" t="e">
        <f>+'Jul-24'!K410+'Aug-24'!K410+'Sep-24'!K410+'Oct-24'!K410+'Nov-24'!K410+'Dec-24'!K410+'Jan-25'!K410+'Feb-25'!K410+#REF!+#REF!+#REF!+'Dec-25'!K410</f>
        <v>#REF!</v>
      </c>
      <c r="L410" s="35" t="e">
        <f t="shared" si="106"/>
        <v>#REF!</v>
      </c>
      <c r="M410" s="35" t="e">
        <f t="shared" si="105"/>
        <v>#REF!</v>
      </c>
      <c r="N410" s="32"/>
    </row>
    <row r="411" spans="1:24" x14ac:dyDescent="0.25">
      <c r="A411" s="14"/>
      <c r="B411" s="27"/>
      <c r="C411" s="28"/>
      <c r="D411" s="28" t="s">
        <v>12</v>
      </c>
      <c r="E411" s="28"/>
      <c r="F411" s="28"/>
      <c r="G411" s="43" t="e">
        <f>+'Jul-24'!G411+'Aug-24'!G411+'Sep-24'!G411+'Oct-24'!G411+'Nov-24'!G411+'Dec-24'!G411+'Jan-25'!G411+'Feb-25'!G411+#REF!+#REF!+#REF!+'Dec-25'!G411</f>
        <v>#REF!</v>
      </c>
      <c r="H411" s="43" t="e">
        <f>+'Jul-24'!H411+'Aug-24'!H411+'Sep-24'!H411+'Oct-24'!H411+'Nov-24'!H411+'Dec-24'!H411+'Jan-25'!H411+'Feb-25'!H411+#REF!+#REF!+#REF!+'Dec-25'!H411</f>
        <v>#REF!</v>
      </c>
      <c r="I411" s="43" t="e">
        <f>+'Jul-24'!I411+'Aug-24'!I411+'Sep-24'!I411+'Oct-24'!I411+'Nov-24'!I411+'Dec-24'!I411+'Jan-25'!I411+'Feb-25'!I411+#REF!+#REF!+#REF!+'Dec-25'!I411</f>
        <v>#REF!</v>
      </c>
      <c r="J411" s="43" t="e">
        <f>+'Jul-24'!J411+'Aug-24'!J411+'Sep-24'!J411+'Oct-24'!J411+'Nov-24'!J411+'Dec-24'!J411+'Jan-25'!J411+'Feb-25'!J411+#REF!+#REF!+#REF!+'Dec-25'!J411</f>
        <v>#REF!</v>
      </c>
      <c r="K411" s="43" t="e">
        <f>+'Jul-24'!K411+'Aug-24'!K411+'Sep-24'!K411+'Oct-24'!K411+'Nov-24'!K411+'Dec-24'!K411+'Jan-25'!K411+'Feb-25'!K411+#REF!+#REF!+#REF!+'Dec-25'!K411</f>
        <v>#REF!</v>
      </c>
      <c r="L411" s="31" t="e">
        <f t="shared" si="106"/>
        <v>#REF!</v>
      </c>
      <c r="M411" s="31" t="e">
        <f t="shared" si="105"/>
        <v>#REF!</v>
      </c>
      <c r="N411" s="32"/>
    </row>
    <row r="412" spans="1:24" x14ac:dyDescent="0.25">
      <c r="A412" s="14"/>
      <c r="B412" s="27"/>
      <c r="C412" s="28" t="s">
        <v>13</v>
      </c>
      <c r="D412" s="28"/>
      <c r="E412" s="28"/>
      <c r="F412" s="28"/>
      <c r="G412" s="42" t="e">
        <f>+'Jul-24'!G412+'Aug-24'!G412+'Sep-24'!G412+'Oct-24'!G412+'Nov-24'!G412+'Dec-24'!G412+'Jan-25'!G412+'Feb-25'!G412+#REF!+#REF!+#REF!+'Dec-25'!G412</f>
        <v>#REF!</v>
      </c>
      <c r="H412" s="42" t="e">
        <f>+'Jul-24'!H412+'Aug-24'!H412+'Sep-24'!H412+'Oct-24'!H412+'Nov-24'!H412+'Dec-24'!H412+'Jan-25'!H412+'Feb-25'!H412+#REF!+#REF!+#REF!+'Dec-25'!H412</f>
        <v>#REF!</v>
      </c>
      <c r="I412" s="42" t="e">
        <f>+'Jul-24'!I412+'Aug-24'!I412+'Sep-24'!I412+'Oct-24'!I412+'Nov-24'!I412+'Dec-24'!I412+'Jan-25'!I412+'Feb-25'!I412+#REF!+#REF!+#REF!+'Dec-25'!I412</f>
        <v>#REF!</v>
      </c>
      <c r="J412" s="42" t="e">
        <f>+'Jul-24'!J412+'Aug-24'!J412+'Sep-24'!J412+'Oct-24'!J412+'Nov-24'!J412+'Dec-24'!J412+'Jan-25'!J412+'Feb-25'!J412+#REF!+#REF!+#REF!+'Dec-25'!J412</f>
        <v>#REF!</v>
      </c>
      <c r="K412" s="42" t="e">
        <f>+'Jul-24'!K412+'Aug-24'!K412+'Sep-24'!K412+'Oct-24'!K412+'Nov-24'!K412+'Dec-24'!K412+'Jan-25'!K412+'Feb-25'!K412+#REF!+#REF!+#REF!+'Dec-25'!K412</f>
        <v>#REF!</v>
      </c>
      <c r="L412" s="35" t="e">
        <f t="shared" si="106"/>
        <v>#REF!</v>
      </c>
      <c r="M412" s="35" t="e">
        <f t="shared" si="105"/>
        <v>#REF!</v>
      </c>
      <c r="N412" s="32"/>
    </row>
    <row r="413" spans="1:24" x14ac:dyDescent="0.25">
      <c r="A413" s="14"/>
      <c r="B413" s="27"/>
      <c r="C413" s="28" t="s">
        <v>14</v>
      </c>
      <c r="D413" s="28"/>
      <c r="E413" s="28"/>
      <c r="F413" s="28"/>
      <c r="G413" s="42" t="e">
        <f>+'Jul-24'!G413+'Aug-24'!G413+'Sep-24'!G413+'Oct-24'!G413+'Nov-24'!G413+'Dec-24'!G413+'Jan-25'!G413+'Feb-25'!G413+#REF!+#REF!+#REF!+'Dec-25'!G413</f>
        <v>#REF!</v>
      </c>
      <c r="H413" s="42" t="e">
        <f>+'Jul-24'!H413+'Aug-24'!H413+'Sep-24'!H413+'Oct-24'!H413+'Nov-24'!H413+'Dec-24'!H413+'Jan-25'!H413+'Feb-25'!H413+#REF!+#REF!+#REF!+'Dec-25'!H413</f>
        <v>#REF!</v>
      </c>
      <c r="I413" s="42" t="e">
        <f>+'Jul-24'!I413+'Aug-24'!I413+'Sep-24'!I413+'Oct-24'!I413+'Nov-24'!I413+'Dec-24'!I413+'Jan-25'!I413+'Feb-25'!I413+#REF!+#REF!+#REF!+'Dec-25'!I413</f>
        <v>#REF!</v>
      </c>
      <c r="J413" s="42" t="e">
        <f>+'Jul-24'!J413+'Aug-24'!J413+'Sep-24'!J413+'Oct-24'!J413+'Nov-24'!J413+'Dec-24'!J413+'Jan-25'!J413+'Feb-25'!J413+#REF!+#REF!+#REF!+'Dec-25'!J413</f>
        <v>#REF!</v>
      </c>
      <c r="K413" s="42" t="e">
        <f>+'Jul-24'!K413+'Aug-24'!K413+'Sep-24'!K413+'Oct-24'!K413+'Nov-24'!K413+'Dec-24'!K413+'Jan-25'!K413+'Feb-25'!K413+#REF!+#REF!+#REF!+'Dec-25'!K413</f>
        <v>#REF!</v>
      </c>
      <c r="L413" s="35" t="e">
        <f t="shared" si="106"/>
        <v>#REF!</v>
      </c>
      <c r="M413" s="35" t="e">
        <f t="shared" si="105"/>
        <v>#REF!</v>
      </c>
      <c r="N413" s="32"/>
    </row>
    <row r="414" spans="1:24" x14ac:dyDescent="0.25">
      <c r="A414" s="14"/>
      <c r="B414" s="27"/>
      <c r="C414" s="28" t="s">
        <v>4</v>
      </c>
      <c r="D414" s="28"/>
      <c r="E414" s="28"/>
      <c r="F414" s="28"/>
      <c r="G414" s="42" t="e">
        <f>+'Jul-24'!G414+'Aug-24'!G414+'Sep-24'!G414+'Oct-24'!G414+'Nov-24'!G414+'Dec-24'!G414+'Jan-25'!G414+'Feb-25'!G414+#REF!+#REF!+#REF!+'Dec-25'!G414</f>
        <v>#REF!</v>
      </c>
      <c r="H414" s="42" t="e">
        <f>+'Jul-24'!H414+'Aug-24'!H414+'Sep-24'!H414+'Oct-24'!H414+'Nov-24'!H414+'Dec-24'!H414+'Jan-25'!H414+'Feb-25'!H414+#REF!+#REF!+#REF!+'Dec-25'!H414</f>
        <v>#REF!</v>
      </c>
      <c r="I414" s="42" t="e">
        <f>+'Jul-24'!I414+'Aug-24'!I414+'Sep-24'!I414+'Oct-24'!I414+'Nov-24'!I414+'Dec-24'!I414+'Jan-25'!I414+'Feb-25'!I414+#REF!+#REF!+#REF!+'Dec-25'!I414</f>
        <v>#REF!</v>
      </c>
      <c r="J414" s="42" t="e">
        <f>+'Jul-24'!J414+'Aug-24'!J414+'Sep-24'!J414+'Oct-24'!J414+'Nov-24'!J414+'Dec-24'!J414+'Jan-25'!J414+'Feb-25'!J414+#REF!+#REF!+#REF!+'Dec-25'!J414</f>
        <v>#REF!</v>
      </c>
      <c r="K414" s="42" t="e">
        <f>+'Jul-24'!K414+'Aug-24'!K414+'Sep-24'!K414+'Oct-24'!K414+'Nov-24'!K414+'Dec-24'!K414+'Jan-25'!K414+'Feb-25'!K414+#REF!+#REF!+#REF!+'Dec-25'!K414</f>
        <v>#REF!</v>
      </c>
      <c r="L414" s="35" t="e">
        <f t="shared" si="106"/>
        <v>#REF!</v>
      </c>
      <c r="M414" s="35" t="e">
        <f t="shared" si="105"/>
        <v>#REF!</v>
      </c>
      <c r="N414" s="32"/>
    </row>
    <row r="415" spans="1:24" x14ac:dyDescent="0.25">
      <c r="A415" s="14"/>
      <c r="B415" s="27"/>
      <c r="C415" s="28" t="s">
        <v>15</v>
      </c>
      <c r="D415" s="28"/>
      <c r="E415" s="28"/>
      <c r="F415" s="28"/>
      <c r="G415" s="42" t="e">
        <f>+'Jul-24'!G415+'Aug-24'!G415+'Sep-24'!G415+'Oct-24'!G415+'Nov-24'!G415+'Dec-24'!G415+'Jan-25'!G415+'Feb-25'!G415+#REF!+#REF!+#REF!+'Dec-25'!G415</f>
        <v>#REF!</v>
      </c>
      <c r="H415" s="42" t="e">
        <f>+'Jul-24'!H415+'Aug-24'!H415+'Sep-24'!H415+'Oct-24'!H415+'Nov-24'!H415+'Dec-24'!H415+'Jan-25'!H415+'Feb-25'!H415+#REF!+#REF!+#REF!+'Dec-25'!H415</f>
        <v>#REF!</v>
      </c>
      <c r="I415" s="42" t="e">
        <f>+'Jul-24'!I415+'Aug-24'!I415+'Sep-24'!I415+'Oct-24'!I415+'Nov-24'!I415+'Dec-24'!I415+'Jan-25'!I415+'Feb-25'!I415+#REF!+#REF!+#REF!+'Dec-25'!I415</f>
        <v>#REF!</v>
      </c>
      <c r="J415" s="42" t="e">
        <f>+'Jul-24'!J415+'Aug-24'!J415+'Sep-24'!J415+'Oct-24'!J415+'Nov-24'!J415+'Dec-24'!J415+'Jan-25'!J415+'Feb-25'!J415+#REF!+#REF!+#REF!+'Dec-25'!J415</f>
        <v>#REF!</v>
      </c>
      <c r="K415" s="42" t="e">
        <f>+'Jul-24'!K415+'Aug-24'!K415+'Sep-24'!K415+'Oct-24'!K415+'Nov-24'!K415+'Dec-24'!K415+'Jan-25'!K415+'Feb-25'!K415+#REF!+#REF!+#REF!+'Dec-25'!K415</f>
        <v>#REF!</v>
      </c>
      <c r="L415" s="35" t="e">
        <f t="shared" si="106"/>
        <v>#REF!</v>
      </c>
      <c r="M415" s="35" t="e">
        <f t="shared" si="105"/>
        <v>#REF!</v>
      </c>
      <c r="N415" s="32"/>
    </row>
    <row r="416" spans="1:24" x14ac:dyDescent="0.25">
      <c r="A416" s="14"/>
      <c r="B416" s="27"/>
      <c r="C416" s="28" t="s">
        <v>16</v>
      </c>
      <c r="D416" s="28"/>
      <c r="E416" s="28"/>
      <c r="F416" s="28"/>
      <c r="G416" s="42" t="e">
        <f>+'Jul-24'!G416+'Aug-24'!G416+'Sep-24'!G416+'Oct-24'!G416+'Nov-24'!G416+'Dec-24'!G416+'Jan-25'!G416+'Feb-25'!G416+#REF!+#REF!+#REF!+'Dec-25'!G416</f>
        <v>#REF!</v>
      </c>
      <c r="H416" s="42" t="e">
        <f>+'Jul-24'!H416+'Aug-24'!H416+'Sep-24'!H416+'Oct-24'!H416+'Nov-24'!H416+'Dec-24'!H416+'Jan-25'!H416+'Feb-25'!H416+#REF!+#REF!+#REF!+'Dec-25'!H416</f>
        <v>#REF!</v>
      </c>
      <c r="I416" s="42" t="e">
        <f>+'Jul-24'!I416+'Aug-24'!I416+'Sep-24'!I416+'Oct-24'!I416+'Nov-24'!I416+'Dec-24'!I416+'Jan-25'!I416+'Feb-25'!I416+#REF!+#REF!+#REF!+'Dec-25'!I416</f>
        <v>#REF!</v>
      </c>
      <c r="J416" s="42" t="e">
        <f>+'Jul-24'!J416+'Aug-24'!J416+'Sep-24'!J416+'Oct-24'!J416+'Nov-24'!J416+'Dec-24'!J416+'Jan-25'!J416+'Feb-25'!J416+#REF!+#REF!+#REF!+'Dec-25'!J416</f>
        <v>#REF!</v>
      </c>
      <c r="K416" s="42" t="e">
        <f>+'Jul-24'!K416+'Aug-24'!K416+'Sep-24'!K416+'Oct-24'!K416+'Nov-24'!K416+'Dec-24'!K416+'Jan-25'!K416+'Feb-25'!K416+#REF!+#REF!+#REF!+'Dec-25'!K416</f>
        <v>#REF!</v>
      </c>
      <c r="L416" s="35" t="e">
        <f t="shared" si="106"/>
        <v>#REF!</v>
      </c>
      <c r="M416" s="35" t="e">
        <f t="shared" si="105"/>
        <v>#REF!</v>
      </c>
      <c r="N416" s="32"/>
    </row>
    <row r="417" spans="1:33" ht="15.75" thickBot="1" x14ac:dyDescent="0.3">
      <c r="A417" s="14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14"/>
      <c r="G418" s="33"/>
      <c r="H418" s="33"/>
      <c r="I418" s="33"/>
      <c r="J418" s="33"/>
      <c r="K418" s="33"/>
      <c r="L418" s="33"/>
      <c r="M418" s="33"/>
      <c r="N418" s="33"/>
    </row>
    <row r="419" spans="1:33" x14ac:dyDescent="0.25">
      <c r="A419" s="4">
        <f>+A403+1</f>
        <v>26</v>
      </c>
      <c r="B419" s="5"/>
      <c r="C419" s="47" t="s">
        <v>42</v>
      </c>
      <c r="D419" s="48"/>
      <c r="E419" s="8"/>
      <c r="F419" s="8"/>
      <c r="G419" s="10">
        <f>+$G$3</f>
        <v>2024</v>
      </c>
      <c r="H419" s="10">
        <f>+G419</f>
        <v>2024</v>
      </c>
      <c r="I419" s="10">
        <f t="shared" ref="I419:M420" si="107">+H419</f>
        <v>2024</v>
      </c>
      <c r="J419" s="10">
        <f t="shared" si="107"/>
        <v>2024</v>
      </c>
      <c r="K419" s="10">
        <f t="shared" si="107"/>
        <v>2024</v>
      </c>
      <c r="L419" s="10">
        <f t="shared" si="107"/>
        <v>2024</v>
      </c>
      <c r="M419" s="10">
        <f t="shared" si="107"/>
        <v>2024</v>
      </c>
      <c r="N419" s="11"/>
      <c r="P419" s="44"/>
      <c r="S419" s="12" t="str">
        <f>+C419</f>
        <v>Mhlabubovu</v>
      </c>
      <c r="T419" s="13" t="e">
        <f>+L423</f>
        <v>#REF!</v>
      </c>
      <c r="U419" s="13" t="e">
        <f>+L424+L425</f>
        <v>#REF!</v>
      </c>
      <c r="V419" s="13" t="e">
        <f>+L426+L427</f>
        <v>#REF!</v>
      </c>
      <c r="W419" s="13" t="e">
        <f>+L430</f>
        <v>#REF!</v>
      </c>
      <c r="X419" s="13" t="e">
        <f>+L428</f>
        <v>#REF!</v>
      </c>
    </row>
    <row r="420" spans="1:33" x14ac:dyDescent="0.25">
      <c r="A420" s="14"/>
      <c r="B420" s="15"/>
      <c r="C420" s="41" t="str">
        <f>+$C404</f>
        <v>Year to Date 2024/2025</v>
      </c>
      <c r="D420" s="18"/>
      <c r="E420" s="18"/>
      <c r="F420" s="18"/>
      <c r="G420" s="20" t="str">
        <f>+$G$4</f>
        <v>Week</v>
      </c>
      <c r="H420" s="20" t="str">
        <f>+G420</f>
        <v>Week</v>
      </c>
      <c r="I420" s="20" t="str">
        <f t="shared" si="107"/>
        <v>Week</v>
      </c>
      <c r="J420" s="20" t="str">
        <f t="shared" si="107"/>
        <v>Week</v>
      </c>
      <c r="K420" s="20" t="str">
        <f t="shared" si="107"/>
        <v>Week</v>
      </c>
      <c r="L420" s="20" t="str">
        <f t="shared" si="107"/>
        <v>Week</v>
      </c>
      <c r="M420" s="20" t="str">
        <f t="shared" si="107"/>
        <v>Week</v>
      </c>
      <c r="N420" s="21"/>
    </row>
    <row r="421" spans="1:33" ht="15.75" thickBot="1" x14ac:dyDescent="0.3">
      <c r="A421" s="14"/>
      <c r="B421" s="22"/>
      <c r="C421" s="23"/>
      <c r="D421" s="23"/>
      <c r="E421" s="23"/>
      <c r="F421" s="23"/>
      <c r="G421" s="25">
        <f>+$G$5</f>
        <v>1</v>
      </c>
      <c r="H421" s="25">
        <f>+$H$5</f>
        <v>2</v>
      </c>
      <c r="I421" s="25">
        <f>+$I$5</f>
        <v>3</v>
      </c>
      <c r="J421" s="25">
        <f>+$J$5</f>
        <v>4</v>
      </c>
      <c r="K421" s="25">
        <f>+$K$5</f>
        <v>5</v>
      </c>
      <c r="L421" s="25" t="s">
        <v>6</v>
      </c>
      <c r="M421" s="25" t="s">
        <v>7</v>
      </c>
      <c r="N421" s="26"/>
    </row>
    <row r="422" spans="1:33" x14ac:dyDescent="0.25">
      <c r="A422" s="14"/>
      <c r="B422" s="27"/>
      <c r="C422" s="28"/>
      <c r="D422" s="28"/>
      <c r="E422" s="28"/>
      <c r="F422" s="28"/>
      <c r="G422" s="29"/>
      <c r="H422" s="29"/>
      <c r="I422" s="29"/>
      <c r="J422" s="29"/>
      <c r="K422" s="28"/>
      <c r="L422" s="28"/>
      <c r="M422" s="28"/>
      <c r="N422" s="30"/>
    </row>
    <row r="423" spans="1:33" x14ac:dyDescent="0.25">
      <c r="A423" s="14"/>
      <c r="B423" s="27"/>
      <c r="C423" s="28" t="s">
        <v>8</v>
      </c>
      <c r="D423" s="28"/>
      <c r="E423" s="28"/>
      <c r="F423" s="28"/>
      <c r="G423" s="31" t="e">
        <f>SUM(G424:G427)</f>
        <v>#REF!</v>
      </c>
      <c r="H423" s="31" t="e">
        <f t="shared" ref="H423:L423" si="108">SUM(H424:H427)</f>
        <v>#REF!</v>
      </c>
      <c r="I423" s="31" t="e">
        <f t="shared" si="108"/>
        <v>#REF!</v>
      </c>
      <c r="J423" s="31" t="e">
        <f t="shared" si="108"/>
        <v>#REF!</v>
      </c>
      <c r="K423" s="31" t="e">
        <f t="shared" si="108"/>
        <v>#REF!</v>
      </c>
      <c r="L423" s="31" t="e">
        <f t="shared" si="108"/>
        <v>#REF!</v>
      </c>
      <c r="M423" s="31" t="e">
        <f>ROUND((L423/$E$1),0)</f>
        <v>#REF!</v>
      </c>
      <c r="N423" s="32"/>
      <c r="AA423" s="46">
        <v>47</v>
      </c>
      <c r="AB423" s="46">
        <v>64</v>
      </c>
      <c r="AC423" s="46">
        <v>47</v>
      </c>
      <c r="AD423" s="46">
        <v>53</v>
      </c>
      <c r="AE423" s="46">
        <v>48</v>
      </c>
      <c r="AF423" s="46">
        <v>259</v>
      </c>
      <c r="AG423" s="46">
        <v>52</v>
      </c>
    </row>
    <row r="424" spans="1:33" x14ac:dyDescent="0.25">
      <c r="A424" s="14"/>
      <c r="B424" s="27"/>
      <c r="C424" s="28"/>
      <c r="D424" s="28" t="s">
        <v>9</v>
      </c>
      <c r="E424" s="28"/>
      <c r="F424" s="28"/>
      <c r="G424" s="42" t="e">
        <f>+'Jul-24'!G424+'Aug-24'!G424+'Sep-24'!G424+'Oct-24'!G424+'Nov-24'!G424+'Dec-24'!G424+'Jan-25'!G424+'Feb-25'!G424+#REF!+#REF!+#REF!+'Dec-25'!G424</f>
        <v>#REF!</v>
      </c>
      <c r="H424" s="42" t="e">
        <f>+'Jul-24'!H424+'Aug-24'!H424+'Sep-24'!H424+'Oct-24'!H424+'Nov-24'!H424+'Dec-24'!H424+'Jan-25'!H424+'Feb-25'!H424+#REF!+#REF!+#REF!+'Dec-25'!H424</f>
        <v>#REF!</v>
      </c>
      <c r="I424" s="42" t="e">
        <f>+'Jul-24'!I424+'Aug-24'!I424+'Sep-24'!I424+'Oct-24'!I424+'Nov-24'!I424+'Dec-24'!I424+'Jan-25'!I424+'Feb-25'!I424+#REF!+#REF!+#REF!+'Dec-25'!I424</f>
        <v>#REF!</v>
      </c>
      <c r="J424" s="42" t="e">
        <f>+'Jul-24'!J424+'Aug-24'!J424+'Sep-24'!J424+'Oct-24'!J424+'Nov-24'!J424+'Dec-24'!J424+'Jan-25'!J424+'Feb-25'!J424+#REF!+#REF!+#REF!+'Dec-25'!J424</f>
        <v>#REF!</v>
      </c>
      <c r="K424" s="42" t="e">
        <f>+'Jul-24'!K424+'Aug-24'!K424+'Sep-24'!K424+'Oct-24'!K424+'Nov-24'!K424+'Dec-24'!K424+'Jan-25'!K424+'Feb-25'!K424+#REF!+#REF!+#REF!+'Dec-25'!K424</f>
        <v>#REF!</v>
      </c>
      <c r="L424" s="35" t="e">
        <f>SUM(G424:K424)</f>
        <v>#REF!</v>
      </c>
      <c r="M424" s="35" t="e">
        <f t="shared" ref="M424:M432" si="109">ROUND((L424/$E$1),0)</f>
        <v>#REF!</v>
      </c>
      <c r="N424" s="32"/>
      <c r="AA424" s="46">
        <v>0</v>
      </c>
      <c r="AB424" s="46">
        <v>0</v>
      </c>
      <c r="AC424" s="46">
        <v>2</v>
      </c>
      <c r="AD424" s="46">
        <v>2</v>
      </c>
      <c r="AE424" s="46">
        <v>2</v>
      </c>
      <c r="AF424" s="46">
        <v>6</v>
      </c>
      <c r="AG424" s="46">
        <v>1</v>
      </c>
    </row>
    <row r="425" spans="1:33" x14ac:dyDescent="0.25">
      <c r="A425" s="14"/>
      <c r="B425" s="27"/>
      <c r="C425" s="28"/>
      <c r="D425" s="28" t="s">
        <v>10</v>
      </c>
      <c r="E425" s="28"/>
      <c r="F425" s="28"/>
      <c r="G425" s="42" t="e">
        <f>+'Jul-24'!G425+'Aug-24'!G425+'Sep-24'!G425+'Oct-24'!G425+'Nov-24'!G425+'Dec-24'!G425+'Jan-25'!G425+'Feb-25'!G425+#REF!+#REF!+#REF!+'Dec-25'!G425</f>
        <v>#REF!</v>
      </c>
      <c r="H425" s="42" t="e">
        <f>+'Jul-24'!H425+'Aug-24'!H425+'Sep-24'!H425+'Oct-24'!H425+'Nov-24'!H425+'Dec-24'!H425+'Jan-25'!H425+'Feb-25'!H425+#REF!+#REF!+#REF!+'Dec-25'!H425</f>
        <v>#REF!</v>
      </c>
      <c r="I425" s="42" t="e">
        <f>+'Jul-24'!I425+'Aug-24'!I425+'Sep-24'!I425+'Oct-24'!I425+'Nov-24'!I425+'Dec-24'!I425+'Jan-25'!I425+'Feb-25'!I425+#REF!+#REF!+#REF!+'Dec-25'!I425</f>
        <v>#REF!</v>
      </c>
      <c r="J425" s="42" t="e">
        <f>+'Jul-24'!J425+'Aug-24'!J425+'Sep-24'!J425+'Oct-24'!J425+'Nov-24'!J425+'Dec-24'!J425+'Jan-25'!J425+'Feb-25'!J425+#REF!+#REF!+#REF!+'Dec-25'!J425</f>
        <v>#REF!</v>
      </c>
      <c r="K425" s="42" t="e">
        <f>+'Jul-24'!K425+'Aug-24'!K425+'Sep-24'!K425+'Oct-24'!K425+'Nov-24'!K425+'Dec-24'!K425+'Jan-25'!K425+'Feb-25'!K425+#REF!+#REF!+#REF!+'Dec-25'!K425</f>
        <v>#REF!</v>
      </c>
      <c r="L425" s="35" t="e">
        <f t="shared" ref="L425:L432" si="110">SUM(G425:K425)</f>
        <v>#REF!</v>
      </c>
      <c r="M425" s="35" t="e">
        <f t="shared" si="109"/>
        <v>#REF!</v>
      </c>
      <c r="N425" s="32"/>
      <c r="AA425" s="46">
        <v>9</v>
      </c>
      <c r="AB425" s="46">
        <v>12</v>
      </c>
      <c r="AC425" s="46">
        <v>11</v>
      </c>
      <c r="AD425" s="46">
        <v>10</v>
      </c>
      <c r="AE425" s="46">
        <v>6</v>
      </c>
      <c r="AF425" s="46">
        <v>48</v>
      </c>
      <c r="AG425" s="46">
        <v>10</v>
      </c>
    </row>
    <row r="426" spans="1:33" x14ac:dyDescent="0.25">
      <c r="A426" s="14"/>
      <c r="B426" s="27"/>
      <c r="C426" s="28"/>
      <c r="D426" s="28" t="s">
        <v>11</v>
      </c>
      <c r="E426" s="28"/>
      <c r="F426" s="28"/>
      <c r="G426" s="42" t="e">
        <f>+'Jul-24'!G426+'Aug-24'!G426+'Sep-24'!G426+'Oct-24'!G426+'Nov-24'!G426+'Dec-24'!G426+'Jan-25'!G426+'Feb-25'!G426+#REF!+#REF!+#REF!+'Dec-25'!G426</f>
        <v>#REF!</v>
      </c>
      <c r="H426" s="42" t="e">
        <f>+'Jul-24'!H426+'Aug-24'!H426+'Sep-24'!H426+'Oct-24'!H426+'Nov-24'!H426+'Dec-24'!H426+'Jan-25'!H426+'Feb-25'!H426+#REF!+#REF!+#REF!+'Dec-25'!H426</f>
        <v>#REF!</v>
      </c>
      <c r="I426" s="42" t="e">
        <f>+'Jul-24'!I426+'Aug-24'!I426+'Sep-24'!I426+'Oct-24'!I426+'Nov-24'!I426+'Dec-24'!I426+'Jan-25'!I426+'Feb-25'!I426+#REF!+#REF!+#REF!+'Dec-25'!I426</f>
        <v>#REF!</v>
      </c>
      <c r="J426" s="42" t="e">
        <f>+'Jul-24'!J426+'Aug-24'!J426+'Sep-24'!J426+'Oct-24'!J426+'Nov-24'!J426+'Dec-24'!J426+'Jan-25'!J426+'Feb-25'!J426+#REF!+#REF!+#REF!+'Dec-25'!J426</f>
        <v>#REF!</v>
      </c>
      <c r="K426" s="42" t="e">
        <f>+'Jul-24'!K426+'Aug-24'!K426+'Sep-24'!K426+'Oct-24'!K426+'Nov-24'!K426+'Dec-24'!K426+'Jan-25'!K426+'Feb-25'!K426+#REF!+#REF!+#REF!+'Dec-25'!K426</f>
        <v>#REF!</v>
      </c>
      <c r="L426" s="35" t="e">
        <f t="shared" si="110"/>
        <v>#REF!</v>
      </c>
      <c r="M426" s="35" t="e">
        <f t="shared" si="109"/>
        <v>#REF!</v>
      </c>
      <c r="N426" s="32"/>
      <c r="AA426" s="46">
        <v>18</v>
      </c>
      <c r="AB426" s="46">
        <v>18</v>
      </c>
      <c r="AC426" s="46">
        <v>13</v>
      </c>
      <c r="AD426" s="46">
        <v>15</v>
      </c>
      <c r="AE426" s="46">
        <v>16</v>
      </c>
      <c r="AF426" s="46">
        <v>80</v>
      </c>
      <c r="AG426" s="46">
        <v>16</v>
      </c>
    </row>
    <row r="427" spans="1:33" x14ac:dyDescent="0.25">
      <c r="A427" s="14"/>
      <c r="B427" s="27"/>
      <c r="C427" s="28"/>
      <c r="D427" s="28" t="s">
        <v>12</v>
      </c>
      <c r="E427" s="28"/>
      <c r="F427" s="28"/>
      <c r="G427" s="43" t="e">
        <f>+'Jul-24'!G427+'Aug-24'!G427+'Sep-24'!G427+'Oct-24'!G427+'Nov-24'!G427+'Dec-24'!G427+'Jan-25'!G427+'Feb-25'!G427+#REF!+#REF!+#REF!+'Dec-25'!G427</f>
        <v>#REF!</v>
      </c>
      <c r="H427" s="43" t="e">
        <f>+'Jul-24'!H427+'Aug-24'!H427+'Sep-24'!H427+'Oct-24'!H427+'Nov-24'!H427+'Dec-24'!H427+'Jan-25'!H427+'Feb-25'!H427+#REF!+#REF!+#REF!+'Dec-25'!H427</f>
        <v>#REF!</v>
      </c>
      <c r="I427" s="43" t="e">
        <f>+'Jul-24'!I427+'Aug-24'!I427+'Sep-24'!I427+'Oct-24'!I427+'Nov-24'!I427+'Dec-24'!I427+'Jan-25'!I427+'Feb-25'!I427+#REF!+#REF!+#REF!+'Dec-25'!I427</f>
        <v>#REF!</v>
      </c>
      <c r="J427" s="43" t="e">
        <f>+'Jul-24'!J427+'Aug-24'!J427+'Sep-24'!J427+'Oct-24'!J427+'Nov-24'!J427+'Dec-24'!J427+'Jan-25'!J427+'Feb-25'!J427+#REF!+#REF!+#REF!+'Dec-25'!J427</f>
        <v>#REF!</v>
      </c>
      <c r="K427" s="43" t="e">
        <f>+'Jul-24'!K427+'Aug-24'!K427+'Sep-24'!K427+'Oct-24'!K427+'Nov-24'!K427+'Dec-24'!K427+'Jan-25'!K427+'Feb-25'!K427+#REF!+#REF!+#REF!+'Dec-25'!K427</f>
        <v>#REF!</v>
      </c>
      <c r="L427" s="31" t="e">
        <f t="shared" si="110"/>
        <v>#REF!</v>
      </c>
      <c r="M427" s="31" t="e">
        <f t="shared" si="109"/>
        <v>#REF!</v>
      </c>
      <c r="N427" s="32"/>
      <c r="AA427" s="46">
        <v>20</v>
      </c>
      <c r="AB427" s="46">
        <v>34</v>
      </c>
      <c r="AC427" s="46">
        <v>21</v>
      </c>
      <c r="AD427" s="46">
        <v>26</v>
      </c>
      <c r="AE427" s="46">
        <v>24</v>
      </c>
      <c r="AF427" s="46">
        <v>125</v>
      </c>
      <c r="AG427" s="46">
        <v>25</v>
      </c>
    </row>
    <row r="428" spans="1:33" x14ac:dyDescent="0.25">
      <c r="A428" s="14"/>
      <c r="B428" s="27"/>
      <c r="C428" s="28" t="s">
        <v>13</v>
      </c>
      <c r="D428" s="28"/>
      <c r="E428" s="28"/>
      <c r="F428" s="28"/>
      <c r="G428" s="42" t="e">
        <f>+'Jul-24'!G428+'Aug-24'!G428+'Sep-24'!G428+'Oct-24'!G428+'Nov-24'!G428+'Dec-24'!G428+'Jan-25'!G428+'Feb-25'!G428+#REF!+#REF!+#REF!+'Dec-25'!G428</f>
        <v>#REF!</v>
      </c>
      <c r="H428" s="42" t="e">
        <f>+'Jul-24'!H428+'Aug-24'!H428+'Sep-24'!H428+'Oct-24'!H428+'Nov-24'!H428+'Dec-24'!H428+'Jan-25'!H428+'Feb-25'!H428+#REF!+#REF!+#REF!+'Dec-25'!H428</f>
        <v>#REF!</v>
      </c>
      <c r="I428" s="42" t="e">
        <f>+'Jul-24'!I428+'Aug-24'!I428+'Sep-24'!I428+'Oct-24'!I428+'Nov-24'!I428+'Dec-24'!I428+'Jan-25'!I428+'Feb-25'!I428+#REF!+#REF!+#REF!+'Dec-25'!I428</f>
        <v>#REF!</v>
      </c>
      <c r="J428" s="42" t="e">
        <f>+'Jul-24'!J428+'Aug-24'!J428+'Sep-24'!J428+'Oct-24'!J428+'Nov-24'!J428+'Dec-24'!J428+'Jan-25'!J428+'Feb-25'!J428+#REF!+#REF!+#REF!+'Dec-25'!J428</f>
        <v>#REF!</v>
      </c>
      <c r="K428" s="42" t="e">
        <f>+'Jul-24'!K428+'Aug-24'!K428+'Sep-24'!K428+'Oct-24'!K428+'Nov-24'!K428+'Dec-24'!K428+'Jan-25'!K428+'Feb-25'!K428+#REF!+#REF!+#REF!+'Dec-25'!K428</f>
        <v>#REF!</v>
      </c>
      <c r="L428" s="35" t="e">
        <f t="shared" si="110"/>
        <v>#REF!</v>
      </c>
      <c r="M428" s="35" t="e">
        <f t="shared" si="109"/>
        <v>#REF!</v>
      </c>
      <c r="N428" s="32"/>
      <c r="AA428" s="46"/>
      <c r="AB428" s="46"/>
      <c r="AC428" s="46"/>
      <c r="AD428" s="46"/>
      <c r="AE428" s="46"/>
      <c r="AF428" s="46">
        <v>0</v>
      </c>
      <c r="AG428" s="46">
        <v>0</v>
      </c>
    </row>
    <row r="429" spans="1:33" x14ac:dyDescent="0.25">
      <c r="A429" s="14"/>
      <c r="B429" s="27"/>
      <c r="C429" s="28" t="s">
        <v>14</v>
      </c>
      <c r="D429" s="28"/>
      <c r="E429" s="28"/>
      <c r="F429" s="28"/>
      <c r="G429" s="42" t="e">
        <f>+'Jul-24'!G429+'Aug-24'!G429+'Sep-24'!G429+'Oct-24'!G429+'Nov-24'!G429+'Dec-24'!G429+'Jan-25'!G429+'Feb-25'!G429+#REF!+#REF!+#REF!+'Dec-25'!G429</f>
        <v>#REF!</v>
      </c>
      <c r="H429" s="42" t="e">
        <f>+'Jul-24'!H429+'Aug-24'!H429+'Sep-24'!H429+'Oct-24'!H429+'Nov-24'!H429+'Dec-24'!H429+'Jan-25'!H429+'Feb-25'!H429+#REF!+#REF!+#REF!+'Dec-25'!H429</f>
        <v>#REF!</v>
      </c>
      <c r="I429" s="42" t="e">
        <f>+'Jul-24'!I429+'Aug-24'!I429+'Sep-24'!I429+'Oct-24'!I429+'Nov-24'!I429+'Dec-24'!I429+'Jan-25'!I429+'Feb-25'!I429+#REF!+#REF!+#REF!+'Dec-25'!I429</f>
        <v>#REF!</v>
      </c>
      <c r="J429" s="42" t="e">
        <f>+'Jul-24'!J429+'Aug-24'!J429+'Sep-24'!J429+'Oct-24'!J429+'Nov-24'!J429+'Dec-24'!J429+'Jan-25'!J429+'Feb-25'!J429+#REF!+#REF!+#REF!+'Dec-25'!J429</f>
        <v>#REF!</v>
      </c>
      <c r="K429" s="42" t="e">
        <f>+'Jul-24'!K429+'Aug-24'!K429+'Sep-24'!K429+'Oct-24'!K429+'Nov-24'!K429+'Dec-24'!K429+'Jan-25'!K429+'Feb-25'!K429+#REF!+#REF!+#REF!+'Dec-25'!K429</f>
        <v>#REF!</v>
      </c>
      <c r="L429" s="35" t="e">
        <f t="shared" si="110"/>
        <v>#REF!</v>
      </c>
      <c r="M429" s="35" t="e">
        <f t="shared" si="109"/>
        <v>#REF!</v>
      </c>
      <c r="N429" s="32"/>
      <c r="AA429" s="46"/>
      <c r="AB429" s="46"/>
      <c r="AC429" s="46"/>
      <c r="AD429" s="46"/>
      <c r="AE429" s="46"/>
      <c r="AF429" s="46">
        <v>0</v>
      </c>
      <c r="AG429" s="46">
        <v>0</v>
      </c>
    </row>
    <row r="430" spans="1:33" x14ac:dyDescent="0.25">
      <c r="A430" s="14"/>
      <c r="B430" s="27"/>
      <c r="C430" s="28" t="s">
        <v>4</v>
      </c>
      <c r="D430" s="28"/>
      <c r="E430" s="28"/>
      <c r="F430" s="28"/>
      <c r="G430" s="42" t="e">
        <f>+'Jul-24'!G430+'Aug-24'!G430+'Sep-24'!G430+'Oct-24'!G430+'Nov-24'!G430+'Dec-24'!G430+'Jan-25'!G430+'Feb-25'!G430+#REF!+#REF!+#REF!+'Dec-25'!G430</f>
        <v>#REF!</v>
      </c>
      <c r="H430" s="42" t="e">
        <f>+'Jul-24'!H430+'Aug-24'!H430+'Sep-24'!H430+'Oct-24'!H430+'Nov-24'!H430+'Dec-24'!H430+'Jan-25'!H430+'Feb-25'!H430+#REF!+#REF!+#REF!+'Dec-25'!H430</f>
        <v>#REF!</v>
      </c>
      <c r="I430" s="42" t="e">
        <f>+'Jul-24'!I430+'Aug-24'!I430+'Sep-24'!I430+'Oct-24'!I430+'Nov-24'!I430+'Dec-24'!I430+'Jan-25'!I430+'Feb-25'!I430+#REF!+#REF!+#REF!+'Dec-25'!I430</f>
        <v>#REF!</v>
      </c>
      <c r="J430" s="42" t="e">
        <f>+'Jul-24'!J430+'Aug-24'!J430+'Sep-24'!J430+'Oct-24'!J430+'Nov-24'!J430+'Dec-24'!J430+'Jan-25'!J430+'Feb-25'!J430+#REF!+#REF!+#REF!+'Dec-25'!J430</f>
        <v>#REF!</v>
      </c>
      <c r="K430" s="42" t="e">
        <f>+'Jul-24'!K430+'Aug-24'!K430+'Sep-24'!K430+'Oct-24'!K430+'Nov-24'!K430+'Dec-24'!K430+'Jan-25'!K430+'Feb-25'!K430+#REF!+#REF!+#REF!+'Dec-25'!K430</f>
        <v>#REF!</v>
      </c>
      <c r="L430" s="35" t="e">
        <f t="shared" si="110"/>
        <v>#REF!</v>
      </c>
      <c r="M430" s="35" t="e">
        <f t="shared" si="109"/>
        <v>#REF!</v>
      </c>
      <c r="N430" s="32"/>
      <c r="AA430" s="46"/>
      <c r="AB430" s="46"/>
      <c r="AC430" s="46"/>
      <c r="AD430" s="46"/>
      <c r="AE430" s="46"/>
      <c r="AF430" s="46">
        <v>0</v>
      </c>
      <c r="AG430" s="46">
        <v>0</v>
      </c>
    </row>
    <row r="431" spans="1:33" x14ac:dyDescent="0.25">
      <c r="A431" s="14"/>
      <c r="B431" s="27"/>
      <c r="C431" s="28" t="s">
        <v>15</v>
      </c>
      <c r="D431" s="28"/>
      <c r="E431" s="28"/>
      <c r="F431" s="28"/>
      <c r="G431" s="42" t="e">
        <f>+'Jul-24'!G431+'Aug-24'!G431+'Sep-24'!G431+'Oct-24'!G431+'Nov-24'!G431+'Dec-24'!G431+'Jan-25'!G431+'Feb-25'!G431+#REF!+#REF!+#REF!+'Dec-25'!G431</f>
        <v>#REF!</v>
      </c>
      <c r="H431" s="42" t="e">
        <f>+'Jul-24'!H431+'Aug-24'!H431+'Sep-24'!H431+'Oct-24'!H431+'Nov-24'!H431+'Dec-24'!H431+'Jan-25'!H431+'Feb-25'!H431+#REF!+#REF!+#REF!+'Dec-25'!H431</f>
        <v>#REF!</v>
      </c>
      <c r="I431" s="42" t="e">
        <f>+'Jul-24'!I431+'Aug-24'!I431+'Sep-24'!I431+'Oct-24'!I431+'Nov-24'!I431+'Dec-24'!I431+'Jan-25'!I431+'Feb-25'!I431+#REF!+#REF!+#REF!+'Dec-25'!I431</f>
        <v>#REF!</v>
      </c>
      <c r="J431" s="42" t="e">
        <f>+'Jul-24'!J431+'Aug-24'!J431+'Sep-24'!J431+'Oct-24'!J431+'Nov-24'!J431+'Dec-24'!J431+'Jan-25'!J431+'Feb-25'!J431+#REF!+#REF!+#REF!+'Dec-25'!J431</f>
        <v>#REF!</v>
      </c>
      <c r="K431" s="42" t="e">
        <f>+'Jul-24'!K431+'Aug-24'!K431+'Sep-24'!K431+'Oct-24'!K431+'Nov-24'!K431+'Dec-24'!K431+'Jan-25'!K431+'Feb-25'!K431+#REF!+#REF!+#REF!+'Dec-25'!K431</f>
        <v>#REF!</v>
      </c>
      <c r="L431" s="35" t="e">
        <f t="shared" si="110"/>
        <v>#REF!</v>
      </c>
      <c r="M431" s="35" t="e">
        <f t="shared" si="109"/>
        <v>#REF!</v>
      </c>
      <c r="N431" s="32"/>
      <c r="AA431" s="46"/>
      <c r="AB431" s="46"/>
      <c r="AC431" s="46"/>
      <c r="AD431" s="46"/>
      <c r="AE431" s="46"/>
      <c r="AF431" s="46">
        <v>0</v>
      </c>
      <c r="AG431" s="46">
        <v>0</v>
      </c>
    </row>
    <row r="432" spans="1:33" x14ac:dyDescent="0.25">
      <c r="A432" s="14"/>
      <c r="B432" s="27"/>
      <c r="C432" s="28" t="s">
        <v>16</v>
      </c>
      <c r="D432" s="28"/>
      <c r="E432" s="28"/>
      <c r="F432" s="28"/>
      <c r="G432" s="42" t="e">
        <f>+'Jul-24'!G432+'Aug-24'!G432+'Sep-24'!G432+'Oct-24'!G432+'Nov-24'!G432+'Dec-24'!G432+'Jan-25'!G432+'Feb-25'!G432+#REF!+#REF!+#REF!+'Dec-25'!G432</f>
        <v>#REF!</v>
      </c>
      <c r="H432" s="42" t="e">
        <f>+'Jul-24'!H432+'Aug-24'!H432+'Sep-24'!H432+'Oct-24'!H432+'Nov-24'!H432+'Dec-24'!H432+'Jan-25'!H432+'Feb-25'!H432+#REF!+#REF!+#REF!+'Dec-25'!H432</f>
        <v>#REF!</v>
      </c>
      <c r="I432" s="42" t="e">
        <f>+'Jul-24'!I432+'Aug-24'!I432+'Sep-24'!I432+'Oct-24'!I432+'Nov-24'!I432+'Dec-24'!I432+'Jan-25'!I432+'Feb-25'!I432+#REF!+#REF!+#REF!+'Dec-25'!I432</f>
        <v>#REF!</v>
      </c>
      <c r="J432" s="42" t="e">
        <f>+'Jul-24'!J432+'Aug-24'!J432+'Sep-24'!J432+'Oct-24'!J432+'Nov-24'!J432+'Dec-24'!J432+'Jan-25'!J432+'Feb-25'!J432+#REF!+#REF!+#REF!+'Dec-25'!J432</f>
        <v>#REF!</v>
      </c>
      <c r="K432" s="42" t="e">
        <f>+'Jul-24'!K432+'Aug-24'!K432+'Sep-24'!K432+'Oct-24'!K432+'Nov-24'!K432+'Dec-24'!K432+'Jan-25'!K432+'Feb-25'!K432+#REF!+#REF!+#REF!+'Dec-25'!K432</f>
        <v>#REF!</v>
      </c>
      <c r="L432" s="35" t="e">
        <f t="shared" si="110"/>
        <v>#REF!</v>
      </c>
      <c r="M432" s="35" t="e">
        <f t="shared" si="109"/>
        <v>#REF!</v>
      </c>
      <c r="N432" s="32"/>
      <c r="AA432" s="46"/>
      <c r="AB432" s="46"/>
      <c r="AC432" s="46"/>
      <c r="AD432" s="46"/>
      <c r="AE432" s="46"/>
      <c r="AF432" s="46">
        <v>0</v>
      </c>
      <c r="AG432" s="46">
        <v>0</v>
      </c>
    </row>
    <row r="433" spans="1:24" ht="15.75" thickBot="1" x14ac:dyDescent="0.3">
      <c r="A433" s="14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14"/>
      <c r="G434" s="33"/>
      <c r="H434" s="33"/>
      <c r="I434" s="33"/>
      <c r="J434" s="33"/>
      <c r="K434" s="33"/>
      <c r="L434" s="33"/>
      <c r="M434" s="33"/>
      <c r="N434" s="33"/>
    </row>
    <row r="435" spans="1:24" x14ac:dyDescent="0.25">
      <c r="A435" s="4">
        <f>+A419+1</f>
        <v>27</v>
      </c>
      <c r="B435" s="40"/>
      <c r="C435" s="6" t="s">
        <v>43</v>
      </c>
      <c r="D435" s="7"/>
      <c r="E435" s="8"/>
      <c r="F435" s="8"/>
      <c r="G435" s="10">
        <f>+$G$3</f>
        <v>2024</v>
      </c>
      <c r="H435" s="10">
        <f>+G435</f>
        <v>2024</v>
      </c>
      <c r="I435" s="10">
        <f t="shared" ref="I435:M436" si="111">+H435</f>
        <v>2024</v>
      </c>
      <c r="J435" s="10">
        <f t="shared" si="111"/>
        <v>2024</v>
      </c>
      <c r="K435" s="10">
        <f t="shared" si="111"/>
        <v>2024</v>
      </c>
      <c r="L435" s="10">
        <f t="shared" si="111"/>
        <v>2024</v>
      </c>
      <c r="M435" s="10">
        <f t="shared" si="111"/>
        <v>2024</v>
      </c>
      <c r="N435" s="11"/>
      <c r="S435" s="12" t="str">
        <f>+C435</f>
        <v>Jubukweni</v>
      </c>
      <c r="T435" s="13" t="e">
        <f>+L439</f>
        <v>#REF!</v>
      </c>
      <c r="U435" s="13" t="e">
        <f>+L440+L441</f>
        <v>#REF!</v>
      </c>
      <c r="V435" s="13" t="e">
        <f>+L442+L443</f>
        <v>#REF!</v>
      </c>
      <c r="W435" s="13" t="e">
        <f>+L446</f>
        <v>#REF!</v>
      </c>
      <c r="X435" s="13" t="e">
        <f>+L444</f>
        <v>#REF!</v>
      </c>
    </row>
    <row r="436" spans="1:24" x14ac:dyDescent="0.25">
      <c r="A436" s="14"/>
      <c r="B436" s="15"/>
      <c r="C436" s="41" t="str">
        <f>+$C420</f>
        <v>Year to Date 2024/2025</v>
      </c>
      <c r="D436" s="18"/>
      <c r="E436" s="18"/>
      <c r="F436" s="18"/>
      <c r="G436" s="20" t="str">
        <f>+$G$4</f>
        <v>Week</v>
      </c>
      <c r="H436" s="20" t="str">
        <f>+G436</f>
        <v>Week</v>
      </c>
      <c r="I436" s="20" t="str">
        <f t="shared" si="111"/>
        <v>Week</v>
      </c>
      <c r="J436" s="20" t="str">
        <f t="shared" si="111"/>
        <v>Week</v>
      </c>
      <c r="K436" s="20" t="str">
        <f t="shared" si="111"/>
        <v>Week</v>
      </c>
      <c r="L436" s="20" t="str">
        <f t="shared" si="111"/>
        <v>Week</v>
      </c>
      <c r="M436" s="20" t="str">
        <f t="shared" si="111"/>
        <v>Week</v>
      </c>
      <c r="N436" s="21"/>
    </row>
    <row r="437" spans="1:24" ht="15.75" thickBot="1" x14ac:dyDescent="0.3">
      <c r="A437" s="14"/>
      <c r="B437" s="22"/>
      <c r="C437" s="23"/>
      <c r="D437" s="23"/>
      <c r="E437" s="23"/>
      <c r="F437" s="23"/>
      <c r="G437" s="25">
        <f>+$G$5</f>
        <v>1</v>
      </c>
      <c r="H437" s="25">
        <f>+$H$5</f>
        <v>2</v>
      </c>
      <c r="I437" s="25">
        <f>+$I$5</f>
        <v>3</v>
      </c>
      <c r="J437" s="25">
        <f>+$J$5</f>
        <v>4</v>
      </c>
      <c r="K437" s="25">
        <f>+$K$5</f>
        <v>5</v>
      </c>
      <c r="L437" s="25" t="s">
        <v>6</v>
      </c>
      <c r="M437" s="25" t="s">
        <v>7</v>
      </c>
      <c r="N437" s="26"/>
    </row>
    <row r="438" spans="1:24" x14ac:dyDescent="0.25">
      <c r="A438" s="14"/>
      <c r="B438" s="27"/>
      <c r="C438" s="28"/>
      <c r="D438" s="28"/>
      <c r="E438" s="28"/>
      <c r="F438" s="28"/>
      <c r="G438" s="29"/>
      <c r="H438" s="29"/>
      <c r="I438" s="29"/>
      <c r="J438" s="29"/>
      <c r="K438" s="28"/>
      <c r="L438" s="28"/>
      <c r="M438" s="28"/>
      <c r="N438" s="30"/>
    </row>
    <row r="439" spans="1:24" x14ac:dyDescent="0.25">
      <c r="A439" s="14"/>
      <c r="B439" s="27"/>
      <c r="C439" s="28" t="s">
        <v>8</v>
      </c>
      <c r="D439" s="28"/>
      <c r="E439" s="28"/>
      <c r="F439" s="28"/>
      <c r="G439" s="31" t="e">
        <f>SUM(G440:G443)</f>
        <v>#REF!</v>
      </c>
      <c r="H439" s="31" t="e">
        <f t="shared" ref="H439:L439" si="112">SUM(H440:H443)</f>
        <v>#REF!</v>
      </c>
      <c r="I439" s="31" t="e">
        <f t="shared" si="112"/>
        <v>#REF!</v>
      </c>
      <c r="J439" s="31" t="e">
        <f t="shared" si="112"/>
        <v>#REF!</v>
      </c>
      <c r="K439" s="31" t="e">
        <f t="shared" si="112"/>
        <v>#REF!</v>
      </c>
      <c r="L439" s="31" t="e">
        <f t="shared" si="112"/>
        <v>#REF!</v>
      </c>
      <c r="M439" s="31" t="e">
        <f>ROUND((L439/$E$1),0)</f>
        <v>#REF!</v>
      </c>
      <c r="N439" s="32"/>
    </row>
    <row r="440" spans="1:24" x14ac:dyDescent="0.25">
      <c r="A440" s="14"/>
      <c r="B440" s="27"/>
      <c r="C440" s="28"/>
      <c r="D440" s="28" t="s">
        <v>9</v>
      </c>
      <c r="E440" s="28"/>
      <c r="F440" s="28"/>
      <c r="G440" s="42" t="e">
        <f>+'Jul-24'!G440+'Aug-24'!G440+'Sep-24'!G440+'Oct-24'!G440+'Nov-24'!G440+'Dec-24'!G440+'Jan-25'!G440+'Feb-25'!G440+#REF!+#REF!+#REF!+'Dec-25'!G440</f>
        <v>#REF!</v>
      </c>
      <c r="H440" s="42" t="e">
        <f>+'Jul-24'!H440+'Aug-24'!H440+'Sep-24'!H440+'Oct-24'!H440+'Nov-24'!H440+'Dec-24'!H440+'Jan-25'!H440+'Feb-25'!H440+#REF!+#REF!+#REF!+'Dec-25'!H440</f>
        <v>#REF!</v>
      </c>
      <c r="I440" s="42" t="e">
        <f>+'Jul-24'!I440+'Aug-24'!I440+'Sep-24'!I440+'Oct-24'!I440+'Nov-24'!I440+'Dec-24'!I440+'Jan-25'!I440+'Feb-25'!I440+#REF!+#REF!+#REF!+'Dec-25'!I440</f>
        <v>#REF!</v>
      </c>
      <c r="J440" s="42" t="e">
        <f>+'Jul-24'!J440+'Aug-24'!J440+'Sep-24'!J440+'Oct-24'!J440+'Nov-24'!J440+'Dec-24'!J440+'Jan-25'!J440+'Feb-25'!J440+#REF!+#REF!+#REF!+'Dec-25'!J440</f>
        <v>#REF!</v>
      </c>
      <c r="K440" s="42" t="e">
        <f>+'Jul-24'!K440+'Aug-24'!K440+'Sep-24'!K440+'Oct-24'!K440+'Nov-24'!K440+'Dec-24'!K440+'Jan-25'!K440+'Feb-25'!K440+#REF!+#REF!+#REF!+'Dec-25'!K440</f>
        <v>#REF!</v>
      </c>
      <c r="L440" s="35" t="e">
        <f>SUM(G440:K440)</f>
        <v>#REF!</v>
      </c>
      <c r="M440" s="35" t="e">
        <f t="shared" ref="M440:M448" si="113">ROUND((L440/$E$1),0)</f>
        <v>#REF!</v>
      </c>
      <c r="N440" s="32"/>
    </row>
    <row r="441" spans="1:24" x14ac:dyDescent="0.25">
      <c r="A441" s="14"/>
      <c r="B441" s="27"/>
      <c r="C441" s="28"/>
      <c r="D441" s="28" t="s">
        <v>10</v>
      </c>
      <c r="E441" s="28"/>
      <c r="F441" s="28"/>
      <c r="G441" s="42" t="e">
        <f>+'Jul-24'!G441+'Aug-24'!G441+'Sep-24'!G441+'Oct-24'!G441+'Nov-24'!G441+'Dec-24'!G441+'Jan-25'!G441+'Feb-25'!G441+#REF!+#REF!+#REF!+'Dec-25'!G441</f>
        <v>#REF!</v>
      </c>
      <c r="H441" s="42" t="e">
        <f>+'Jul-24'!H441+'Aug-24'!H441+'Sep-24'!H441+'Oct-24'!H441+'Nov-24'!H441+'Dec-24'!H441+'Jan-25'!H441+'Feb-25'!H441+#REF!+#REF!+#REF!+'Dec-25'!H441</f>
        <v>#REF!</v>
      </c>
      <c r="I441" s="42" t="e">
        <f>+'Jul-24'!I441+'Aug-24'!I441+'Sep-24'!I441+'Oct-24'!I441+'Nov-24'!I441+'Dec-24'!I441+'Jan-25'!I441+'Feb-25'!I441+#REF!+#REF!+#REF!+'Dec-25'!I441</f>
        <v>#REF!</v>
      </c>
      <c r="J441" s="42" t="e">
        <f>+'Jul-24'!J441+'Aug-24'!J441+'Sep-24'!J441+'Oct-24'!J441+'Nov-24'!J441+'Dec-24'!J441+'Jan-25'!J441+'Feb-25'!J441+#REF!+#REF!+#REF!+'Dec-25'!J441</f>
        <v>#REF!</v>
      </c>
      <c r="K441" s="42" t="e">
        <f>+'Jul-24'!K441+'Aug-24'!K441+'Sep-24'!K441+'Oct-24'!K441+'Nov-24'!K441+'Dec-24'!K441+'Jan-25'!K441+'Feb-25'!K441+#REF!+#REF!+#REF!+'Dec-25'!K441</f>
        <v>#REF!</v>
      </c>
      <c r="L441" s="35" t="e">
        <f t="shared" ref="L441:L448" si="114">SUM(G441:K441)</f>
        <v>#REF!</v>
      </c>
      <c r="M441" s="35" t="e">
        <f t="shared" si="113"/>
        <v>#REF!</v>
      </c>
      <c r="N441" s="32"/>
    </row>
    <row r="442" spans="1:24" x14ac:dyDescent="0.25">
      <c r="A442" s="14"/>
      <c r="B442" s="27"/>
      <c r="C442" s="28"/>
      <c r="D442" s="28" t="s">
        <v>11</v>
      </c>
      <c r="E442" s="28"/>
      <c r="F442" s="28"/>
      <c r="G442" s="42" t="e">
        <f>+'Jul-24'!G442+'Aug-24'!G442+'Sep-24'!G442+'Oct-24'!G442+'Nov-24'!G442+'Dec-24'!G442+'Jan-25'!G442+'Feb-25'!G442+#REF!+#REF!+#REF!+'Dec-25'!G442</f>
        <v>#REF!</v>
      </c>
      <c r="H442" s="42" t="e">
        <f>+'Jul-24'!H442+'Aug-24'!H442+'Sep-24'!H442+'Oct-24'!H442+'Nov-24'!H442+'Dec-24'!H442+'Jan-25'!H442+'Feb-25'!H442+#REF!+#REF!+#REF!+'Dec-25'!H442</f>
        <v>#REF!</v>
      </c>
      <c r="I442" s="42" t="e">
        <f>+'Jul-24'!I442+'Aug-24'!I442+'Sep-24'!I442+'Oct-24'!I442+'Nov-24'!I442+'Dec-24'!I442+'Jan-25'!I442+'Feb-25'!I442+#REF!+#REF!+#REF!+'Dec-25'!I442</f>
        <v>#REF!</v>
      </c>
      <c r="J442" s="42" t="e">
        <f>+'Jul-24'!J442+'Aug-24'!J442+'Sep-24'!J442+'Oct-24'!J442+'Nov-24'!J442+'Dec-24'!J442+'Jan-25'!J442+'Feb-25'!J442+#REF!+#REF!+#REF!+'Dec-25'!J442</f>
        <v>#REF!</v>
      </c>
      <c r="K442" s="42" t="e">
        <f>+'Jul-24'!K442+'Aug-24'!K442+'Sep-24'!K442+'Oct-24'!K442+'Nov-24'!K442+'Dec-24'!K442+'Jan-25'!K442+'Feb-25'!K442+#REF!+#REF!+#REF!+'Dec-25'!K442</f>
        <v>#REF!</v>
      </c>
      <c r="L442" s="35" t="e">
        <f t="shared" si="114"/>
        <v>#REF!</v>
      </c>
      <c r="M442" s="35" t="e">
        <f t="shared" si="113"/>
        <v>#REF!</v>
      </c>
      <c r="N442" s="32"/>
    </row>
    <row r="443" spans="1:24" x14ac:dyDescent="0.25">
      <c r="A443" s="14"/>
      <c r="B443" s="27"/>
      <c r="C443" s="28"/>
      <c r="D443" s="28" t="s">
        <v>12</v>
      </c>
      <c r="E443" s="28"/>
      <c r="F443" s="28"/>
      <c r="G443" s="43" t="e">
        <f>+'Jul-24'!G443+'Aug-24'!G443+'Sep-24'!G443+'Oct-24'!G443+'Nov-24'!G443+'Dec-24'!G443+'Jan-25'!G443+'Feb-25'!G443+#REF!+#REF!+#REF!+'Dec-25'!G443</f>
        <v>#REF!</v>
      </c>
      <c r="H443" s="43" t="e">
        <f>+'Jul-24'!H443+'Aug-24'!H443+'Sep-24'!H443+'Oct-24'!H443+'Nov-24'!H443+'Dec-24'!H443+'Jan-25'!H443+'Feb-25'!H443+#REF!+#REF!+#REF!+'Dec-25'!H443</f>
        <v>#REF!</v>
      </c>
      <c r="I443" s="43" t="e">
        <f>+'Jul-24'!I443+'Aug-24'!I443+'Sep-24'!I443+'Oct-24'!I443+'Nov-24'!I443+'Dec-24'!I443+'Jan-25'!I443+'Feb-25'!I443+#REF!+#REF!+#REF!+'Dec-25'!I443</f>
        <v>#REF!</v>
      </c>
      <c r="J443" s="43" t="e">
        <f>+'Jul-24'!J443+'Aug-24'!J443+'Sep-24'!J443+'Oct-24'!J443+'Nov-24'!J443+'Dec-24'!J443+'Jan-25'!J443+'Feb-25'!J443+#REF!+#REF!+#REF!+'Dec-25'!J443</f>
        <v>#REF!</v>
      </c>
      <c r="K443" s="43" t="e">
        <f>+'Jul-24'!K443+'Aug-24'!K443+'Sep-24'!K443+'Oct-24'!K443+'Nov-24'!K443+'Dec-24'!K443+'Jan-25'!K443+'Feb-25'!K443+#REF!+#REF!+#REF!+'Dec-25'!K443</f>
        <v>#REF!</v>
      </c>
      <c r="L443" s="31" t="e">
        <f t="shared" si="114"/>
        <v>#REF!</v>
      </c>
      <c r="M443" s="31" t="e">
        <f t="shared" si="113"/>
        <v>#REF!</v>
      </c>
      <c r="N443" s="32"/>
    </row>
    <row r="444" spans="1:24" x14ac:dyDescent="0.25">
      <c r="A444" s="14"/>
      <c r="B444" s="27"/>
      <c r="C444" s="28" t="s">
        <v>13</v>
      </c>
      <c r="D444" s="28"/>
      <c r="E444" s="28"/>
      <c r="F444" s="28"/>
      <c r="G444" s="42" t="e">
        <f>+'Jul-24'!G444+'Aug-24'!G444+'Sep-24'!G444+'Oct-24'!G444+'Nov-24'!G444+'Dec-24'!G444+'Jan-25'!G444+'Feb-25'!G444+#REF!+#REF!+#REF!+'Dec-25'!G444</f>
        <v>#REF!</v>
      </c>
      <c r="H444" s="42" t="e">
        <f>+'Jul-24'!H444+'Aug-24'!H444+'Sep-24'!H444+'Oct-24'!H444+'Nov-24'!H444+'Dec-24'!H444+'Jan-25'!H444+'Feb-25'!H444+#REF!+#REF!+#REF!+'Dec-25'!H444</f>
        <v>#REF!</v>
      </c>
      <c r="I444" s="42" t="e">
        <f>+'Jul-24'!I444+'Aug-24'!I444+'Sep-24'!I444+'Oct-24'!I444+'Nov-24'!I444+'Dec-24'!I444+'Jan-25'!I444+'Feb-25'!I444+#REF!+#REF!+#REF!+'Dec-25'!I444</f>
        <v>#REF!</v>
      </c>
      <c r="J444" s="42" t="e">
        <f>+'Jul-24'!J444+'Aug-24'!J444+'Sep-24'!J444+'Oct-24'!J444+'Nov-24'!J444+'Dec-24'!J444+'Jan-25'!J444+'Feb-25'!J444+#REF!+#REF!+#REF!+'Dec-25'!J444</f>
        <v>#REF!</v>
      </c>
      <c r="K444" s="42" t="e">
        <f>+'Jul-24'!K444+'Aug-24'!K444+'Sep-24'!K444+'Oct-24'!K444+'Nov-24'!K444+'Dec-24'!K444+'Jan-25'!K444+'Feb-25'!K444+#REF!+#REF!+#REF!+'Dec-25'!K444</f>
        <v>#REF!</v>
      </c>
      <c r="L444" s="35" t="e">
        <f t="shared" si="114"/>
        <v>#REF!</v>
      </c>
      <c r="M444" s="35" t="e">
        <f t="shared" si="113"/>
        <v>#REF!</v>
      </c>
      <c r="N444" s="32"/>
    </row>
    <row r="445" spans="1:24" x14ac:dyDescent="0.25">
      <c r="A445" s="14"/>
      <c r="B445" s="27"/>
      <c r="C445" s="28" t="s">
        <v>14</v>
      </c>
      <c r="D445" s="28"/>
      <c r="E445" s="28"/>
      <c r="F445" s="28"/>
      <c r="G445" s="42" t="e">
        <f>+'Jul-24'!G445+'Aug-24'!G445+'Sep-24'!G445+'Oct-24'!G445+'Nov-24'!G445+'Dec-24'!G445+'Jan-25'!G445+'Feb-25'!G445+#REF!+#REF!+#REF!+'Dec-25'!G445</f>
        <v>#REF!</v>
      </c>
      <c r="H445" s="42" t="e">
        <f>+'Jul-24'!H445+'Aug-24'!H445+'Sep-24'!H445+'Oct-24'!H445+'Nov-24'!H445+'Dec-24'!H445+'Jan-25'!H445+'Feb-25'!H445+#REF!+#REF!+#REF!+'Dec-25'!H445</f>
        <v>#REF!</v>
      </c>
      <c r="I445" s="42" t="e">
        <f>+'Jul-24'!I445+'Aug-24'!I445+'Sep-24'!I445+'Oct-24'!I445+'Nov-24'!I445+'Dec-24'!I445+'Jan-25'!I445+'Feb-25'!I445+#REF!+#REF!+#REF!+'Dec-25'!I445</f>
        <v>#REF!</v>
      </c>
      <c r="J445" s="42" t="e">
        <f>+'Jul-24'!J445+'Aug-24'!J445+'Sep-24'!J445+'Oct-24'!J445+'Nov-24'!J445+'Dec-24'!J445+'Jan-25'!J445+'Feb-25'!J445+#REF!+#REF!+#REF!+'Dec-25'!J445</f>
        <v>#REF!</v>
      </c>
      <c r="K445" s="42" t="e">
        <f>+'Jul-24'!K445+'Aug-24'!K445+'Sep-24'!K445+'Oct-24'!K445+'Nov-24'!K445+'Dec-24'!K445+'Jan-25'!K445+'Feb-25'!K445+#REF!+#REF!+#REF!+'Dec-25'!K445</f>
        <v>#REF!</v>
      </c>
      <c r="L445" s="35" t="e">
        <f t="shared" si="114"/>
        <v>#REF!</v>
      </c>
      <c r="M445" s="35" t="e">
        <f t="shared" si="113"/>
        <v>#REF!</v>
      </c>
      <c r="N445" s="32"/>
    </row>
    <row r="446" spans="1:24" x14ac:dyDescent="0.25">
      <c r="A446" s="14"/>
      <c r="B446" s="27"/>
      <c r="C446" s="28" t="s">
        <v>4</v>
      </c>
      <c r="D446" s="28"/>
      <c r="E446" s="28"/>
      <c r="F446" s="28"/>
      <c r="G446" s="42" t="e">
        <f>+'Jul-24'!G446+'Aug-24'!G446+'Sep-24'!G446+'Oct-24'!G446+'Nov-24'!G446+'Dec-24'!G446+'Jan-25'!G446+'Feb-25'!G446+#REF!+#REF!+#REF!+'Dec-25'!G446</f>
        <v>#REF!</v>
      </c>
      <c r="H446" s="42" t="e">
        <f>+'Jul-24'!H446+'Aug-24'!H446+'Sep-24'!H446+'Oct-24'!H446+'Nov-24'!H446+'Dec-24'!H446+'Jan-25'!H446+'Feb-25'!H446+#REF!+#REF!+#REF!+'Dec-25'!H446</f>
        <v>#REF!</v>
      </c>
      <c r="I446" s="42" t="e">
        <f>+'Jul-24'!I446+'Aug-24'!I446+'Sep-24'!I446+'Oct-24'!I446+'Nov-24'!I446+'Dec-24'!I446+'Jan-25'!I446+'Feb-25'!I446+#REF!+#REF!+#REF!+'Dec-25'!I446</f>
        <v>#REF!</v>
      </c>
      <c r="J446" s="42" t="e">
        <f>+'Jul-24'!J446+'Aug-24'!J446+'Sep-24'!J446+'Oct-24'!J446+'Nov-24'!J446+'Dec-24'!J446+'Jan-25'!J446+'Feb-25'!J446+#REF!+#REF!+#REF!+'Dec-25'!J446</f>
        <v>#REF!</v>
      </c>
      <c r="K446" s="42" t="e">
        <f>+'Jul-24'!K446+'Aug-24'!K446+'Sep-24'!K446+'Oct-24'!K446+'Nov-24'!K446+'Dec-24'!K446+'Jan-25'!K446+'Feb-25'!K446+#REF!+#REF!+#REF!+'Dec-25'!K446</f>
        <v>#REF!</v>
      </c>
      <c r="L446" s="35" t="e">
        <f t="shared" si="114"/>
        <v>#REF!</v>
      </c>
      <c r="M446" s="35" t="e">
        <f t="shared" si="113"/>
        <v>#REF!</v>
      </c>
      <c r="N446" s="32"/>
    </row>
    <row r="447" spans="1:24" x14ac:dyDescent="0.25">
      <c r="A447" s="14"/>
      <c r="B447" s="27"/>
      <c r="C447" s="28" t="s">
        <v>15</v>
      </c>
      <c r="D447" s="28"/>
      <c r="E447" s="28"/>
      <c r="F447" s="28"/>
      <c r="G447" s="42" t="e">
        <f>+'Jul-24'!G447+'Aug-24'!G447+'Sep-24'!G447+'Oct-24'!G447+'Nov-24'!G447+'Dec-24'!G447+'Jan-25'!G447+'Feb-25'!G447+#REF!+#REF!+#REF!+'Dec-25'!G447</f>
        <v>#REF!</v>
      </c>
      <c r="H447" s="42" t="e">
        <f>+'Jul-24'!H447+'Aug-24'!H447+'Sep-24'!H447+'Oct-24'!H447+'Nov-24'!H447+'Dec-24'!H447+'Jan-25'!H447+'Feb-25'!H447+#REF!+#REF!+#REF!+'Dec-25'!H447</f>
        <v>#REF!</v>
      </c>
      <c r="I447" s="42" t="e">
        <f>+'Jul-24'!I447+'Aug-24'!I447+'Sep-24'!I447+'Oct-24'!I447+'Nov-24'!I447+'Dec-24'!I447+'Jan-25'!I447+'Feb-25'!I447+#REF!+#REF!+#REF!+'Dec-25'!I447</f>
        <v>#REF!</v>
      </c>
      <c r="J447" s="42" t="e">
        <f>+'Jul-24'!J447+'Aug-24'!J447+'Sep-24'!J447+'Oct-24'!J447+'Nov-24'!J447+'Dec-24'!J447+'Jan-25'!J447+'Feb-25'!J447+#REF!+#REF!+#REF!+'Dec-25'!J447</f>
        <v>#REF!</v>
      </c>
      <c r="K447" s="42" t="e">
        <f>+'Jul-24'!K447+'Aug-24'!K447+'Sep-24'!K447+'Oct-24'!K447+'Nov-24'!K447+'Dec-24'!K447+'Jan-25'!K447+'Feb-25'!K447+#REF!+#REF!+#REF!+'Dec-25'!K447</f>
        <v>#REF!</v>
      </c>
      <c r="L447" s="35" t="e">
        <f t="shared" si="114"/>
        <v>#REF!</v>
      </c>
      <c r="M447" s="35" t="e">
        <f t="shared" si="113"/>
        <v>#REF!</v>
      </c>
      <c r="N447" s="32"/>
    </row>
    <row r="448" spans="1:24" x14ac:dyDescent="0.25">
      <c r="A448" s="14"/>
      <c r="B448" s="27"/>
      <c r="C448" s="28" t="s">
        <v>16</v>
      </c>
      <c r="D448" s="28"/>
      <c r="E448" s="28"/>
      <c r="F448" s="28"/>
      <c r="G448" s="42" t="e">
        <f>+'Jul-24'!G448+'Aug-24'!G448+'Sep-24'!G448+'Oct-24'!G448+'Nov-24'!G448+'Dec-24'!G448+'Jan-25'!G448+'Feb-25'!G448+#REF!+#REF!+#REF!+'Dec-25'!G448</f>
        <v>#REF!</v>
      </c>
      <c r="H448" s="42" t="e">
        <f>+'Jul-24'!H448+'Aug-24'!H448+'Sep-24'!H448+'Oct-24'!H448+'Nov-24'!H448+'Dec-24'!H448+'Jan-25'!H448+'Feb-25'!H448+#REF!+#REF!+#REF!+'Dec-25'!H448</f>
        <v>#REF!</v>
      </c>
      <c r="I448" s="42" t="e">
        <f>+'Jul-24'!I448+'Aug-24'!I448+'Sep-24'!I448+'Oct-24'!I448+'Nov-24'!I448+'Dec-24'!I448+'Jan-25'!I448+'Feb-25'!I448+#REF!+#REF!+#REF!+'Dec-25'!I448</f>
        <v>#REF!</v>
      </c>
      <c r="J448" s="42" t="e">
        <f>+'Jul-24'!J448+'Aug-24'!J448+'Sep-24'!J448+'Oct-24'!J448+'Nov-24'!J448+'Dec-24'!J448+'Jan-25'!J448+'Feb-25'!J448+#REF!+#REF!+#REF!+'Dec-25'!J448</f>
        <v>#REF!</v>
      </c>
      <c r="K448" s="42" t="e">
        <f>+'Jul-24'!K448+'Aug-24'!K448+'Sep-24'!K448+'Oct-24'!K448+'Nov-24'!K448+'Dec-24'!K448+'Jan-25'!K448+'Feb-25'!K448+#REF!+#REF!+#REF!+'Dec-25'!K448</f>
        <v>#REF!</v>
      </c>
      <c r="L448" s="35" t="e">
        <f t="shared" si="114"/>
        <v>#REF!</v>
      </c>
      <c r="M448" s="35" t="e">
        <f t="shared" si="113"/>
        <v>#REF!</v>
      </c>
      <c r="N448" s="32"/>
    </row>
    <row r="449" spans="1:24" ht="15.75" thickBot="1" x14ac:dyDescent="0.3">
      <c r="A449" s="14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4">
        <f>+A435+1</f>
        <v>28</v>
      </c>
      <c r="B451" s="5"/>
      <c r="C451" s="6" t="s">
        <v>44</v>
      </c>
      <c r="D451" s="7"/>
      <c r="E451" s="8"/>
      <c r="F451" s="8"/>
      <c r="G451" s="10">
        <f>+$G$3</f>
        <v>2024</v>
      </c>
      <c r="H451" s="10">
        <f>+G451</f>
        <v>2024</v>
      </c>
      <c r="I451" s="10">
        <f t="shared" ref="I451:M452" si="115">+H451</f>
        <v>2024</v>
      </c>
      <c r="J451" s="10">
        <f t="shared" si="115"/>
        <v>2024</v>
      </c>
      <c r="K451" s="10">
        <f t="shared" si="115"/>
        <v>2024</v>
      </c>
      <c r="L451" s="10">
        <f t="shared" si="115"/>
        <v>2024</v>
      </c>
      <c r="M451" s="10">
        <f t="shared" si="115"/>
        <v>2024</v>
      </c>
      <c r="N451" s="11"/>
      <c r="S451" s="12" t="str">
        <f>+C451</f>
        <v>Sigangeni</v>
      </c>
      <c r="T451" s="13" t="e">
        <f>+L455</f>
        <v>#REF!</v>
      </c>
      <c r="U451" s="13" t="e">
        <f>+L456+L457</f>
        <v>#REF!</v>
      </c>
      <c r="V451" s="13" t="e">
        <f>+L458+L459</f>
        <v>#REF!</v>
      </c>
      <c r="W451" s="13" t="e">
        <f>+L462</f>
        <v>#REF!</v>
      </c>
      <c r="X451" s="13" t="e">
        <f>+L460</f>
        <v>#REF!</v>
      </c>
    </row>
    <row r="452" spans="1:24" x14ac:dyDescent="0.25">
      <c r="A452" s="14"/>
      <c r="B452" s="15"/>
      <c r="C452" s="41" t="str">
        <f>+$C436</f>
        <v>Year to Date 2024/2025</v>
      </c>
      <c r="D452" s="18"/>
      <c r="E452" s="18"/>
      <c r="F452" s="18"/>
      <c r="G452" s="20" t="str">
        <f>+$G$4</f>
        <v>Week</v>
      </c>
      <c r="H452" s="20" t="str">
        <f>+G452</f>
        <v>Week</v>
      </c>
      <c r="I452" s="20" t="str">
        <f t="shared" si="115"/>
        <v>Week</v>
      </c>
      <c r="J452" s="20" t="str">
        <f t="shared" si="115"/>
        <v>Week</v>
      </c>
      <c r="K452" s="20" t="str">
        <f t="shared" si="115"/>
        <v>Week</v>
      </c>
      <c r="L452" s="20" t="str">
        <f t="shared" si="115"/>
        <v>Week</v>
      </c>
      <c r="M452" s="20" t="str">
        <f t="shared" si="115"/>
        <v>Week</v>
      </c>
      <c r="N452" s="21"/>
    </row>
    <row r="453" spans="1:24" ht="15.75" thickBot="1" x14ac:dyDescent="0.3">
      <c r="A453" s="14"/>
      <c r="B453" s="22"/>
      <c r="C453" s="23"/>
      <c r="D453" s="23"/>
      <c r="E453" s="23"/>
      <c r="F453" s="23"/>
      <c r="G453" s="25">
        <f>+$G$5</f>
        <v>1</v>
      </c>
      <c r="H453" s="25">
        <f>+$H$5</f>
        <v>2</v>
      </c>
      <c r="I453" s="25">
        <f>+$I$5</f>
        <v>3</v>
      </c>
      <c r="J453" s="25">
        <f>+$J$5</f>
        <v>4</v>
      </c>
      <c r="K453" s="25">
        <f>+$K$5</f>
        <v>5</v>
      </c>
      <c r="L453" s="25" t="s">
        <v>6</v>
      </c>
      <c r="M453" s="25" t="s">
        <v>7</v>
      </c>
      <c r="N453" s="26"/>
    </row>
    <row r="454" spans="1:24" x14ac:dyDescent="0.25">
      <c r="A454" s="14"/>
      <c r="B454" s="27"/>
      <c r="C454" s="28"/>
      <c r="D454" s="28"/>
      <c r="E454" s="28"/>
      <c r="F454" s="28"/>
      <c r="G454" s="29"/>
      <c r="H454" s="29"/>
      <c r="I454" s="29"/>
      <c r="J454" s="29"/>
      <c r="K454" s="28"/>
      <c r="L454" s="28"/>
      <c r="M454" s="28"/>
      <c r="N454" s="30"/>
    </row>
    <row r="455" spans="1:24" x14ac:dyDescent="0.25">
      <c r="A455" s="14"/>
      <c r="B455" s="27"/>
      <c r="C455" s="28" t="s">
        <v>8</v>
      </c>
      <c r="D455" s="28"/>
      <c r="E455" s="28"/>
      <c r="F455" s="28"/>
      <c r="G455" s="31" t="e">
        <f>SUM(G456:G459)</f>
        <v>#REF!</v>
      </c>
      <c r="H455" s="31" t="e">
        <f t="shared" ref="H455:L455" si="116">SUM(H456:H459)</f>
        <v>#REF!</v>
      </c>
      <c r="I455" s="31" t="e">
        <f t="shared" si="116"/>
        <v>#REF!</v>
      </c>
      <c r="J455" s="31" t="e">
        <f t="shared" si="116"/>
        <v>#REF!</v>
      </c>
      <c r="K455" s="31" t="e">
        <f t="shared" si="116"/>
        <v>#REF!</v>
      </c>
      <c r="L455" s="31" t="e">
        <f t="shared" si="116"/>
        <v>#REF!</v>
      </c>
      <c r="M455" s="31" t="e">
        <f>ROUND((L455/$E$1),0)</f>
        <v>#REF!</v>
      </c>
      <c r="N455" s="32"/>
    </row>
    <row r="456" spans="1:24" x14ac:dyDescent="0.25">
      <c r="A456" s="14"/>
      <c r="B456" s="27"/>
      <c r="C456" s="28"/>
      <c r="D456" s="28" t="s">
        <v>9</v>
      </c>
      <c r="E456" s="28"/>
      <c r="F456" s="28"/>
      <c r="G456" s="42" t="e">
        <f>+'Jul-24'!G456+'Aug-24'!G456+'Sep-24'!G456+'Oct-24'!G456+'Nov-24'!G456+'Dec-24'!G456+'Jan-25'!G456+'Feb-25'!G456+#REF!+#REF!+#REF!+'Dec-25'!G456</f>
        <v>#REF!</v>
      </c>
      <c r="H456" s="42" t="e">
        <f>+'Jul-24'!H456+'Aug-24'!H456+'Sep-24'!H456+'Oct-24'!H456+'Nov-24'!H456+'Dec-24'!H456+'Jan-25'!H456+'Feb-25'!H456+#REF!+#REF!+#REF!+'Dec-25'!H456</f>
        <v>#REF!</v>
      </c>
      <c r="I456" s="42" t="e">
        <f>+'Jul-24'!I456+'Aug-24'!I456+'Sep-24'!I456+'Oct-24'!I456+'Nov-24'!I456+'Dec-24'!I456+'Jan-25'!I456+'Feb-25'!I456+#REF!+#REF!+#REF!+'Dec-25'!I456</f>
        <v>#REF!</v>
      </c>
      <c r="J456" s="42" t="e">
        <f>+'Jul-24'!J456+'Aug-24'!J456+'Sep-24'!J456+'Oct-24'!J456+'Nov-24'!J456+'Dec-24'!J456+'Jan-25'!J456+'Feb-25'!J456+#REF!+#REF!+#REF!+'Dec-25'!J456</f>
        <v>#REF!</v>
      </c>
      <c r="K456" s="42" t="e">
        <f>+'Jul-24'!K456+'Aug-24'!K456+'Sep-24'!K456+'Oct-24'!K456+'Nov-24'!K456+'Dec-24'!K456+'Jan-25'!K456+'Feb-25'!K456+#REF!+#REF!+#REF!+'Dec-25'!K456</f>
        <v>#REF!</v>
      </c>
      <c r="L456" s="35" t="e">
        <f>SUM(G456:K456)</f>
        <v>#REF!</v>
      </c>
      <c r="M456" s="35" t="e">
        <f t="shared" ref="M456:M464" si="117">ROUND((L456/$E$1),0)</f>
        <v>#REF!</v>
      </c>
      <c r="N456" s="32"/>
      <c r="P456" s="28"/>
    </row>
    <row r="457" spans="1:24" x14ac:dyDescent="0.25">
      <c r="A457" s="14"/>
      <c r="B457" s="27"/>
      <c r="C457" s="28"/>
      <c r="D457" s="28" t="s">
        <v>10</v>
      </c>
      <c r="E457" s="28"/>
      <c r="F457" s="28"/>
      <c r="G457" s="42" t="e">
        <f>+'Jul-24'!G457+'Aug-24'!G457+'Sep-24'!G457+'Oct-24'!G457+'Nov-24'!G457+'Dec-24'!G457+'Jan-25'!G457+'Feb-25'!G457+#REF!+#REF!+#REF!+'Dec-25'!G457</f>
        <v>#REF!</v>
      </c>
      <c r="H457" s="42" t="e">
        <f>+'Jul-24'!H457+'Aug-24'!H457+'Sep-24'!H457+'Oct-24'!H457+'Nov-24'!H457+'Dec-24'!H457+'Jan-25'!H457+'Feb-25'!H457+#REF!+#REF!+#REF!+'Dec-25'!H457</f>
        <v>#REF!</v>
      </c>
      <c r="I457" s="42" t="e">
        <f>+'Jul-24'!I457+'Aug-24'!I457+'Sep-24'!I457+'Oct-24'!I457+'Nov-24'!I457+'Dec-24'!I457+'Jan-25'!I457+'Feb-25'!I457+#REF!+#REF!+#REF!+'Dec-25'!I457</f>
        <v>#REF!</v>
      </c>
      <c r="J457" s="42" t="e">
        <f>+'Jul-24'!J457+'Aug-24'!J457+'Sep-24'!J457+'Oct-24'!J457+'Nov-24'!J457+'Dec-24'!J457+'Jan-25'!J457+'Feb-25'!J457+#REF!+#REF!+#REF!+'Dec-25'!J457</f>
        <v>#REF!</v>
      </c>
      <c r="K457" s="42" t="e">
        <f>+'Jul-24'!K457+'Aug-24'!K457+'Sep-24'!K457+'Oct-24'!K457+'Nov-24'!K457+'Dec-24'!K457+'Jan-25'!K457+'Feb-25'!K457+#REF!+#REF!+#REF!+'Dec-25'!K457</f>
        <v>#REF!</v>
      </c>
      <c r="L457" s="35" t="e">
        <f t="shared" ref="L457:L464" si="118">SUM(G457:K457)</f>
        <v>#REF!</v>
      </c>
      <c r="M457" s="35" t="e">
        <f t="shared" si="117"/>
        <v>#REF!</v>
      </c>
      <c r="N457" s="32"/>
    </row>
    <row r="458" spans="1:24" x14ac:dyDescent="0.25">
      <c r="A458" s="14"/>
      <c r="B458" s="27"/>
      <c r="C458" s="28"/>
      <c r="D458" s="28" t="s">
        <v>11</v>
      </c>
      <c r="E458" s="28"/>
      <c r="F458" s="28"/>
      <c r="G458" s="42" t="e">
        <f>+'Jul-24'!G458+'Aug-24'!G458+'Sep-24'!G458+'Oct-24'!G458+'Nov-24'!G458+'Dec-24'!G458+'Jan-25'!G458+'Feb-25'!G458+#REF!+#REF!+#REF!+'Dec-25'!G458</f>
        <v>#REF!</v>
      </c>
      <c r="H458" s="42" t="e">
        <f>+'Jul-24'!H458+'Aug-24'!H458+'Sep-24'!H458+'Oct-24'!H458+'Nov-24'!H458+'Dec-24'!H458+'Jan-25'!H458+'Feb-25'!H458+#REF!+#REF!+#REF!+'Dec-25'!H458</f>
        <v>#REF!</v>
      </c>
      <c r="I458" s="42" t="e">
        <f>+'Jul-24'!I458+'Aug-24'!I458+'Sep-24'!I458+'Oct-24'!I458+'Nov-24'!I458+'Dec-24'!I458+'Jan-25'!I458+'Feb-25'!I458+#REF!+#REF!+#REF!+'Dec-25'!I458</f>
        <v>#REF!</v>
      </c>
      <c r="J458" s="42" t="e">
        <f>+'Jul-24'!J458+'Aug-24'!J458+'Sep-24'!J458+'Oct-24'!J458+'Nov-24'!J458+'Dec-24'!J458+'Jan-25'!J458+'Feb-25'!J458+#REF!+#REF!+#REF!+'Dec-25'!J458</f>
        <v>#REF!</v>
      </c>
      <c r="K458" s="42" t="e">
        <f>+'Jul-24'!K458+'Aug-24'!K458+'Sep-24'!K458+'Oct-24'!K458+'Nov-24'!K458+'Dec-24'!K458+'Jan-25'!K458+'Feb-25'!K458+#REF!+#REF!+#REF!+'Dec-25'!K458</f>
        <v>#REF!</v>
      </c>
      <c r="L458" s="35" t="e">
        <f t="shared" si="118"/>
        <v>#REF!</v>
      </c>
      <c r="M458" s="35" t="e">
        <f t="shared" si="117"/>
        <v>#REF!</v>
      </c>
      <c r="N458" s="32"/>
    </row>
    <row r="459" spans="1:24" x14ac:dyDescent="0.25">
      <c r="A459" s="14"/>
      <c r="B459" s="27"/>
      <c r="C459" s="28"/>
      <c r="D459" s="28" t="s">
        <v>12</v>
      </c>
      <c r="E459" s="28"/>
      <c r="F459" s="28"/>
      <c r="G459" s="43" t="e">
        <f>+'Jul-24'!G459+'Aug-24'!G459+'Sep-24'!G459+'Oct-24'!G459+'Nov-24'!G459+'Dec-24'!G459+'Jan-25'!G459+'Feb-25'!G459+#REF!+#REF!+#REF!+'Dec-25'!G459</f>
        <v>#REF!</v>
      </c>
      <c r="H459" s="43" t="e">
        <f>+'Jul-24'!H459+'Aug-24'!H459+'Sep-24'!H459+'Oct-24'!H459+'Nov-24'!H459+'Dec-24'!H459+'Jan-25'!H459+'Feb-25'!H459+#REF!+#REF!+#REF!+'Dec-25'!H459</f>
        <v>#REF!</v>
      </c>
      <c r="I459" s="43" t="e">
        <f>+'Jul-24'!I459+'Aug-24'!I459+'Sep-24'!I459+'Oct-24'!I459+'Nov-24'!I459+'Dec-24'!I459+'Jan-25'!I459+'Feb-25'!I459+#REF!+#REF!+#REF!+'Dec-25'!I459</f>
        <v>#REF!</v>
      </c>
      <c r="J459" s="43" t="e">
        <f>+'Jul-24'!J459+'Aug-24'!J459+'Sep-24'!J459+'Oct-24'!J459+'Nov-24'!J459+'Dec-24'!J459+'Jan-25'!J459+'Feb-25'!J459+#REF!+#REF!+#REF!+'Dec-25'!J459</f>
        <v>#REF!</v>
      </c>
      <c r="K459" s="43" t="e">
        <f>+'Jul-24'!K459+'Aug-24'!K459+'Sep-24'!K459+'Oct-24'!K459+'Nov-24'!K459+'Dec-24'!K459+'Jan-25'!K459+'Feb-25'!K459+#REF!+#REF!+#REF!+'Dec-25'!K459</f>
        <v>#REF!</v>
      </c>
      <c r="L459" s="31" t="e">
        <f t="shared" si="118"/>
        <v>#REF!</v>
      </c>
      <c r="M459" s="31" t="e">
        <f t="shared" si="117"/>
        <v>#REF!</v>
      </c>
      <c r="N459" s="32"/>
    </row>
    <row r="460" spans="1:24" x14ac:dyDescent="0.25">
      <c r="A460" s="14"/>
      <c r="B460" s="27"/>
      <c r="C460" s="28" t="s">
        <v>13</v>
      </c>
      <c r="D460" s="28"/>
      <c r="E460" s="28"/>
      <c r="F460" s="28"/>
      <c r="G460" s="42" t="e">
        <f>+'Jul-24'!G460+'Aug-24'!G460+'Sep-24'!G460+'Oct-24'!G460+'Nov-24'!G460+'Dec-24'!G460+'Jan-25'!G460+'Feb-25'!G460+#REF!+#REF!+#REF!+'Dec-25'!G460</f>
        <v>#REF!</v>
      </c>
      <c r="H460" s="42" t="e">
        <f>+'Jul-24'!H460+'Aug-24'!H460+'Sep-24'!H460+'Oct-24'!H460+'Nov-24'!H460+'Dec-24'!H460+'Jan-25'!H460+'Feb-25'!H460+#REF!+#REF!+#REF!+'Dec-25'!H460</f>
        <v>#REF!</v>
      </c>
      <c r="I460" s="42" t="e">
        <f>+'Jul-24'!I460+'Aug-24'!I460+'Sep-24'!I460+'Oct-24'!I460+'Nov-24'!I460+'Dec-24'!I460+'Jan-25'!I460+'Feb-25'!I460+#REF!+#REF!+#REF!+'Dec-25'!I460</f>
        <v>#REF!</v>
      </c>
      <c r="J460" s="42" t="e">
        <f>+'Jul-24'!J460+'Aug-24'!J460+'Sep-24'!J460+'Oct-24'!J460+'Nov-24'!J460+'Dec-24'!J460+'Jan-25'!J460+'Feb-25'!J460+#REF!+#REF!+#REF!+'Dec-25'!J460</f>
        <v>#REF!</v>
      </c>
      <c r="K460" s="42" t="e">
        <f>+'Jul-24'!K460+'Aug-24'!K460+'Sep-24'!K460+'Oct-24'!K460+'Nov-24'!K460+'Dec-24'!K460+'Jan-25'!K460+'Feb-25'!K460+#REF!+#REF!+#REF!+'Dec-25'!K460</f>
        <v>#REF!</v>
      </c>
      <c r="L460" s="35" t="e">
        <f t="shared" si="118"/>
        <v>#REF!</v>
      </c>
      <c r="M460" s="35" t="e">
        <f t="shared" si="117"/>
        <v>#REF!</v>
      </c>
      <c r="N460" s="32"/>
    </row>
    <row r="461" spans="1:24" x14ac:dyDescent="0.25">
      <c r="A461" s="14"/>
      <c r="B461" s="27"/>
      <c r="C461" s="28" t="s">
        <v>14</v>
      </c>
      <c r="D461" s="28"/>
      <c r="E461" s="28"/>
      <c r="F461" s="28"/>
      <c r="G461" s="42" t="e">
        <f>+'Jul-24'!G461+'Aug-24'!G461+'Sep-24'!G461+'Oct-24'!G461+'Nov-24'!G461+'Dec-24'!G461+'Jan-25'!G461+'Feb-25'!G461+#REF!+#REF!+#REF!+'Dec-25'!G461</f>
        <v>#REF!</v>
      </c>
      <c r="H461" s="42" t="e">
        <f>+'Jul-24'!H461+'Aug-24'!H461+'Sep-24'!H461+'Oct-24'!H461+'Nov-24'!H461+'Dec-24'!H461+'Jan-25'!H461+'Feb-25'!H461+#REF!+#REF!+#REF!+'Dec-25'!H461</f>
        <v>#REF!</v>
      </c>
      <c r="I461" s="42" t="e">
        <f>+'Jul-24'!I461+'Aug-24'!I461+'Sep-24'!I461+'Oct-24'!I461+'Nov-24'!I461+'Dec-24'!I461+'Jan-25'!I461+'Feb-25'!I461+#REF!+#REF!+#REF!+'Dec-25'!I461</f>
        <v>#REF!</v>
      </c>
      <c r="J461" s="42" t="e">
        <f>+'Jul-24'!J461+'Aug-24'!J461+'Sep-24'!J461+'Oct-24'!J461+'Nov-24'!J461+'Dec-24'!J461+'Jan-25'!J461+'Feb-25'!J461+#REF!+#REF!+#REF!+'Dec-25'!J461</f>
        <v>#REF!</v>
      </c>
      <c r="K461" s="42" t="e">
        <f>+'Jul-24'!K461+'Aug-24'!K461+'Sep-24'!K461+'Oct-24'!K461+'Nov-24'!K461+'Dec-24'!K461+'Jan-25'!K461+'Feb-25'!K461+#REF!+#REF!+#REF!+'Dec-25'!K461</f>
        <v>#REF!</v>
      </c>
      <c r="L461" s="35" t="e">
        <f t="shared" si="118"/>
        <v>#REF!</v>
      </c>
      <c r="M461" s="35" t="e">
        <f t="shared" si="117"/>
        <v>#REF!</v>
      </c>
      <c r="N461" s="32"/>
    </row>
    <row r="462" spans="1:24" x14ac:dyDescent="0.25">
      <c r="A462" s="14"/>
      <c r="B462" s="27"/>
      <c r="C462" s="28" t="s">
        <v>4</v>
      </c>
      <c r="D462" s="28"/>
      <c r="E462" s="28"/>
      <c r="F462" s="28"/>
      <c r="G462" s="42" t="e">
        <f>+'Jul-24'!G462+'Aug-24'!G462+'Sep-24'!G462+'Oct-24'!G462+'Nov-24'!G462+'Dec-24'!G462+'Jan-25'!G462+'Feb-25'!G462+#REF!+#REF!+#REF!+'Dec-25'!G462</f>
        <v>#REF!</v>
      </c>
      <c r="H462" s="42" t="e">
        <f>+'Jul-24'!H462+'Aug-24'!H462+'Sep-24'!H462+'Oct-24'!H462+'Nov-24'!H462+'Dec-24'!H462+'Jan-25'!H462+'Feb-25'!H462+#REF!+#REF!+#REF!+'Dec-25'!H462</f>
        <v>#REF!</v>
      </c>
      <c r="I462" s="42" t="e">
        <f>+'Jul-24'!I462+'Aug-24'!I462+'Sep-24'!I462+'Oct-24'!I462+'Nov-24'!I462+'Dec-24'!I462+'Jan-25'!I462+'Feb-25'!I462+#REF!+#REF!+#REF!+'Dec-25'!I462</f>
        <v>#REF!</v>
      </c>
      <c r="J462" s="42" t="e">
        <f>+'Jul-24'!J462+'Aug-24'!J462+'Sep-24'!J462+'Oct-24'!J462+'Nov-24'!J462+'Dec-24'!J462+'Jan-25'!J462+'Feb-25'!J462+#REF!+#REF!+#REF!+'Dec-25'!J462</f>
        <v>#REF!</v>
      </c>
      <c r="K462" s="42" t="e">
        <f>+'Jul-24'!K462+'Aug-24'!K462+'Sep-24'!K462+'Oct-24'!K462+'Nov-24'!K462+'Dec-24'!K462+'Jan-25'!K462+'Feb-25'!K462+#REF!+#REF!+#REF!+'Dec-25'!K462</f>
        <v>#REF!</v>
      </c>
      <c r="L462" s="35" t="e">
        <f t="shared" si="118"/>
        <v>#REF!</v>
      </c>
      <c r="M462" s="35" t="e">
        <f t="shared" si="117"/>
        <v>#REF!</v>
      </c>
      <c r="N462" s="32"/>
    </row>
    <row r="463" spans="1:24" x14ac:dyDescent="0.25">
      <c r="A463" s="14"/>
      <c r="B463" s="27"/>
      <c r="C463" s="28" t="s">
        <v>15</v>
      </c>
      <c r="D463" s="28"/>
      <c r="E463" s="28"/>
      <c r="F463" s="28"/>
      <c r="G463" s="42" t="e">
        <f>+'Jul-24'!G463+'Aug-24'!G463+'Sep-24'!G463+'Oct-24'!G463+'Nov-24'!G463+'Dec-24'!G463+'Jan-25'!G463+'Feb-25'!G463+#REF!+#REF!+#REF!+'Dec-25'!G463</f>
        <v>#REF!</v>
      </c>
      <c r="H463" s="42" t="e">
        <f>+'Jul-24'!H463+'Aug-24'!H463+'Sep-24'!H463+'Oct-24'!H463+'Nov-24'!H463+'Dec-24'!H463+'Jan-25'!H463+'Feb-25'!H463+#REF!+#REF!+#REF!+'Dec-25'!H463</f>
        <v>#REF!</v>
      </c>
      <c r="I463" s="42" t="e">
        <f>+'Jul-24'!I463+'Aug-24'!I463+'Sep-24'!I463+'Oct-24'!I463+'Nov-24'!I463+'Dec-24'!I463+'Jan-25'!I463+'Feb-25'!I463+#REF!+#REF!+#REF!+'Dec-25'!I463</f>
        <v>#REF!</v>
      </c>
      <c r="J463" s="42" t="e">
        <f>+'Jul-24'!J463+'Aug-24'!J463+'Sep-24'!J463+'Oct-24'!J463+'Nov-24'!J463+'Dec-24'!J463+'Jan-25'!J463+'Feb-25'!J463+#REF!+#REF!+#REF!+'Dec-25'!J463</f>
        <v>#REF!</v>
      </c>
      <c r="K463" s="42" t="e">
        <f>+'Jul-24'!K463+'Aug-24'!K463+'Sep-24'!K463+'Oct-24'!K463+'Nov-24'!K463+'Dec-24'!K463+'Jan-25'!K463+'Feb-25'!K463+#REF!+#REF!+#REF!+'Dec-25'!K463</f>
        <v>#REF!</v>
      </c>
      <c r="L463" s="35" t="e">
        <f t="shared" si="118"/>
        <v>#REF!</v>
      </c>
      <c r="M463" s="35" t="e">
        <f t="shared" si="117"/>
        <v>#REF!</v>
      </c>
      <c r="N463" s="32"/>
    </row>
    <row r="464" spans="1:24" x14ac:dyDescent="0.25">
      <c r="A464" s="14"/>
      <c r="B464" s="27"/>
      <c r="C464" s="28" t="s">
        <v>16</v>
      </c>
      <c r="D464" s="28"/>
      <c r="E464" s="28"/>
      <c r="F464" s="28"/>
      <c r="G464" s="42" t="e">
        <f>+'Jul-24'!G464+'Aug-24'!G464+'Sep-24'!G464+'Oct-24'!G464+'Nov-24'!G464+'Dec-24'!G464+'Jan-25'!G464+'Feb-25'!G464+#REF!+#REF!+#REF!+'Dec-25'!G464</f>
        <v>#REF!</v>
      </c>
      <c r="H464" s="42" t="e">
        <f>+'Jul-24'!H464+'Aug-24'!H464+'Sep-24'!H464+'Oct-24'!H464+'Nov-24'!H464+'Dec-24'!H464+'Jan-25'!H464+'Feb-25'!H464+#REF!+#REF!+#REF!+'Dec-25'!H464</f>
        <v>#REF!</v>
      </c>
      <c r="I464" s="42" t="e">
        <f>+'Jul-24'!I464+'Aug-24'!I464+'Sep-24'!I464+'Oct-24'!I464+'Nov-24'!I464+'Dec-24'!I464+'Jan-25'!I464+'Feb-25'!I464+#REF!+#REF!+#REF!+'Dec-25'!I464</f>
        <v>#REF!</v>
      </c>
      <c r="J464" s="42" t="e">
        <f>+'Jul-24'!J464+'Aug-24'!J464+'Sep-24'!J464+'Oct-24'!J464+'Nov-24'!J464+'Dec-24'!J464+'Jan-25'!J464+'Feb-25'!J464+#REF!+#REF!+#REF!+'Dec-25'!J464</f>
        <v>#REF!</v>
      </c>
      <c r="K464" s="42" t="e">
        <f>+'Jul-24'!K464+'Aug-24'!K464+'Sep-24'!K464+'Oct-24'!K464+'Nov-24'!K464+'Dec-24'!K464+'Jan-25'!K464+'Feb-25'!K464+#REF!+#REF!+#REF!+'Dec-25'!K464</f>
        <v>#REF!</v>
      </c>
      <c r="L464" s="35" t="e">
        <f t="shared" si="118"/>
        <v>#REF!</v>
      </c>
      <c r="M464" s="35" t="e">
        <f t="shared" si="117"/>
        <v>#REF!</v>
      </c>
      <c r="N464" s="32"/>
    </row>
    <row r="465" spans="1:24" ht="15.75" thickBot="1" x14ac:dyDescent="0.3">
      <c r="A465" s="14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14"/>
      <c r="G466" s="33"/>
      <c r="H466" s="33"/>
      <c r="I466" s="33"/>
      <c r="J466" s="33"/>
      <c r="K466" s="33"/>
      <c r="L466" s="33"/>
      <c r="M466" s="33"/>
      <c r="N466" s="33"/>
    </row>
    <row r="467" spans="1:24" x14ac:dyDescent="0.25">
      <c r="A467" s="4">
        <f>+A451+1</f>
        <v>29</v>
      </c>
      <c r="B467" s="40"/>
      <c r="C467" s="6" t="s">
        <v>45</v>
      </c>
      <c r="D467" s="7"/>
      <c r="E467" s="8"/>
      <c r="F467" s="8"/>
      <c r="G467" s="10">
        <f>+$G$3</f>
        <v>2024</v>
      </c>
      <c r="H467" s="10">
        <f>+G467</f>
        <v>2024</v>
      </c>
      <c r="I467" s="10">
        <f t="shared" ref="I467:M468" si="119">+H467</f>
        <v>2024</v>
      </c>
      <c r="J467" s="10">
        <f t="shared" si="119"/>
        <v>2024</v>
      </c>
      <c r="K467" s="10">
        <f t="shared" si="119"/>
        <v>2024</v>
      </c>
      <c r="L467" s="10">
        <f t="shared" si="119"/>
        <v>2024</v>
      </c>
      <c r="M467" s="10">
        <f t="shared" si="119"/>
        <v>2024</v>
      </c>
      <c r="N467" s="11"/>
      <c r="S467" s="12" t="str">
        <f>+C467</f>
        <v>Sgombeni</v>
      </c>
      <c r="T467" s="13" t="e">
        <f>+L471</f>
        <v>#REF!</v>
      </c>
      <c r="U467" s="13" t="e">
        <f>+L472+L473</f>
        <v>#REF!</v>
      </c>
      <c r="V467" s="13" t="e">
        <f>+L474+L475</f>
        <v>#REF!</v>
      </c>
      <c r="W467" s="13" t="e">
        <f>+L478</f>
        <v>#REF!</v>
      </c>
      <c r="X467" s="13" t="e">
        <f>+L476</f>
        <v>#REF!</v>
      </c>
    </row>
    <row r="468" spans="1:24" x14ac:dyDescent="0.25">
      <c r="A468" s="14"/>
      <c r="B468" s="15"/>
      <c r="C468" s="41" t="str">
        <f>+$C452</f>
        <v>Year to Date 2024/2025</v>
      </c>
      <c r="D468" s="18"/>
      <c r="E468" s="18"/>
      <c r="F468" s="18"/>
      <c r="G468" s="20" t="str">
        <f>+$G$4</f>
        <v>Week</v>
      </c>
      <c r="H468" s="20" t="str">
        <f>+G468</f>
        <v>Week</v>
      </c>
      <c r="I468" s="20" t="str">
        <f t="shared" si="119"/>
        <v>Week</v>
      </c>
      <c r="J468" s="20" t="str">
        <f t="shared" si="119"/>
        <v>Week</v>
      </c>
      <c r="K468" s="20" t="str">
        <f t="shared" si="119"/>
        <v>Week</v>
      </c>
      <c r="L468" s="20" t="str">
        <f t="shared" si="119"/>
        <v>Week</v>
      </c>
      <c r="M468" s="20" t="str">
        <f t="shared" si="119"/>
        <v>Week</v>
      </c>
      <c r="N468" s="21"/>
    </row>
    <row r="469" spans="1:24" ht="15.75" thickBot="1" x14ac:dyDescent="0.3">
      <c r="A469" s="14"/>
      <c r="B469" s="22"/>
      <c r="C469" s="23"/>
      <c r="D469" s="23"/>
      <c r="E469" s="23"/>
      <c r="F469" s="23"/>
      <c r="G469" s="25">
        <f>+$G$5</f>
        <v>1</v>
      </c>
      <c r="H469" s="25">
        <f>+$H$5</f>
        <v>2</v>
      </c>
      <c r="I469" s="25">
        <f>+$I$5</f>
        <v>3</v>
      </c>
      <c r="J469" s="25">
        <f>+$J$5</f>
        <v>4</v>
      </c>
      <c r="K469" s="25">
        <f>+$K$5</f>
        <v>5</v>
      </c>
      <c r="L469" s="25" t="s">
        <v>6</v>
      </c>
      <c r="M469" s="25" t="s">
        <v>7</v>
      </c>
      <c r="N469" s="26"/>
    </row>
    <row r="470" spans="1:24" x14ac:dyDescent="0.25">
      <c r="A470" s="14"/>
      <c r="B470" s="27"/>
      <c r="C470" s="28"/>
      <c r="D470" s="28"/>
      <c r="E470" s="28"/>
      <c r="F470" s="28"/>
      <c r="G470" s="29"/>
      <c r="H470" s="29"/>
      <c r="I470" s="29"/>
      <c r="J470" s="29"/>
      <c r="K470" s="28"/>
      <c r="L470" s="28"/>
      <c r="M470" s="28"/>
      <c r="N470" s="30"/>
    </row>
    <row r="471" spans="1:24" x14ac:dyDescent="0.25">
      <c r="A471" s="14"/>
      <c r="B471" s="27"/>
      <c r="C471" s="28" t="s">
        <v>8</v>
      </c>
      <c r="D471" s="28"/>
      <c r="E471" s="28"/>
      <c r="F471" s="28"/>
      <c r="G471" s="31" t="e">
        <f>SUM(G472:G475)</f>
        <v>#REF!</v>
      </c>
      <c r="H471" s="31" t="e">
        <f t="shared" ref="H471:L471" si="120">SUM(H472:H475)</f>
        <v>#REF!</v>
      </c>
      <c r="I471" s="31" t="e">
        <f t="shared" si="120"/>
        <v>#REF!</v>
      </c>
      <c r="J471" s="31" t="e">
        <f t="shared" si="120"/>
        <v>#REF!</v>
      </c>
      <c r="K471" s="31" t="e">
        <f t="shared" si="120"/>
        <v>#REF!</v>
      </c>
      <c r="L471" s="31" t="e">
        <f t="shared" si="120"/>
        <v>#REF!</v>
      </c>
      <c r="M471" s="31" t="e">
        <f>ROUND((L471/$E$1),0)</f>
        <v>#REF!</v>
      </c>
      <c r="N471" s="32"/>
    </row>
    <row r="472" spans="1:24" x14ac:dyDescent="0.25">
      <c r="A472" s="14"/>
      <c r="B472" s="27"/>
      <c r="C472" s="28"/>
      <c r="D472" s="28" t="s">
        <v>9</v>
      </c>
      <c r="E472" s="28"/>
      <c r="F472" s="28"/>
      <c r="G472" s="42" t="e">
        <f>+'Jul-24'!G472+'Aug-24'!G472+'Sep-24'!G472+'Oct-24'!G472+'Nov-24'!G472+'Dec-24'!G472+'Jan-25'!G472+'Feb-25'!G472+#REF!+#REF!+#REF!+'Dec-25'!G472</f>
        <v>#REF!</v>
      </c>
      <c r="H472" s="42" t="e">
        <f>+'Jul-24'!H472+'Aug-24'!H472+'Sep-24'!H472+'Oct-24'!H472+'Nov-24'!H472+'Dec-24'!H472+'Jan-25'!H472+'Feb-25'!H472+#REF!+#REF!+#REF!+'Dec-25'!H472</f>
        <v>#REF!</v>
      </c>
      <c r="I472" s="42" t="e">
        <f>+'Jul-24'!I472+'Aug-24'!I472+'Sep-24'!I472+'Oct-24'!I472+'Nov-24'!I472+'Dec-24'!I472+'Jan-25'!I472+'Feb-25'!I472+#REF!+#REF!+#REF!+'Dec-25'!I472</f>
        <v>#REF!</v>
      </c>
      <c r="J472" s="42" t="e">
        <f>+'Jul-24'!J472+'Aug-24'!J472+'Sep-24'!J472+'Oct-24'!J472+'Nov-24'!J472+'Dec-24'!J472+'Jan-25'!J472+'Feb-25'!J472+#REF!+#REF!+#REF!+'Dec-25'!J472</f>
        <v>#REF!</v>
      </c>
      <c r="K472" s="42" t="e">
        <f>+'Jul-24'!K472+'Aug-24'!K472+'Sep-24'!K472+'Oct-24'!K472+'Nov-24'!K472+'Dec-24'!K472+'Jan-25'!K472+'Feb-25'!K472+#REF!+#REF!+#REF!+'Dec-25'!K472</f>
        <v>#REF!</v>
      </c>
      <c r="L472" s="35" t="e">
        <f>SUM(G472:K472)</f>
        <v>#REF!</v>
      </c>
      <c r="M472" s="35" t="e">
        <f t="shared" ref="M472:M480" si="121">ROUND((L472/$E$1),0)</f>
        <v>#REF!</v>
      </c>
      <c r="N472" s="32"/>
    </row>
    <row r="473" spans="1:24" x14ac:dyDescent="0.25">
      <c r="A473" s="14"/>
      <c r="B473" s="27"/>
      <c r="C473" s="28"/>
      <c r="D473" s="28" t="s">
        <v>10</v>
      </c>
      <c r="E473" s="28"/>
      <c r="F473" s="28"/>
      <c r="G473" s="42" t="e">
        <f>+'Jul-24'!G473+'Aug-24'!G473+'Sep-24'!G473+'Oct-24'!G473+'Nov-24'!G473+'Dec-24'!G473+'Jan-25'!G473+'Feb-25'!G473+#REF!+#REF!+#REF!+'Dec-25'!G473</f>
        <v>#REF!</v>
      </c>
      <c r="H473" s="42" t="e">
        <f>+'Jul-24'!H473+'Aug-24'!H473+'Sep-24'!H473+'Oct-24'!H473+'Nov-24'!H473+'Dec-24'!H473+'Jan-25'!H473+'Feb-25'!H473+#REF!+#REF!+#REF!+'Dec-25'!H473</f>
        <v>#REF!</v>
      </c>
      <c r="I473" s="42" t="e">
        <f>+'Jul-24'!I473+'Aug-24'!I473+'Sep-24'!I473+'Oct-24'!I473+'Nov-24'!I473+'Dec-24'!I473+'Jan-25'!I473+'Feb-25'!I473+#REF!+#REF!+#REF!+'Dec-25'!I473</f>
        <v>#REF!</v>
      </c>
      <c r="J473" s="42" t="e">
        <f>+'Jul-24'!J473+'Aug-24'!J473+'Sep-24'!J473+'Oct-24'!J473+'Nov-24'!J473+'Dec-24'!J473+'Jan-25'!J473+'Feb-25'!J473+#REF!+#REF!+#REF!+'Dec-25'!J473</f>
        <v>#REF!</v>
      </c>
      <c r="K473" s="42" t="e">
        <f>+'Jul-24'!K473+'Aug-24'!K473+'Sep-24'!K473+'Oct-24'!K473+'Nov-24'!K473+'Dec-24'!K473+'Jan-25'!K473+'Feb-25'!K473+#REF!+#REF!+#REF!+'Dec-25'!K473</f>
        <v>#REF!</v>
      </c>
      <c r="L473" s="35" t="e">
        <f t="shared" ref="L473:L480" si="122">SUM(G473:K473)</f>
        <v>#REF!</v>
      </c>
      <c r="M473" s="35" t="e">
        <f t="shared" si="121"/>
        <v>#REF!</v>
      </c>
      <c r="N473" s="32"/>
    </row>
    <row r="474" spans="1:24" x14ac:dyDescent="0.25">
      <c r="A474" s="14"/>
      <c r="B474" s="27"/>
      <c r="C474" s="28"/>
      <c r="D474" s="28" t="s">
        <v>11</v>
      </c>
      <c r="E474" s="28"/>
      <c r="F474" s="28"/>
      <c r="G474" s="42" t="e">
        <f>+'Jul-24'!G474+'Aug-24'!G474+'Sep-24'!G474+'Oct-24'!G474+'Nov-24'!G474+'Dec-24'!G474+'Jan-25'!G474+'Feb-25'!G474+#REF!+#REF!+#REF!+'Dec-25'!G474</f>
        <v>#REF!</v>
      </c>
      <c r="H474" s="42" t="e">
        <f>+'Jul-24'!H474+'Aug-24'!H474+'Sep-24'!H474+'Oct-24'!H474+'Nov-24'!H474+'Dec-24'!H474+'Jan-25'!H474+'Feb-25'!H474+#REF!+#REF!+#REF!+'Dec-25'!H474</f>
        <v>#REF!</v>
      </c>
      <c r="I474" s="42" t="e">
        <f>+'Jul-24'!I474+'Aug-24'!I474+'Sep-24'!I474+'Oct-24'!I474+'Nov-24'!I474+'Dec-24'!I474+'Jan-25'!I474+'Feb-25'!I474+#REF!+#REF!+#REF!+'Dec-25'!I474</f>
        <v>#REF!</v>
      </c>
      <c r="J474" s="42" t="e">
        <f>+'Jul-24'!J474+'Aug-24'!J474+'Sep-24'!J474+'Oct-24'!J474+'Nov-24'!J474+'Dec-24'!J474+'Jan-25'!J474+'Feb-25'!J474+#REF!+#REF!+#REF!+'Dec-25'!J474</f>
        <v>#REF!</v>
      </c>
      <c r="K474" s="42" t="e">
        <f>+'Jul-24'!K474+'Aug-24'!K474+'Sep-24'!K474+'Oct-24'!K474+'Nov-24'!K474+'Dec-24'!K474+'Jan-25'!K474+'Feb-25'!K474+#REF!+#REF!+#REF!+'Dec-25'!K474</f>
        <v>#REF!</v>
      </c>
      <c r="L474" s="35" t="e">
        <f t="shared" si="122"/>
        <v>#REF!</v>
      </c>
      <c r="M474" s="35" t="e">
        <f t="shared" si="121"/>
        <v>#REF!</v>
      </c>
      <c r="N474" s="32"/>
    </row>
    <row r="475" spans="1:24" x14ac:dyDescent="0.25">
      <c r="A475" s="14"/>
      <c r="B475" s="27"/>
      <c r="C475" s="28"/>
      <c r="D475" s="28" t="s">
        <v>12</v>
      </c>
      <c r="E475" s="28"/>
      <c r="F475" s="28"/>
      <c r="G475" s="43" t="e">
        <f>+'Jul-24'!G475+'Aug-24'!G475+'Sep-24'!G475+'Oct-24'!G475+'Nov-24'!G475+'Dec-24'!G475+'Jan-25'!G475+'Feb-25'!G475+#REF!+#REF!+#REF!+'Dec-25'!G475</f>
        <v>#REF!</v>
      </c>
      <c r="H475" s="43" t="e">
        <f>+'Jul-24'!H475+'Aug-24'!H475+'Sep-24'!H475+'Oct-24'!H475+'Nov-24'!H475+'Dec-24'!H475+'Jan-25'!H475+'Feb-25'!H475+#REF!+#REF!+#REF!+'Dec-25'!H475</f>
        <v>#REF!</v>
      </c>
      <c r="I475" s="43" t="e">
        <f>+'Jul-24'!I475+'Aug-24'!I475+'Sep-24'!I475+'Oct-24'!I475+'Nov-24'!I475+'Dec-24'!I475+'Jan-25'!I475+'Feb-25'!I475+#REF!+#REF!+#REF!+'Dec-25'!I475</f>
        <v>#REF!</v>
      </c>
      <c r="J475" s="43" t="e">
        <f>+'Jul-24'!J475+'Aug-24'!J475+'Sep-24'!J475+'Oct-24'!J475+'Nov-24'!J475+'Dec-24'!J475+'Jan-25'!J475+'Feb-25'!J475+#REF!+#REF!+#REF!+'Dec-25'!J475</f>
        <v>#REF!</v>
      </c>
      <c r="K475" s="43" t="e">
        <f>+'Jul-24'!K475+'Aug-24'!K475+'Sep-24'!K475+'Oct-24'!K475+'Nov-24'!K475+'Dec-24'!K475+'Jan-25'!K475+'Feb-25'!K475+#REF!+#REF!+#REF!+'Dec-25'!K475</f>
        <v>#REF!</v>
      </c>
      <c r="L475" s="31" t="e">
        <f t="shared" si="122"/>
        <v>#REF!</v>
      </c>
      <c r="M475" s="31" t="e">
        <f t="shared" si="121"/>
        <v>#REF!</v>
      </c>
      <c r="N475" s="32"/>
    </row>
    <row r="476" spans="1:24" x14ac:dyDescent="0.25">
      <c r="A476" s="14"/>
      <c r="B476" s="27"/>
      <c r="C476" s="28" t="s">
        <v>13</v>
      </c>
      <c r="D476" s="28"/>
      <c r="E476" s="28"/>
      <c r="F476" s="28"/>
      <c r="G476" s="42" t="e">
        <f>+'Jul-24'!G476+'Aug-24'!G476+'Sep-24'!G476+'Oct-24'!G476+'Nov-24'!G476+'Dec-24'!G476+'Jan-25'!G476+'Feb-25'!G476+#REF!+#REF!+#REF!+'Dec-25'!G476</f>
        <v>#REF!</v>
      </c>
      <c r="H476" s="42" t="e">
        <f>+'Jul-24'!H476+'Aug-24'!H476+'Sep-24'!H476+'Oct-24'!H476+'Nov-24'!H476+'Dec-24'!H476+'Jan-25'!H476+'Feb-25'!H476+#REF!+#REF!+#REF!+'Dec-25'!H476</f>
        <v>#REF!</v>
      </c>
      <c r="I476" s="42" t="e">
        <f>+'Jul-24'!I476+'Aug-24'!I476+'Sep-24'!I476+'Oct-24'!I476+'Nov-24'!I476+'Dec-24'!I476+'Jan-25'!I476+'Feb-25'!I476+#REF!+#REF!+#REF!+'Dec-25'!I476</f>
        <v>#REF!</v>
      </c>
      <c r="J476" s="42" t="e">
        <f>+'Jul-24'!J476+'Aug-24'!J476+'Sep-24'!J476+'Oct-24'!J476+'Nov-24'!J476+'Dec-24'!J476+'Jan-25'!J476+'Feb-25'!J476+#REF!+#REF!+#REF!+'Dec-25'!J476</f>
        <v>#REF!</v>
      </c>
      <c r="K476" s="42" t="e">
        <f>+'Jul-24'!K476+'Aug-24'!K476+'Sep-24'!K476+'Oct-24'!K476+'Nov-24'!K476+'Dec-24'!K476+'Jan-25'!K476+'Feb-25'!K476+#REF!+#REF!+#REF!+'Dec-25'!K476</f>
        <v>#REF!</v>
      </c>
      <c r="L476" s="35" t="e">
        <f t="shared" si="122"/>
        <v>#REF!</v>
      </c>
      <c r="M476" s="35" t="e">
        <f t="shared" si="121"/>
        <v>#REF!</v>
      </c>
      <c r="N476" s="32"/>
    </row>
    <row r="477" spans="1:24" x14ac:dyDescent="0.25">
      <c r="A477" s="14"/>
      <c r="B477" s="27"/>
      <c r="C477" s="28" t="s">
        <v>14</v>
      </c>
      <c r="D477" s="28"/>
      <c r="E477" s="28"/>
      <c r="F477" s="28"/>
      <c r="G477" s="42" t="e">
        <f>+'Jul-24'!G477+'Aug-24'!G477+'Sep-24'!G477+'Oct-24'!G477+'Nov-24'!G477+'Dec-24'!G477+'Jan-25'!G477+'Feb-25'!G477+#REF!+#REF!+#REF!+'Dec-25'!G477</f>
        <v>#REF!</v>
      </c>
      <c r="H477" s="42" t="e">
        <f>+'Jul-24'!H477+'Aug-24'!H477+'Sep-24'!H477+'Oct-24'!H477+'Nov-24'!H477+'Dec-24'!H477+'Jan-25'!H477+'Feb-25'!H477+#REF!+#REF!+#REF!+'Dec-25'!H477</f>
        <v>#REF!</v>
      </c>
      <c r="I477" s="42" t="e">
        <f>+'Jul-24'!I477+'Aug-24'!I477+'Sep-24'!I477+'Oct-24'!I477+'Nov-24'!I477+'Dec-24'!I477+'Jan-25'!I477+'Feb-25'!I477+#REF!+#REF!+#REF!+'Dec-25'!I477</f>
        <v>#REF!</v>
      </c>
      <c r="J477" s="42" t="e">
        <f>+'Jul-24'!J477+'Aug-24'!J477+'Sep-24'!J477+'Oct-24'!J477+'Nov-24'!J477+'Dec-24'!J477+'Jan-25'!J477+'Feb-25'!J477+#REF!+#REF!+#REF!+'Dec-25'!J477</f>
        <v>#REF!</v>
      </c>
      <c r="K477" s="42" t="e">
        <f>+'Jul-24'!K477+'Aug-24'!K477+'Sep-24'!K477+'Oct-24'!K477+'Nov-24'!K477+'Dec-24'!K477+'Jan-25'!K477+'Feb-25'!K477+#REF!+#REF!+#REF!+'Dec-25'!K477</f>
        <v>#REF!</v>
      </c>
      <c r="L477" s="35" t="e">
        <f t="shared" si="122"/>
        <v>#REF!</v>
      </c>
      <c r="M477" s="35" t="e">
        <f t="shared" si="121"/>
        <v>#REF!</v>
      </c>
      <c r="N477" s="32"/>
    </row>
    <row r="478" spans="1:24" x14ac:dyDescent="0.25">
      <c r="A478" s="14"/>
      <c r="B478" s="27"/>
      <c r="C478" s="28" t="s">
        <v>4</v>
      </c>
      <c r="D478" s="28"/>
      <c r="E478" s="28"/>
      <c r="F478" s="28"/>
      <c r="G478" s="42" t="e">
        <f>+'Jul-24'!G478+'Aug-24'!G478+'Sep-24'!G478+'Oct-24'!G478+'Nov-24'!G478+'Dec-24'!G478+'Jan-25'!G478+'Feb-25'!G478+#REF!+#REF!+#REF!+'Dec-25'!G478</f>
        <v>#REF!</v>
      </c>
      <c r="H478" s="42" t="e">
        <f>+'Jul-24'!H478+'Aug-24'!H478+'Sep-24'!H478+'Oct-24'!H478+'Nov-24'!H478+'Dec-24'!H478+'Jan-25'!H478+'Feb-25'!H478+#REF!+#REF!+#REF!+'Dec-25'!H478</f>
        <v>#REF!</v>
      </c>
      <c r="I478" s="42" t="e">
        <f>+'Jul-24'!I478+'Aug-24'!I478+'Sep-24'!I478+'Oct-24'!I478+'Nov-24'!I478+'Dec-24'!I478+'Jan-25'!I478+'Feb-25'!I478+#REF!+#REF!+#REF!+'Dec-25'!I478</f>
        <v>#REF!</v>
      </c>
      <c r="J478" s="42" t="e">
        <f>+'Jul-24'!J478+'Aug-24'!J478+'Sep-24'!J478+'Oct-24'!J478+'Nov-24'!J478+'Dec-24'!J478+'Jan-25'!J478+'Feb-25'!J478+#REF!+#REF!+#REF!+'Dec-25'!J478</f>
        <v>#REF!</v>
      </c>
      <c r="K478" s="42" t="e">
        <f>+'Jul-24'!K478+'Aug-24'!K478+'Sep-24'!K478+'Oct-24'!K478+'Nov-24'!K478+'Dec-24'!K478+'Jan-25'!K478+'Feb-25'!K478+#REF!+#REF!+#REF!+'Dec-25'!K478</f>
        <v>#REF!</v>
      </c>
      <c r="L478" s="35" t="e">
        <f t="shared" si="122"/>
        <v>#REF!</v>
      </c>
      <c r="M478" s="35" t="e">
        <f t="shared" si="121"/>
        <v>#REF!</v>
      </c>
      <c r="N478" s="32"/>
    </row>
    <row r="479" spans="1:24" x14ac:dyDescent="0.25">
      <c r="A479" s="14"/>
      <c r="B479" s="27"/>
      <c r="C479" s="28" t="s">
        <v>15</v>
      </c>
      <c r="D479" s="28"/>
      <c r="E479" s="28"/>
      <c r="F479" s="28"/>
      <c r="G479" s="42" t="e">
        <f>+'Jul-24'!G479+'Aug-24'!G479+'Sep-24'!G479+'Oct-24'!G479+'Nov-24'!G479+'Dec-24'!G479+'Jan-25'!G479+'Feb-25'!G479+#REF!+#REF!+#REF!+'Dec-25'!G479</f>
        <v>#REF!</v>
      </c>
      <c r="H479" s="42" t="e">
        <f>+'Jul-24'!H479+'Aug-24'!H479+'Sep-24'!H479+'Oct-24'!H479+'Nov-24'!H479+'Dec-24'!H479+'Jan-25'!H479+'Feb-25'!H479+#REF!+#REF!+#REF!+'Dec-25'!H479</f>
        <v>#REF!</v>
      </c>
      <c r="I479" s="42" t="e">
        <f>+'Jul-24'!I479+'Aug-24'!I479+'Sep-24'!I479+'Oct-24'!I479+'Nov-24'!I479+'Dec-24'!I479+'Jan-25'!I479+'Feb-25'!I479+#REF!+#REF!+#REF!+'Dec-25'!I479</f>
        <v>#REF!</v>
      </c>
      <c r="J479" s="42" t="e">
        <f>+'Jul-24'!J479+'Aug-24'!J479+'Sep-24'!J479+'Oct-24'!J479+'Nov-24'!J479+'Dec-24'!J479+'Jan-25'!J479+'Feb-25'!J479+#REF!+#REF!+#REF!+'Dec-25'!J479</f>
        <v>#REF!</v>
      </c>
      <c r="K479" s="42" t="e">
        <f>+'Jul-24'!K479+'Aug-24'!K479+'Sep-24'!K479+'Oct-24'!K479+'Nov-24'!K479+'Dec-24'!K479+'Jan-25'!K479+'Feb-25'!K479+#REF!+#REF!+#REF!+'Dec-25'!K479</f>
        <v>#REF!</v>
      </c>
      <c r="L479" s="35" t="e">
        <f t="shared" si="122"/>
        <v>#REF!</v>
      </c>
      <c r="M479" s="35" t="e">
        <f t="shared" si="121"/>
        <v>#REF!</v>
      </c>
      <c r="N479" s="32"/>
    </row>
    <row r="480" spans="1:24" x14ac:dyDescent="0.25">
      <c r="A480" s="14"/>
      <c r="B480" s="27"/>
      <c r="C480" s="28" t="s">
        <v>16</v>
      </c>
      <c r="D480" s="28"/>
      <c r="E480" s="28"/>
      <c r="F480" s="28"/>
      <c r="G480" s="42" t="e">
        <f>+'Jul-24'!G480+'Aug-24'!G480+'Sep-24'!G480+'Oct-24'!G480+'Nov-24'!G480+'Dec-24'!G480+'Jan-25'!G480+'Feb-25'!G480+#REF!+#REF!+#REF!+'Dec-25'!G480</f>
        <v>#REF!</v>
      </c>
      <c r="H480" s="42" t="e">
        <f>+'Jul-24'!H480+'Aug-24'!H480+'Sep-24'!H480+'Oct-24'!H480+'Nov-24'!H480+'Dec-24'!H480+'Jan-25'!H480+'Feb-25'!H480+#REF!+#REF!+#REF!+'Dec-25'!H480</f>
        <v>#REF!</v>
      </c>
      <c r="I480" s="42" t="e">
        <f>+'Jul-24'!I480+'Aug-24'!I480+'Sep-24'!I480+'Oct-24'!I480+'Nov-24'!I480+'Dec-24'!I480+'Jan-25'!I480+'Feb-25'!I480+#REF!+#REF!+#REF!+'Dec-25'!I480</f>
        <v>#REF!</v>
      </c>
      <c r="J480" s="42" t="e">
        <f>+'Jul-24'!J480+'Aug-24'!J480+'Sep-24'!J480+'Oct-24'!J480+'Nov-24'!J480+'Dec-24'!J480+'Jan-25'!J480+'Feb-25'!J480+#REF!+#REF!+#REF!+'Dec-25'!J480</f>
        <v>#REF!</v>
      </c>
      <c r="K480" s="42" t="e">
        <f>+'Jul-24'!K480+'Aug-24'!K480+'Sep-24'!K480+'Oct-24'!K480+'Nov-24'!K480+'Dec-24'!K480+'Jan-25'!K480+'Feb-25'!K480+#REF!+#REF!+#REF!+'Dec-25'!K480</f>
        <v>#REF!</v>
      </c>
      <c r="L480" s="35" t="e">
        <f t="shared" si="122"/>
        <v>#REF!</v>
      </c>
      <c r="M480" s="35" t="e">
        <f t="shared" si="121"/>
        <v>#REF!</v>
      </c>
      <c r="N480" s="32"/>
    </row>
    <row r="481" spans="1:24" ht="15.75" thickBot="1" x14ac:dyDescent="0.3">
      <c r="A481" s="14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4">
        <f>+A467+1</f>
        <v>30</v>
      </c>
      <c r="B483" s="40"/>
      <c r="C483" s="6" t="s">
        <v>46</v>
      </c>
      <c r="D483" s="7"/>
      <c r="E483" s="8"/>
      <c r="F483" s="8"/>
      <c r="G483" s="10">
        <f>+$G$3</f>
        <v>2024</v>
      </c>
      <c r="H483" s="10">
        <f>+G483</f>
        <v>2024</v>
      </c>
      <c r="I483" s="10">
        <f t="shared" ref="I483:M484" si="123">+H483</f>
        <v>2024</v>
      </c>
      <c r="J483" s="10">
        <f t="shared" si="123"/>
        <v>2024</v>
      </c>
      <c r="K483" s="10">
        <f t="shared" si="123"/>
        <v>2024</v>
      </c>
      <c r="L483" s="10">
        <f t="shared" si="123"/>
        <v>2024</v>
      </c>
      <c r="M483" s="10">
        <f t="shared" si="123"/>
        <v>2024</v>
      </c>
      <c r="N483" s="11"/>
      <c r="S483" s="12" t="str">
        <f>+C483</f>
        <v>Lushikishini</v>
      </c>
      <c r="T483" s="13" t="e">
        <f>+L487</f>
        <v>#REF!</v>
      </c>
      <c r="U483" s="13" t="e">
        <f>+L488+L489</f>
        <v>#REF!</v>
      </c>
      <c r="V483" s="13" t="e">
        <f>+L490+L491</f>
        <v>#REF!</v>
      </c>
      <c r="W483" s="13" t="e">
        <f>+L494</f>
        <v>#REF!</v>
      </c>
      <c r="X483" s="13" t="e">
        <f>+L492</f>
        <v>#REF!</v>
      </c>
    </row>
    <row r="484" spans="1:24" x14ac:dyDescent="0.25">
      <c r="A484" s="14"/>
      <c r="B484" s="15"/>
      <c r="C484" s="41" t="str">
        <f>+$C468</f>
        <v>Year to Date 2024/2025</v>
      </c>
      <c r="D484" s="18"/>
      <c r="E484" s="18"/>
      <c r="F484" s="18"/>
      <c r="G484" s="20" t="str">
        <f>+$G$4</f>
        <v>Week</v>
      </c>
      <c r="H484" s="20" t="str">
        <f>+G484</f>
        <v>Week</v>
      </c>
      <c r="I484" s="20" t="str">
        <f t="shared" si="123"/>
        <v>Week</v>
      </c>
      <c r="J484" s="20" t="str">
        <f t="shared" si="123"/>
        <v>Week</v>
      </c>
      <c r="K484" s="20" t="str">
        <f t="shared" si="123"/>
        <v>Week</v>
      </c>
      <c r="L484" s="20" t="str">
        <f t="shared" si="123"/>
        <v>Week</v>
      </c>
      <c r="M484" s="20" t="str">
        <f t="shared" si="123"/>
        <v>Week</v>
      </c>
      <c r="N484" s="21"/>
    </row>
    <row r="485" spans="1:24" ht="15.75" thickBot="1" x14ac:dyDescent="0.3">
      <c r="A485" s="14"/>
      <c r="B485" s="22"/>
      <c r="C485" s="23"/>
      <c r="D485" s="23"/>
      <c r="E485" s="23"/>
      <c r="F485" s="23"/>
      <c r="G485" s="25">
        <f>+$G$5</f>
        <v>1</v>
      </c>
      <c r="H485" s="25">
        <f>+$H$5</f>
        <v>2</v>
      </c>
      <c r="I485" s="25">
        <f>+$I$5</f>
        <v>3</v>
      </c>
      <c r="J485" s="25">
        <f>+$J$5</f>
        <v>4</v>
      </c>
      <c r="K485" s="25">
        <f>+$K$5</f>
        <v>5</v>
      </c>
      <c r="L485" s="25" t="s">
        <v>6</v>
      </c>
      <c r="M485" s="25" t="s">
        <v>7</v>
      </c>
      <c r="N485" s="26"/>
    </row>
    <row r="486" spans="1:24" x14ac:dyDescent="0.25">
      <c r="A486" s="14"/>
      <c r="B486" s="27"/>
      <c r="C486" s="28"/>
      <c r="D486" s="28"/>
      <c r="E486" s="28"/>
      <c r="F486" s="28"/>
      <c r="G486" s="29"/>
      <c r="H486" s="29"/>
      <c r="I486" s="29"/>
      <c r="J486" s="29"/>
      <c r="K486" s="28"/>
      <c r="L486" s="28"/>
      <c r="M486" s="28"/>
      <c r="N486" s="30"/>
    </row>
    <row r="487" spans="1:24" x14ac:dyDescent="0.25">
      <c r="A487" s="14"/>
      <c r="B487" s="27"/>
      <c r="C487" s="28" t="s">
        <v>8</v>
      </c>
      <c r="D487" s="28"/>
      <c r="E487" s="28"/>
      <c r="F487" s="28"/>
      <c r="G487" s="31" t="e">
        <f>SUM(G488:G491)</f>
        <v>#REF!</v>
      </c>
      <c r="H487" s="31" t="e">
        <f t="shared" ref="H487:L487" si="124">SUM(H488:H491)</f>
        <v>#REF!</v>
      </c>
      <c r="I487" s="31" t="e">
        <f t="shared" si="124"/>
        <v>#REF!</v>
      </c>
      <c r="J487" s="31" t="e">
        <f t="shared" si="124"/>
        <v>#REF!</v>
      </c>
      <c r="K487" s="31" t="e">
        <f t="shared" si="124"/>
        <v>#REF!</v>
      </c>
      <c r="L487" s="31" t="e">
        <f t="shared" si="124"/>
        <v>#REF!</v>
      </c>
      <c r="M487" s="31" t="e">
        <f>ROUND((L487/$E$1),0)</f>
        <v>#REF!</v>
      </c>
      <c r="N487" s="32"/>
    </row>
    <row r="488" spans="1:24" x14ac:dyDescent="0.25">
      <c r="A488" s="14"/>
      <c r="B488" s="27"/>
      <c r="C488" s="28"/>
      <c r="D488" s="28" t="s">
        <v>9</v>
      </c>
      <c r="E488" s="28"/>
      <c r="F488" s="28"/>
      <c r="G488" s="42" t="e">
        <f>+'Jul-24'!G488+'Aug-24'!G488+'Sep-24'!G488+'Oct-24'!G488+'Nov-24'!G488+'Dec-24'!G488+'Jan-25'!G488+'Feb-25'!G488+#REF!+#REF!+#REF!+'Dec-25'!G488</f>
        <v>#REF!</v>
      </c>
      <c r="H488" s="42" t="e">
        <f>+'Jul-24'!H488+'Aug-24'!H488+'Sep-24'!H488+'Oct-24'!H488+'Nov-24'!H488+'Dec-24'!H488+'Jan-25'!H488+'Feb-25'!H488+#REF!+#REF!+#REF!+'Dec-25'!H488</f>
        <v>#REF!</v>
      </c>
      <c r="I488" s="42" t="e">
        <f>+'Jul-24'!I488+'Aug-24'!I488+'Sep-24'!I488+'Oct-24'!I488+'Nov-24'!I488+'Dec-24'!I488+'Jan-25'!I488+'Feb-25'!I488+#REF!+#REF!+#REF!+'Dec-25'!I488</f>
        <v>#REF!</v>
      </c>
      <c r="J488" s="42" t="e">
        <f>+'Jul-24'!J488+'Aug-24'!J488+'Sep-24'!J488+'Oct-24'!J488+'Nov-24'!J488+'Dec-24'!J488+'Jan-25'!J488+'Feb-25'!J488+#REF!+#REF!+#REF!+'Dec-25'!J488</f>
        <v>#REF!</v>
      </c>
      <c r="K488" s="42" t="e">
        <f>+'Jul-24'!K488+'Aug-24'!K488+'Sep-24'!K488+'Oct-24'!K488+'Nov-24'!K488+'Dec-24'!K488+'Jan-25'!K488+'Feb-25'!K488+#REF!+#REF!+#REF!+'Dec-25'!K488</f>
        <v>#REF!</v>
      </c>
      <c r="L488" s="35" t="e">
        <f>SUM(G488:K488)</f>
        <v>#REF!</v>
      </c>
      <c r="M488" s="35" t="e">
        <f t="shared" ref="M488:M496" si="125">ROUND((L488/$E$1),0)</f>
        <v>#REF!</v>
      </c>
      <c r="N488" s="32"/>
    </row>
    <row r="489" spans="1:24" x14ac:dyDescent="0.25">
      <c r="A489" s="14"/>
      <c r="B489" s="27"/>
      <c r="C489" s="28"/>
      <c r="D489" s="28" t="s">
        <v>10</v>
      </c>
      <c r="E489" s="28"/>
      <c r="F489" s="28"/>
      <c r="G489" s="42" t="e">
        <f>+'Jul-24'!G489+'Aug-24'!G489+'Sep-24'!G489+'Oct-24'!G489+'Nov-24'!G489+'Dec-24'!G489+'Jan-25'!G489+'Feb-25'!G489+#REF!+#REF!+#REF!+'Dec-25'!G489</f>
        <v>#REF!</v>
      </c>
      <c r="H489" s="42" t="e">
        <f>+'Jul-24'!H489+'Aug-24'!H489+'Sep-24'!H489+'Oct-24'!H489+'Nov-24'!H489+'Dec-24'!H489+'Jan-25'!H489+'Feb-25'!H489+#REF!+#REF!+#REF!+'Dec-25'!H489</f>
        <v>#REF!</v>
      </c>
      <c r="I489" s="42" t="e">
        <f>+'Jul-24'!I489+'Aug-24'!I489+'Sep-24'!I489+'Oct-24'!I489+'Nov-24'!I489+'Dec-24'!I489+'Jan-25'!I489+'Feb-25'!I489+#REF!+#REF!+#REF!+'Dec-25'!I489</f>
        <v>#REF!</v>
      </c>
      <c r="J489" s="42" t="e">
        <f>+'Jul-24'!J489+'Aug-24'!J489+'Sep-24'!J489+'Oct-24'!J489+'Nov-24'!J489+'Dec-24'!J489+'Jan-25'!J489+'Feb-25'!J489+#REF!+#REF!+#REF!+'Dec-25'!J489</f>
        <v>#REF!</v>
      </c>
      <c r="K489" s="42" t="e">
        <f>+'Jul-24'!K489+'Aug-24'!K489+'Sep-24'!K489+'Oct-24'!K489+'Nov-24'!K489+'Dec-24'!K489+'Jan-25'!K489+'Feb-25'!K489+#REF!+#REF!+#REF!+'Dec-25'!K489</f>
        <v>#REF!</v>
      </c>
      <c r="L489" s="35" t="e">
        <f t="shared" ref="L489:L496" si="126">SUM(G489:K489)</f>
        <v>#REF!</v>
      </c>
      <c r="M489" s="35" t="e">
        <f t="shared" si="125"/>
        <v>#REF!</v>
      </c>
      <c r="N489" s="32"/>
    </row>
    <row r="490" spans="1:24" x14ac:dyDescent="0.25">
      <c r="A490" s="14"/>
      <c r="B490" s="27"/>
      <c r="C490" s="28"/>
      <c r="D490" s="28" t="s">
        <v>11</v>
      </c>
      <c r="E490" s="28"/>
      <c r="F490" s="28"/>
      <c r="G490" s="42" t="e">
        <f>+'Jul-24'!G490+'Aug-24'!G490+'Sep-24'!G490+'Oct-24'!G490+'Nov-24'!G490+'Dec-24'!G490+'Jan-25'!G490+'Feb-25'!G490+#REF!+#REF!+#REF!+'Dec-25'!G490</f>
        <v>#REF!</v>
      </c>
      <c r="H490" s="42" t="e">
        <f>+'Jul-24'!H490+'Aug-24'!H490+'Sep-24'!H490+'Oct-24'!H490+'Nov-24'!H490+'Dec-24'!H490+'Jan-25'!H490+'Feb-25'!H490+#REF!+#REF!+#REF!+'Dec-25'!H490</f>
        <v>#REF!</v>
      </c>
      <c r="I490" s="42" t="e">
        <f>+'Jul-24'!I490+'Aug-24'!I490+'Sep-24'!I490+'Oct-24'!I490+'Nov-24'!I490+'Dec-24'!I490+'Jan-25'!I490+'Feb-25'!I490+#REF!+#REF!+#REF!+'Dec-25'!I490</f>
        <v>#REF!</v>
      </c>
      <c r="J490" s="42" t="e">
        <f>+'Jul-24'!J490+'Aug-24'!J490+'Sep-24'!J490+'Oct-24'!J490+'Nov-24'!J490+'Dec-24'!J490+'Jan-25'!J490+'Feb-25'!J490+#REF!+#REF!+#REF!+'Dec-25'!J490</f>
        <v>#REF!</v>
      </c>
      <c r="K490" s="42" t="e">
        <f>+'Jul-24'!K490+'Aug-24'!K490+'Sep-24'!K490+'Oct-24'!K490+'Nov-24'!K490+'Dec-24'!K490+'Jan-25'!K490+'Feb-25'!K490+#REF!+#REF!+#REF!+'Dec-25'!K490</f>
        <v>#REF!</v>
      </c>
      <c r="L490" s="35" t="e">
        <f t="shared" si="126"/>
        <v>#REF!</v>
      </c>
      <c r="M490" s="35" t="e">
        <f t="shared" si="125"/>
        <v>#REF!</v>
      </c>
      <c r="N490" s="32"/>
    </row>
    <row r="491" spans="1:24" x14ac:dyDescent="0.25">
      <c r="A491" s="14"/>
      <c r="B491" s="27"/>
      <c r="C491" s="28"/>
      <c r="D491" s="28" t="s">
        <v>12</v>
      </c>
      <c r="E491" s="28"/>
      <c r="F491" s="28"/>
      <c r="G491" s="43" t="e">
        <f>+'Jul-24'!G491+'Aug-24'!G491+'Sep-24'!G491+'Oct-24'!G491+'Nov-24'!G491+'Dec-24'!G491+'Jan-25'!G491+'Feb-25'!G491+#REF!+#REF!+#REF!+'Dec-25'!G491</f>
        <v>#REF!</v>
      </c>
      <c r="H491" s="43" t="e">
        <f>+'Jul-24'!H491+'Aug-24'!H491+'Sep-24'!H491+'Oct-24'!H491+'Nov-24'!H491+'Dec-24'!H491+'Jan-25'!H491+'Feb-25'!H491+#REF!+#REF!+#REF!+'Dec-25'!H491</f>
        <v>#REF!</v>
      </c>
      <c r="I491" s="43" t="e">
        <f>+'Jul-24'!I491+'Aug-24'!I491+'Sep-24'!I491+'Oct-24'!I491+'Nov-24'!I491+'Dec-24'!I491+'Jan-25'!I491+'Feb-25'!I491+#REF!+#REF!+#REF!+'Dec-25'!I491</f>
        <v>#REF!</v>
      </c>
      <c r="J491" s="43" t="e">
        <f>+'Jul-24'!J491+'Aug-24'!J491+'Sep-24'!J491+'Oct-24'!J491+'Nov-24'!J491+'Dec-24'!J491+'Jan-25'!J491+'Feb-25'!J491+#REF!+#REF!+#REF!+'Dec-25'!J491</f>
        <v>#REF!</v>
      </c>
      <c r="K491" s="43" t="e">
        <f>+'Jul-24'!K491+'Aug-24'!K491+'Sep-24'!K491+'Oct-24'!K491+'Nov-24'!K491+'Dec-24'!K491+'Jan-25'!K491+'Feb-25'!K491+#REF!+#REF!+#REF!+'Dec-25'!K491</f>
        <v>#REF!</v>
      </c>
      <c r="L491" s="31" t="e">
        <f t="shared" si="126"/>
        <v>#REF!</v>
      </c>
      <c r="M491" s="31" t="e">
        <f t="shared" si="125"/>
        <v>#REF!</v>
      </c>
      <c r="N491" s="32"/>
    </row>
    <row r="492" spans="1:24" x14ac:dyDescent="0.25">
      <c r="A492" s="14"/>
      <c r="B492" s="27"/>
      <c r="C492" s="28" t="s">
        <v>13</v>
      </c>
      <c r="D492" s="28"/>
      <c r="E492" s="28"/>
      <c r="F492" s="28"/>
      <c r="G492" s="42" t="e">
        <f>+'Jul-24'!G492+'Aug-24'!G492+'Sep-24'!G492+'Oct-24'!G492+'Nov-24'!G492+'Dec-24'!G492+'Jan-25'!G492+'Feb-25'!G492+#REF!+#REF!+#REF!+'Dec-25'!G492</f>
        <v>#REF!</v>
      </c>
      <c r="H492" s="42" t="e">
        <f>+'Jul-24'!H492+'Aug-24'!H492+'Sep-24'!H492+'Oct-24'!H492+'Nov-24'!H492+'Dec-24'!H492+'Jan-25'!H492+'Feb-25'!H492+#REF!+#REF!+#REF!+'Dec-25'!H492</f>
        <v>#REF!</v>
      </c>
      <c r="I492" s="42" t="e">
        <f>+'Jul-24'!I492+'Aug-24'!I492+'Sep-24'!I492+'Oct-24'!I492+'Nov-24'!I492+'Dec-24'!I492+'Jan-25'!I492+'Feb-25'!I492+#REF!+#REF!+#REF!+'Dec-25'!I492</f>
        <v>#REF!</v>
      </c>
      <c r="J492" s="42" t="e">
        <f>+'Jul-24'!J492+'Aug-24'!J492+'Sep-24'!J492+'Oct-24'!J492+'Nov-24'!J492+'Dec-24'!J492+'Jan-25'!J492+'Feb-25'!J492+#REF!+#REF!+#REF!+'Dec-25'!J492</f>
        <v>#REF!</v>
      </c>
      <c r="K492" s="42" t="e">
        <f>+'Jul-24'!K492+'Aug-24'!K492+'Sep-24'!K492+'Oct-24'!K492+'Nov-24'!K492+'Dec-24'!K492+'Jan-25'!K492+'Feb-25'!K492+#REF!+#REF!+#REF!+'Dec-25'!K492</f>
        <v>#REF!</v>
      </c>
      <c r="L492" s="35" t="e">
        <f t="shared" si="126"/>
        <v>#REF!</v>
      </c>
      <c r="M492" s="35" t="e">
        <f t="shared" si="125"/>
        <v>#REF!</v>
      </c>
      <c r="N492" s="32"/>
    </row>
    <row r="493" spans="1:24" x14ac:dyDescent="0.25">
      <c r="A493" s="14"/>
      <c r="B493" s="27"/>
      <c r="C493" s="28" t="s">
        <v>14</v>
      </c>
      <c r="D493" s="28"/>
      <c r="E493" s="28"/>
      <c r="F493" s="28"/>
      <c r="G493" s="42" t="e">
        <f>+'Jul-24'!G493+'Aug-24'!G493+'Sep-24'!G493+'Oct-24'!G493+'Nov-24'!G493+'Dec-24'!G493+'Jan-25'!G493+'Feb-25'!G493+#REF!+#REF!+#REF!+'Dec-25'!G493</f>
        <v>#REF!</v>
      </c>
      <c r="H493" s="42" t="e">
        <f>+'Jul-24'!H493+'Aug-24'!H493+'Sep-24'!H493+'Oct-24'!H493+'Nov-24'!H493+'Dec-24'!H493+'Jan-25'!H493+'Feb-25'!H493+#REF!+#REF!+#REF!+'Dec-25'!H493</f>
        <v>#REF!</v>
      </c>
      <c r="I493" s="42" t="e">
        <f>+'Jul-24'!I493+'Aug-24'!I493+'Sep-24'!I493+'Oct-24'!I493+'Nov-24'!I493+'Dec-24'!I493+'Jan-25'!I493+'Feb-25'!I493+#REF!+#REF!+#REF!+'Dec-25'!I493</f>
        <v>#REF!</v>
      </c>
      <c r="J493" s="42" t="e">
        <f>+'Jul-24'!J493+'Aug-24'!J493+'Sep-24'!J493+'Oct-24'!J493+'Nov-24'!J493+'Dec-24'!J493+'Jan-25'!J493+'Feb-25'!J493+#REF!+#REF!+#REF!+'Dec-25'!J493</f>
        <v>#REF!</v>
      </c>
      <c r="K493" s="42" t="e">
        <f>+'Jul-24'!K493+'Aug-24'!K493+'Sep-24'!K493+'Oct-24'!K493+'Nov-24'!K493+'Dec-24'!K493+'Jan-25'!K493+'Feb-25'!K493+#REF!+#REF!+#REF!+'Dec-25'!K493</f>
        <v>#REF!</v>
      </c>
      <c r="L493" s="35" t="e">
        <f t="shared" si="126"/>
        <v>#REF!</v>
      </c>
      <c r="M493" s="35" t="e">
        <f t="shared" si="125"/>
        <v>#REF!</v>
      </c>
      <c r="N493" s="32"/>
    </row>
    <row r="494" spans="1:24" x14ac:dyDescent="0.25">
      <c r="A494" s="14"/>
      <c r="B494" s="27"/>
      <c r="C494" s="28" t="s">
        <v>4</v>
      </c>
      <c r="D494" s="28"/>
      <c r="E494" s="28"/>
      <c r="F494" s="28"/>
      <c r="G494" s="42" t="e">
        <f>+'Jul-24'!G494+'Aug-24'!G494+'Sep-24'!G494+'Oct-24'!G494+'Nov-24'!G494+'Dec-24'!G494+'Jan-25'!G494+'Feb-25'!G494+#REF!+#REF!+#REF!+'Dec-25'!G494</f>
        <v>#REF!</v>
      </c>
      <c r="H494" s="42" t="e">
        <f>+'Jul-24'!H494+'Aug-24'!H494+'Sep-24'!H494+'Oct-24'!H494+'Nov-24'!H494+'Dec-24'!H494+'Jan-25'!H494+'Feb-25'!H494+#REF!+#REF!+#REF!+'Dec-25'!H494</f>
        <v>#REF!</v>
      </c>
      <c r="I494" s="42" t="e">
        <f>+'Jul-24'!I494+'Aug-24'!I494+'Sep-24'!I494+'Oct-24'!I494+'Nov-24'!I494+'Dec-24'!I494+'Jan-25'!I494+'Feb-25'!I494+#REF!+#REF!+#REF!+'Dec-25'!I494</f>
        <v>#REF!</v>
      </c>
      <c r="J494" s="42" t="e">
        <f>+'Jul-24'!J494+'Aug-24'!J494+'Sep-24'!J494+'Oct-24'!J494+'Nov-24'!J494+'Dec-24'!J494+'Jan-25'!J494+'Feb-25'!J494+#REF!+#REF!+#REF!+'Dec-25'!J494</f>
        <v>#REF!</v>
      </c>
      <c r="K494" s="42" t="e">
        <f>+'Jul-24'!K494+'Aug-24'!K494+'Sep-24'!K494+'Oct-24'!K494+'Nov-24'!K494+'Dec-24'!K494+'Jan-25'!K494+'Feb-25'!K494+#REF!+#REF!+#REF!+'Dec-25'!K494</f>
        <v>#REF!</v>
      </c>
      <c r="L494" s="35" t="e">
        <f t="shared" si="126"/>
        <v>#REF!</v>
      </c>
      <c r="M494" s="35" t="e">
        <f t="shared" si="125"/>
        <v>#REF!</v>
      </c>
      <c r="N494" s="32"/>
    </row>
    <row r="495" spans="1:24" x14ac:dyDescent="0.25">
      <c r="A495" s="14"/>
      <c r="B495" s="27"/>
      <c r="C495" s="28" t="s">
        <v>15</v>
      </c>
      <c r="D495" s="28"/>
      <c r="E495" s="28"/>
      <c r="F495" s="28"/>
      <c r="G495" s="42" t="e">
        <f>+'Jul-24'!G495+'Aug-24'!G495+'Sep-24'!G495+'Oct-24'!G495+'Nov-24'!G495+'Dec-24'!G495+'Jan-25'!G495+'Feb-25'!G495+#REF!+#REF!+#REF!+'Dec-25'!G495</f>
        <v>#REF!</v>
      </c>
      <c r="H495" s="42" t="e">
        <f>+'Jul-24'!H495+'Aug-24'!H495+'Sep-24'!H495+'Oct-24'!H495+'Nov-24'!H495+'Dec-24'!H495+'Jan-25'!H495+'Feb-25'!H495+#REF!+#REF!+#REF!+'Dec-25'!H495</f>
        <v>#REF!</v>
      </c>
      <c r="I495" s="42" t="e">
        <f>+'Jul-24'!I495+'Aug-24'!I495+'Sep-24'!I495+'Oct-24'!I495+'Nov-24'!I495+'Dec-24'!I495+'Jan-25'!I495+'Feb-25'!I495+#REF!+#REF!+#REF!+'Dec-25'!I495</f>
        <v>#REF!</v>
      </c>
      <c r="J495" s="42" t="e">
        <f>+'Jul-24'!J495+'Aug-24'!J495+'Sep-24'!J495+'Oct-24'!J495+'Nov-24'!J495+'Dec-24'!J495+'Jan-25'!J495+'Feb-25'!J495+#REF!+#REF!+#REF!+'Dec-25'!J495</f>
        <v>#REF!</v>
      </c>
      <c r="K495" s="42" t="e">
        <f>+'Jul-24'!K495+'Aug-24'!K495+'Sep-24'!K495+'Oct-24'!K495+'Nov-24'!K495+'Dec-24'!K495+'Jan-25'!K495+'Feb-25'!K495+#REF!+#REF!+#REF!+'Dec-25'!K495</f>
        <v>#REF!</v>
      </c>
      <c r="L495" s="35" t="e">
        <f t="shared" si="126"/>
        <v>#REF!</v>
      </c>
      <c r="M495" s="35" t="e">
        <f t="shared" si="125"/>
        <v>#REF!</v>
      </c>
      <c r="N495" s="32"/>
    </row>
    <row r="496" spans="1:24" x14ac:dyDescent="0.25">
      <c r="A496" s="14"/>
      <c r="B496" s="27"/>
      <c r="C496" s="28" t="s">
        <v>16</v>
      </c>
      <c r="D496" s="28"/>
      <c r="E496" s="28"/>
      <c r="F496" s="28"/>
      <c r="G496" s="42" t="e">
        <f>+'Jul-24'!G496+'Aug-24'!G496+'Sep-24'!G496+'Oct-24'!G496+'Nov-24'!G496+'Dec-24'!G496+'Jan-25'!G496+'Feb-25'!G496+#REF!+#REF!+#REF!+'Dec-25'!G496</f>
        <v>#REF!</v>
      </c>
      <c r="H496" s="42" t="e">
        <f>+'Jul-24'!H496+'Aug-24'!H496+'Sep-24'!H496+'Oct-24'!H496+'Nov-24'!H496+'Dec-24'!H496+'Jan-25'!H496+'Feb-25'!H496+#REF!+#REF!+#REF!+'Dec-25'!H496</f>
        <v>#REF!</v>
      </c>
      <c r="I496" s="42" t="e">
        <f>+'Jul-24'!I496+'Aug-24'!I496+'Sep-24'!I496+'Oct-24'!I496+'Nov-24'!I496+'Dec-24'!I496+'Jan-25'!I496+'Feb-25'!I496+#REF!+#REF!+#REF!+'Dec-25'!I496</f>
        <v>#REF!</v>
      </c>
      <c r="J496" s="42" t="e">
        <f>+'Jul-24'!J496+'Aug-24'!J496+'Sep-24'!J496+'Oct-24'!J496+'Nov-24'!J496+'Dec-24'!J496+'Jan-25'!J496+'Feb-25'!J496+#REF!+#REF!+#REF!+'Dec-25'!J496</f>
        <v>#REF!</v>
      </c>
      <c r="K496" s="42" t="e">
        <f>+'Jul-24'!K496+'Aug-24'!K496+'Sep-24'!K496+'Oct-24'!K496+'Nov-24'!K496+'Dec-24'!K496+'Jan-25'!K496+'Feb-25'!K496+#REF!+#REF!+#REF!+'Dec-25'!K496</f>
        <v>#REF!</v>
      </c>
      <c r="L496" s="35" t="e">
        <f t="shared" si="126"/>
        <v>#REF!</v>
      </c>
      <c r="M496" s="35" t="e">
        <f t="shared" si="125"/>
        <v>#REF!</v>
      </c>
      <c r="N496" s="32"/>
    </row>
    <row r="497" spans="1:24" ht="15.75" thickBot="1" x14ac:dyDescent="0.3">
      <c r="A497" s="14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4">
        <f>+A483+1</f>
        <v>31</v>
      </c>
      <c r="B499" s="40"/>
      <c r="C499" s="6" t="s">
        <v>47</v>
      </c>
      <c r="D499" s="7"/>
      <c r="E499" s="8"/>
      <c r="F499" s="8"/>
      <c r="G499" s="10">
        <f>+$G$3</f>
        <v>2024</v>
      </c>
      <c r="H499" s="10">
        <f>+G499</f>
        <v>2024</v>
      </c>
      <c r="I499" s="10">
        <f t="shared" ref="I499:M500" si="127">+H499</f>
        <v>2024</v>
      </c>
      <c r="J499" s="10">
        <f t="shared" si="127"/>
        <v>2024</v>
      </c>
      <c r="K499" s="10">
        <f t="shared" si="127"/>
        <v>2024</v>
      </c>
      <c r="L499" s="10">
        <f t="shared" si="127"/>
        <v>2024</v>
      </c>
      <c r="M499" s="10">
        <f t="shared" si="127"/>
        <v>2024</v>
      </c>
      <c r="N499" s="11"/>
      <c r="S499" s="12" t="str">
        <f>+C499</f>
        <v>Sigengeni (Shiselweni)</v>
      </c>
      <c r="T499" s="13" t="e">
        <f>+L503</f>
        <v>#REF!</v>
      </c>
      <c r="U499" s="13" t="e">
        <f>+L504+L505</f>
        <v>#REF!</v>
      </c>
      <c r="V499" s="13" t="e">
        <f>+L506+L507</f>
        <v>#REF!</v>
      </c>
      <c r="W499" s="13" t="e">
        <f>+L510</f>
        <v>#REF!</v>
      </c>
      <c r="X499" s="13" t="e">
        <f>+L508</f>
        <v>#REF!</v>
      </c>
    </row>
    <row r="500" spans="1:24" x14ac:dyDescent="0.25">
      <c r="A500" s="14"/>
      <c r="B500" s="15"/>
      <c r="C500" s="41" t="str">
        <f>+$C484</f>
        <v>Year to Date 2024/2025</v>
      </c>
      <c r="D500" s="18"/>
      <c r="E500" s="18"/>
      <c r="F500" s="18"/>
      <c r="G500" s="20" t="str">
        <f>+$G$4</f>
        <v>Week</v>
      </c>
      <c r="H500" s="20" t="str">
        <f>+G500</f>
        <v>Week</v>
      </c>
      <c r="I500" s="20" t="str">
        <f t="shared" si="127"/>
        <v>Week</v>
      </c>
      <c r="J500" s="20" t="str">
        <f t="shared" si="127"/>
        <v>Week</v>
      </c>
      <c r="K500" s="20" t="str">
        <f t="shared" si="127"/>
        <v>Week</v>
      </c>
      <c r="L500" s="20" t="str">
        <f t="shared" si="127"/>
        <v>Week</v>
      </c>
      <c r="M500" s="20" t="str">
        <f t="shared" si="127"/>
        <v>Week</v>
      </c>
      <c r="N500" s="21"/>
    </row>
    <row r="501" spans="1:24" ht="15.75" thickBot="1" x14ac:dyDescent="0.3">
      <c r="A501" s="14"/>
      <c r="B501" s="22"/>
      <c r="C501" s="23"/>
      <c r="D501" s="23"/>
      <c r="E501" s="23"/>
      <c r="F501" s="23"/>
      <c r="G501" s="25">
        <f>+$G$5</f>
        <v>1</v>
      </c>
      <c r="H501" s="25">
        <f>+$H$5</f>
        <v>2</v>
      </c>
      <c r="I501" s="25">
        <f>+$I$5</f>
        <v>3</v>
      </c>
      <c r="J501" s="25">
        <f>+$J$5</f>
        <v>4</v>
      </c>
      <c r="K501" s="25">
        <f>+$K$5</f>
        <v>5</v>
      </c>
      <c r="L501" s="25" t="s">
        <v>6</v>
      </c>
      <c r="M501" s="25" t="s">
        <v>7</v>
      </c>
      <c r="N501" s="26"/>
    </row>
    <row r="502" spans="1:24" x14ac:dyDescent="0.25">
      <c r="A502" s="14"/>
      <c r="B502" s="27"/>
      <c r="C502" s="28"/>
      <c r="D502" s="28"/>
      <c r="E502" s="28"/>
      <c r="F502" s="28"/>
      <c r="G502" s="29"/>
      <c r="H502" s="29"/>
      <c r="I502" s="29"/>
      <c r="J502" s="29"/>
      <c r="K502" s="28"/>
      <c r="L502" s="28"/>
      <c r="M502" s="28"/>
      <c r="N502" s="30"/>
    </row>
    <row r="503" spans="1:24" x14ac:dyDescent="0.25">
      <c r="A503" s="14"/>
      <c r="B503" s="27"/>
      <c r="C503" s="28" t="s">
        <v>8</v>
      </c>
      <c r="D503" s="28"/>
      <c r="E503" s="28"/>
      <c r="F503" s="28"/>
      <c r="G503" s="31" t="e">
        <f>SUM(G504:G507)</f>
        <v>#REF!</v>
      </c>
      <c r="H503" s="31" t="e">
        <f t="shared" ref="H503:L503" si="128">SUM(H504:H507)</f>
        <v>#REF!</v>
      </c>
      <c r="I503" s="31" t="e">
        <f t="shared" si="128"/>
        <v>#REF!</v>
      </c>
      <c r="J503" s="31" t="e">
        <f t="shared" si="128"/>
        <v>#REF!</v>
      </c>
      <c r="K503" s="31" t="e">
        <f t="shared" si="128"/>
        <v>#REF!</v>
      </c>
      <c r="L503" s="31" t="e">
        <f t="shared" si="128"/>
        <v>#REF!</v>
      </c>
      <c r="M503" s="31" t="e">
        <f>ROUND((L503/$E$1),0)</f>
        <v>#REF!</v>
      </c>
      <c r="N503" s="32"/>
      <c r="Q503" s="49"/>
    </row>
    <row r="504" spans="1:24" x14ac:dyDescent="0.25">
      <c r="A504" s="14"/>
      <c r="B504" s="27"/>
      <c r="C504" s="28"/>
      <c r="D504" s="28" t="s">
        <v>9</v>
      </c>
      <c r="E504" s="28"/>
      <c r="F504" s="28"/>
      <c r="G504" s="42" t="e">
        <f>+'Jul-24'!G504+'Aug-24'!G504+'Sep-24'!G504+'Oct-24'!G504+'Nov-24'!G504+'Dec-24'!G504+'Jan-25'!G504+'Feb-25'!G504+#REF!+#REF!+#REF!+'Dec-25'!G504</f>
        <v>#REF!</v>
      </c>
      <c r="H504" s="42" t="e">
        <f>+'Jul-24'!H504+'Aug-24'!H504+'Sep-24'!H504+'Oct-24'!H504+'Nov-24'!H504+'Dec-24'!H504+'Jan-25'!H504+'Feb-25'!H504+#REF!+#REF!+#REF!+'Dec-25'!H504</f>
        <v>#REF!</v>
      </c>
      <c r="I504" s="42" t="e">
        <f>+'Jul-24'!I504+'Aug-24'!I504+'Sep-24'!I504+'Oct-24'!I504+'Nov-24'!I504+'Dec-24'!I504+'Jan-25'!I504+'Feb-25'!I504+#REF!+#REF!+#REF!+'Dec-25'!I504</f>
        <v>#REF!</v>
      </c>
      <c r="J504" s="42" t="e">
        <f>+'Jul-24'!J504+'Aug-24'!J504+'Sep-24'!J504+'Oct-24'!J504+'Nov-24'!J504+'Dec-24'!J504+'Jan-25'!J504+'Feb-25'!J504+#REF!+#REF!+#REF!+'Dec-25'!J504</f>
        <v>#REF!</v>
      </c>
      <c r="K504" s="42" t="e">
        <f>+'Jul-24'!K504+'Aug-24'!K504+'Sep-24'!K504+'Oct-24'!K504+'Nov-24'!K504+'Dec-24'!K504+'Jan-25'!K504+'Feb-25'!K504+#REF!+#REF!+#REF!+'Dec-25'!K504</f>
        <v>#REF!</v>
      </c>
      <c r="L504" s="35" t="e">
        <f>SUM(G504:K504)</f>
        <v>#REF!</v>
      </c>
      <c r="M504" s="35" t="e">
        <f t="shared" ref="M504:M512" si="129">ROUND((L504/$E$1),0)</f>
        <v>#REF!</v>
      </c>
      <c r="N504" s="32"/>
    </row>
    <row r="505" spans="1:24" x14ac:dyDescent="0.25">
      <c r="A505" s="14"/>
      <c r="B505" s="27"/>
      <c r="C505" s="28"/>
      <c r="D505" s="28" t="s">
        <v>10</v>
      </c>
      <c r="E505" s="28"/>
      <c r="F505" s="28"/>
      <c r="G505" s="42" t="e">
        <f>+'Jul-24'!G505+'Aug-24'!G505+'Sep-24'!G505+'Oct-24'!G505+'Nov-24'!G505+'Dec-24'!G505+'Jan-25'!G505+'Feb-25'!G505+#REF!+#REF!+#REF!+'Dec-25'!G505</f>
        <v>#REF!</v>
      </c>
      <c r="H505" s="42" t="e">
        <f>+'Jul-24'!H505+'Aug-24'!H505+'Sep-24'!H505+'Oct-24'!H505+'Nov-24'!H505+'Dec-24'!H505+'Jan-25'!H505+'Feb-25'!H505+#REF!+#REF!+#REF!+'Dec-25'!H505</f>
        <v>#REF!</v>
      </c>
      <c r="I505" s="42" t="e">
        <f>+'Jul-24'!I505+'Aug-24'!I505+'Sep-24'!I505+'Oct-24'!I505+'Nov-24'!I505+'Dec-24'!I505+'Jan-25'!I505+'Feb-25'!I505+#REF!+#REF!+#REF!+'Dec-25'!I505</f>
        <v>#REF!</v>
      </c>
      <c r="J505" s="42" t="e">
        <f>+'Jul-24'!J505+'Aug-24'!J505+'Sep-24'!J505+'Oct-24'!J505+'Nov-24'!J505+'Dec-24'!J505+'Jan-25'!J505+'Feb-25'!J505+#REF!+#REF!+#REF!+'Dec-25'!J505</f>
        <v>#REF!</v>
      </c>
      <c r="K505" s="42" t="e">
        <f>+'Jul-24'!K505+'Aug-24'!K505+'Sep-24'!K505+'Oct-24'!K505+'Nov-24'!K505+'Dec-24'!K505+'Jan-25'!K505+'Feb-25'!K505+#REF!+#REF!+#REF!+'Dec-25'!K505</f>
        <v>#REF!</v>
      </c>
      <c r="L505" s="35" t="e">
        <f t="shared" ref="L505:L512" si="130">SUM(G505:K505)</f>
        <v>#REF!</v>
      </c>
      <c r="M505" s="35" t="e">
        <f t="shared" si="129"/>
        <v>#REF!</v>
      </c>
      <c r="N505" s="32"/>
    </row>
    <row r="506" spans="1:24" x14ac:dyDescent="0.25">
      <c r="A506" s="14"/>
      <c r="B506" s="27"/>
      <c r="C506" s="28"/>
      <c r="D506" s="28" t="s">
        <v>11</v>
      </c>
      <c r="E506" s="28"/>
      <c r="F506" s="28"/>
      <c r="G506" s="42" t="e">
        <f>+'Jul-24'!G506+'Aug-24'!G506+'Sep-24'!G506+'Oct-24'!G506+'Nov-24'!G506+'Dec-24'!G506+'Jan-25'!G506+'Feb-25'!G506+#REF!+#REF!+#REF!+'Dec-25'!G506</f>
        <v>#REF!</v>
      </c>
      <c r="H506" s="42" t="e">
        <f>+'Jul-24'!H506+'Aug-24'!H506+'Sep-24'!H506+'Oct-24'!H506+'Nov-24'!H506+'Dec-24'!H506+'Jan-25'!H506+'Feb-25'!H506+#REF!+#REF!+#REF!+'Dec-25'!H506</f>
        <v>#REF!</v>
      </c>
      <c r="I506" s="42" t="e">
        <f>+'Jul-24'!I506+'Aug-24'!I506+'Sep-24'!I506+'Oct-24'!I506+'Nov-24'!I506+'Dec-24'!I506+'Jan-25'!I506+'Feb-25'!I506+#REF!+#REF!+#REF!+'Dec-25'!I506</f>
        <v>#REF!</v>
      </c>
      <c r="J506" s="42" t="e">
        <f>+'Jul-24'!J506+'Aug-24'!J506+'Sep-24'!J506+'Oct-24'!J506+'Nov-24'!J506+'Dec-24'!J506+'Jan-25'!J506+'Feb-25'!J506+#REF!+#REF!+#REF!+'Dec-25'!J506</f>
        <v>#REF!</v>
      </c>
      <c r="K506" s="42" t="e">
        <f>+'Jul-24'!K506+'Aug-24'!K506+'Sep-24'!K506+'Oct-24'!K506+'Nov-24'!K506+'Dec-24'!K506+'Jan-25'!K506+'Feb-25'!K506+#REF!+#REF!+#REF!+'Dec-25'!K506</f>
        <v>#REF!</v>
      </c>
      <c r="L506" s="35" t="e">
        <f t="shared" si="130"/>
        <v>#REF!</v>
      </c>
      <c r="M506" s="35" t="e">
        <f t="shared" si="129"/>
        <v>#REF!</v>
      </c>
      <c r="N506" s="32"/>
    </row>
    <row r="507" spans="1:24" x14ac:dyDescent="0.25">
      <c r="A507" s="14"/>
      <c r="B507" s="27"/>
      <c r="C507" s="28"/>
      <c r="D507" s="28" t="s">
        <v>12</v>
      </c>
      <c r="E507" s="28"/>
      <c r="F507" s="28"/>
      <c r="G507" s="43" t="e">
        <f>+'Jul-24'!G507+'Aug-24'!G507+'Sep-24'!G507+'Oct-24'!G507+'Nov-24'!G507+'Dec-24'!G507+'Jan-25'!G507+'Feb-25'!G507+#REF!+#REF!+#REF!+'Dec-25'!G507</f>
        <v>#REF!</v>
      </c>
      <c r="H507" s="43" t="e">
        <f>+'Jul-24'!H507+'Aug-24'!H507+'Sep-24'!H507+'Oct-24'!H507+'Nov-24'!H507+'Dec-24'!H507+'Jan-25'!H507+'Feb-25'!H507+#REF!+#REF!+#REF!+'Dec-25'!H507</f>
        <v>#REF!</v>
      </c>
      <c r="I507" s="43" t="e">
        <f>+'Jul-24'!I507+'Aug-24'!I507+'Sep-24'!I507+'Oct-24'!I507+'Nov-24'!I507+'Dec-24'!I507+'Jan-25'!I507+'Feb-25'!I507+#REF!+#REF!+#REF!+'Dec-25'!I507</f>
        <v>#REF!</v>
      </c>
      <c r="J507" s="43" t="e">
        <f>+'Jul-24'!J507+'Aug-24'!J507+'Sep-24'!J507+'Oct-24'!J507+'Nov-24'!J507+'Dec-24'!J507+'Jan-25'!J507+'Feb-25'!J507+#REF!+#REF!+#REF!+'Dec-25'!J507</f>
        <v>#REF!</v>
      </c>
      <c r="K507" s="43" t="e">
        <f>+'Jul-24'!K507+'Aug-24'!K507+'Sep-24'!K507+'Oct-24'!K507+'Nov-24'!K507+'Dec-24'!K507+'Jan-25'!K507+'Feb-25'!K507+#REF!+#REF!+#REF!+'Dec-25'!K507</f>
        <v>#REF!</v>
      </c>
      <c r="L507" s="31" t="e">
        <f t="shared" si="130"/>
        <v>#REF!</v>
      </c>
      <c r="M507" s="31" t="e">
        <f t="shared" si="129"/>
        <v>#REF!</v>
      </c>
      <c r="N507" s="32"/>
    </row>
    <row r="508" spans="1:24" x14ac:dyDescent="0.25">
      <c r="A508" s="14"/>
      <c r="B508" s="27"/>
      <c r="C508" s="28" t="s">
        <v>13</v>
      </c>
      <c r="D508" s="28"/>
      <c r="E508" s="28"/>
      <c r="F508" s="28"/>
      <c r="G508" s="42" t="e">
        <f>+'Jul-24'!G508+'Aug-24'!G508+'Sep-24'!G508+'Oct-24'!G508+'Nov-24'!G508+'Dec-24'!G508+'Jan-25'!G508+'Feb-25'!G508+#REF!+#REF!+#REF!+'Dec-25'!G508</f>
        <v>#REF!</v>
      </c>
      <c r="H508" s="42" t="e">
        <f>+'Jul-24'!H508+'Aug-24'!H508+'Sep-24'!H508+'Oct-24'!H508+'Nov-24'!H508+'Dec-24'!H508+'Jan-25'!H508+'Feb-25'!H508+#REF!+#REF!+#REF!+'Dec-25'!H508</f>
        <v>#REF!</v>
      </c>
      <c r="I508" s="42" t="e">
        <f>+'Jul-24'!I508+'Aug-24'!I508+'Sep-24'!I508+'Oct-24'!I508+'Nov-24'!I508+'Dec-24'!I508+'Jan-25'!I508+'Feb-25'!I508+#REF!+#REF!+#REF!+'Dec-25'!I508</f>
        <v>#REF!</v>
      </c>
      <c r="J508" s="42" t="e">
        <f>+'Jul-24'!J508+'Aug-24'!J508+'Sep-24'!J508+'Oct-24'!J508+'Nov-24'!J508+'Dec-24'!J508+'Jan-25'!J508+'Feb-25'!J508+#REF!+#REF!+#REF!+'Dec-25'!J508</f>
        <v>#REF!</v>
      </c>
      <c r="K508" s="42" t="e">
        <f>+'Jul-24'!K508+'Aug-24'!K508+'Sep-24'!K508+'Oct-24'!K508+'Nov-24'!K508+'Dec-24'!K508+'Jan-25'!K508+'Feb-25'!K508+#REF!+#REF!+#REF!+'Dec-25'!K508</f>
        <v>#REF!</v>
      </c>
      <c r="L508" s="35" t="e">
        <f t="shared" si="130"/>
        <v>#REF!</v>
      </c>
      <c r="M508" s="35" t="e">
        <f t="shared" si="129"/>
        <v>#REF!</v>
      </c>
      <c r="N508" s="32"/>
    </row>
    <row r="509" spans="1:24" x14ac:dyDescent="0.25">
      <c r="A509" s="14"/>
      <c r="B509" s="27"/>
      <c r="C509" s="28" t="s">
        <v>14</v>
      </c>
      <c r="D509" s="28"/>
      <c r="E509" s="28"/>
      <c r="F509" s="28"/>
      <c r="G509" s="42" t="e">
        <f>+'Jul-24'!G509+'Aug-24'!G509+'Sep-24'!G509+'Oct-24'!G509+'Nov-24'!G509+'Dec-24'!G509+'Jan-25'!G509+'Feb-25'!G509+#REF!+#REF!+#REF!+'Dec-25'!G509</f>
        <v>#REF!</v>
      </c>
      <c r="H509" s="42" t="e">
        <f>+'Jul-24'!H509+'Aug-24'!H509+'Sep-24'!H509+'Oct-24'!H509+'Nov-24'!H509+'Dec-24'!H509+'Jan-25'!H509+'Feb-25'!H509+#REF!+#REF!+#REF!+'Dec-25'!H509</f>
        <v>#REF!</v>
      </c>
      <c r="I509" s="42" t="e">
        <f>+'Jul-24'!I509+'Aug-24'!I509+'Sep-24'!I509+'Oct-24'!I509+'Nov-24'!I509+'Dec-24'!I509+'Jan-25'!I509+'Feb-25'!I509+#REF!+#REF!+#REF!+'Dec-25'!I509</f>
        <v>#REF!</v>
      </c>
      <c r="J509" s="42" t="e">
        <f>+'Jul-24'!J509+'Aug-24'!J509+'Sep-24'!J509+'Oct-24'!J509+'Nov-24'!J509+'Dec-24'!J509+'Jan-25'!J509+'Feb-25'!J509+#REF!+#REF!+#REF!+'Dec-25'!J509</f>
        <v>#REF!</v>
      </c>
      <c r="K509" s="42" t="e">
        <f>+'Jul-24'!K509+'Aug-24'!K509+'Sep-24'!K509+'Oct-24'!K509+'Nov-24'!K509+'Dec-24'!K509+'Jan-25'!K509+'Feb-25'!K509+#REF!+#REF!+#REF!+'Dec-25'!K509</f>
        <v>#REF!</v>
      </c>
      <c r="L509" s="35" t="e">
        <f t="shared" si="130"/>
        <v>#REF!</v>
      </c>
      <c r="M509" s="35" t="e">
        <f t="shared" si="129"/>
        <v>#REF!</v>
      </c>
      <c r="N509" s="32"/>
    </row>
    <row r="510" spans="1:24" x14ac:dyDescent="0.25">
      <c r="A510" s="14"/>
      <c r="B510" s="27"/>
      <c r="C510" s="28" t="s">
        <v>4</v>
      </c>
      <c r="D510" s="28"/>
      <c r="E510" s="28"/>
      <c r="F510" s="28"/>
      <c r="G510" s="42" t="e">
        <f>+'Jul-24'!G510+'Aug-24'!G510+'Sep-24'!G510+'Oct-24'!G510+'Nov-24'!G510+'Dec-24'!G510+'Jan-25'!G510+'Feb-25'!G510+#REF!+#REF!+#REF!+'Dec-25'!G510</f>
        <v>#REF!</v>
      </c>
      <c r="H510" s="42" t="e">
        <f>+'Jul-24'!H510+'Aug-24'!H510+'Sep-24'!H510+'Oct-24'!H510+'Nov-24'!H510+'Dec-24'!H510+'Jan-25'!H510+'Feb-25'!H510+#REF!+#REF!+#REF!+'Dec-25'!H510</f>
        <v>#REF!</v>
      </c>
      <c r="I510" s="42" t="e">
        <f>+'Jul-24'!I510+'Aug-24'!I510+'Sep-24'!I510+'Oct-24'!I510+'Nov-24'!I510+'Dec-24'!I510+'Jan-25'!I510+'Feb-25'!I510+#REF!+#REF!+#REF!+'Dec-25'!I510</f>
        <v>#REF!</v>
      </c>
      <c r="J510" s="42" t="e">
        <f>+'Jul-24'!J510+'Aug-24'!J510+'Sep-24'!J510+'Oct-24'!J510+'Nov-24'!J510+'Dec-24'!J510+'Jan-25'!J510+'Feb-25'!J510+#REF!+#REF!+#REF!+'Dec-25'!J510</f>
        <v>#REF!</v>
      </c>
      <c r="K510" s="42" t="e">
        <f>+'Jul-24'!K510+'Aug-24'!K510+'Sep-24'!K510+'Oct-24'!K510+'Nov-24'!K510+'Dec-24'!K510+'Jan-25'!K510+'Feb-25'!K510+#REF!+#REF!+#REF!+'Dec-25'!K510</f>
        <v>#REF!</v>
      </c>
      <c r="L510" s="35" t="e">
        <f t="shared" si="130"/>
        <v>#REF!</v>
      </c>
      <c r="M510" s="35" t="e">
        <f t="shared" si="129"/>
        <v>#REF!</v>
      </c>
      <c r="N510" s="32"/>
    </row>
    <row r="511" spans="1:24" x14ac:dyDescent="0.25">
      <c r="A511" s="14"/>
      <c r="B511" s="27"/>
      <c r="C511" s="28" t="s">
        <v>15</v>
      </c>
      <c r="D511" s="28"/>
      <c r="E511" s="28"/>
      <c r="F511" s="28"/>
      <c r="G511" s="42" t="e">
        <f>+'Jul-24'!G511+'Aug-24'!G511+'Sep-24'!G511+'Oct-24'!G511+'Nov-24'!G511+'Dec-24'!G511+'Jan-25'!G511+'Feb-25'!G511+#REF!+#REF!+#REF!+'Dec-25'!G511</f>
        <v>#REF!</v>
      </c>
      <c r="H511" s="42" t="e">
        <f>+'Jul-24'!H511+'Aug-24'!H511+'Sep-24'!H511+'Oct-24'!H511+'Nov-24'!H511+'Dec-24'!H511+'Jan-25'!H511+'Feb-25'!H511+#REF!+#REF!+#REF!+'Dec-25'!H511</f>
        <v>#REF!</v>
      </c>
      <c r="I511" s="42" t="e">
        <f>+'Jul-24'!I511+'Aug-24'!I511+'Sep-24'!I511+'Oct-24'!I511+'Nov-24'!I511+'Dec-24'!I511+'Jan-25'!I511+'Feb-25'!I511+#REF!+#REF!+#REF!+'Dec-25'!I511</f>
        <v>#REF!</v>
      </c>
      <c r="J511" s="42" t="e">
        <f>+'Jul-24'!J511+'Aug-24'!J511+'Sep-24'!J511+'Oct-24'!J511+'Nov-24'!J511+'Dec-24'!J511+'Jan-25'!J511+'Feb-25'!J511+#REF!+#REF!+#REF!+'Dec-25'!J511</f>
        <v>#REF!</v>
      </c>
      <c r="K511" s="42" t="e">
        <f>+'Jul-24'!K511+'Aug-24'!K511+'Sep-24'!K511+'Oct-24'!K511+'Nov-24'!K511+'Dec-24'!K511+'Jan-25'!K511+'Feb-25'!K511+#REF!+#REF!+#REF!+'Dec-25'!K511</f>
        <v>#REF!</v>
      </c>
      <c r="L511" s="35" t="e">
        <f t="shared" si="130"/>
        <v>#REF!</v>
      </c>
      <c r="M511" s="35" t="e">
        <f t="shared" si="129"/>
        <v>#REF!</v>
      </c>
      <c r="N511" s="32"/>
    </row>
    <row r="512" spans="1:24" x14ac:dyDescent="0.25">
      <c r="A512" s="14"/>
      <c r="B512" s="27"/>
      <c r="C512" s="28" t="s">
        <v>16</v>
      </c>
      <c r="D512" s="28"/>
      <c r="E512" s="28"/>
      <c r="F512" s="28"/>
      <c r="G512" s="42" t="e">
        <f>+'Jul-24'!G512+'Aug-24'!G512+'Sep-24'!G512+'Oct-24'!G512+'Nov-24'!G512+'Dec-24'!G512+'Jan-25'!G512+'Feb-25'!G512+#REF!+#REF!+#REF!+'Dec-25'!G512</f>
        <v>#REF!</v>
      </c>
      <c r="H512" s="42" t="e">
        <f>+'Jul-24'!H512+'Aug-24'!H512+'Sep-24'!H512+'Oct-24'!H512+'Nov-24'!H512+'Dec-24'!H512+'Jan-25'!H512+'Feb-25'!H512+#REF!+#REF!+#REF!+'Dec-25'!H512</f>
        <v>#REF!</v>
      </c>
      <c r="I512" s="42" t="e">
        <f>+'Jul-24'!I512+'Aug-24'!I512+'Sep-24'!I512+'Oct-24'!I512+'Nov-24'!I512+'Dec-24'!I512+'Jan-25'!I512+'Feb-25'!I512+#REF!+#REF!+#REF!+'Dec-25'!I512</f>
        <v>#REF!</v>
      </c>
      <c r="J512" s="42" t="e">
        <f>+'Jul-24'!J512+'Aug-24'!J512+'Sep-24'!J512+'Oct-24'!J512+'Nov-24'!J512+'Dec-24'!J512+'Jan-25'!J512+'Feb-25'!J512+#REF!+#REF!+#REF!+'Dec-25'!J512</f>
        <v>#REF!</v>
      </c>
      <c r="K512" s="42" t="e">
        <f>+'Jul-24'!K512+'Aug-24'!K512+'Sep-24'!K512+'Oct-24'!K512+'Nov-24'!K512+'Dec-24'!K512+'Jan-25'!K512+'Feb-25'!K512+#REF!+#REF!+#REF!+'Dec-25'!K512</f>
        <v>#REF!</v>
      </c>
      <c r="L512" s="35" t="e">
        <f t="shared" si="130"/>
        <v>#REF!</v>
      </c>
      <c r="M512" s="35" t="e">
        <f t="shared" si="129"/>
        <v>#REF!</v>
      </c>
      <c r="N512" s="32"/>
    </row>
    <row r="513" spans="1:24" ht="15.75" thickBot="1" x14ac:dyDescent="0.3">
      <c r="A513" s="14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4"/>
      <c r="H514" s="44"/>
      <c r="I514" s="44"/>
      <c r="J514" s="44"/>
      <c r="K514" s="44"/>
      <c r="L514" s="44"/>
      <c r="M514" s="44"/>
      <c r="N514" s="44"/>
    </row>
    <row r="515" spans="1:24" x14ac:dyDescent="0.25">
      <c r="A515" s="4">
        <f>+A499+1</f>
        <v>32</v>
      </c>
      <c r="B515" s="40"/>
      <c r="C515" s="6" t="s">
        <v>48</v>
      </c>
      <c r="D515" s="7"/>
      <c r="E515" s="8"/>
      <c r="F515" s="8"/>
      <c r="G515" s="10">
        <f>+$G$3</f>
        <v>2024</v>
      </c>
      <c r="H515" s="10">
        <f>+G515</f>
        <v>2024</v>
      </c>
      <c r="I515" s="10">
        <f t="shared" ref="I515:M516" si="131">+H515</f>
        <v>2024</v>
      </c>
      <c r="J515" s="10">
        <f t="shared" si="131"/>
        <v>2024</v>
      </c>
      <c r="K515" s="10">
        <f t="shared" si="131"/>
        <v>2024</v>
      </c>
      <c r="L515" s="10">
        <f t="shared" si="131"/>
        <v>2024</v>
      </c>
      <c r="M515" s="10">
        <f t="shared" si="131"/>
        <v>2024</v>
      </c>
      <c r="N515" s="11"/>
      <c r="S515" s="12" t="str">
        <f>+C515</f>
        <v>Gundviwini</v>
      </c>
      <c r="T515" s="13" t="e">
        <f>+L519</f>
        <v>#REF!</v>
      </c>
      <c r="U515" s="13" t="e">
        <f>+L520+L521</f>
        <v>#REF!</v>
      </c>
      <c r="V515" s="13" t="e">
        <f>+L522+L523</f>
        <v>#REF!</v>
      </c>
      <c r="W515" s="13" t="e">
        <f>+L526</f>
        <v>#REF!</v>
      </c>
      <c r="X515" s="13" t="e">
        <f>+L524</f>
        <v>#REF!</v>
      </c>
    </row>
    <row r="516" spans="1:24" x14ac:dyDescent="0.25">
      <c r="A516" s="14"/>
      <c r="B516" s="15"/>
      <c r="C516" s="41" t="str">
        <f>+$C500</f>
        <v>Year to Date 2024/2025</v>
      </c>
      <c r="D516" s="18"/>
      <c r="E516" s="18"/>
      <c r="F516" s="18"/>
      <c r="G516" s="20" t="str">
        <f>+$G$4</f>
        <v>Week</v>
      </c>
      <c r="H516" s="20" t="str">
        <f>+G516</f>
        <v>Week</v>
      </c>
      <c r="I516" s="20" t="str">
        <f t="shared" si="131"/>
        <v>Week</v>
      </c>
      <c r="J516" s="20" t="str">
        <f t="shared" si="131"/>
        <v>Week</v>
      </c>
      <c r="K516" s="20" t="str">
        <f t="shared" si="131"/>
        <v>Week</v>
      </c>
      <c r="L516" s="20" t="str">
        <f t="shared" si="131"/>
        <v>Week</v>
      </c>
      <c r="M516" s="20" t="str">
        <f t="shared" si="131"/>
        <v>Week</v>
      </c>
      <c r="N516" s="21"/>
    </row>
    <row r="517" spans="1:24" ht="15.75" thickBot="1" x14ac:dyDescent="0.3">
      <c r="A517" s="14"/>
      <c r="B517" s="22"/>
      <c r="C517" s="23"/>
      <c r="D517" s="23"/>
      <c r="E517" s="23"/>
      <c r="F517" s="23"/>
      <c r="G517" s="25">
        <f>+$G$5</f>
        <v>1</v>
      </c>
      <c r="H517" s="25">
        <f>+$H$5</f>
        <v>2</v>
      </c>
      <c r="I517" s="25">
        <f>+$I$5</f>
        <v>3</v>
      </c>
      <c r="J517" s="25">
        <f>+$J$5</f>
        <v>4</v>
      </c>
      <c r="K517" s="25">
        <f>+$K$5</f>
        <v>5</v>
      </c>
      <c r="L517" s="25" t="s">
        <v>6</v>
      </c>
      <c r="M517" s="25" t="s">
        <v>7</v>
      </c>
      <c r="N517" s="26"/>
    </row>
    <row r="518" spans="1:24" x14ac:dyDescent="0.25">
      <c r="A518" s="14"/>
      <c r="B518" s="27"/>
      <c r="C518" s="28"/>
      <c r="D518" s="28"/>
      <c r="E518" s="28"/>
      <c r="F518" s="28"/>
      <c r="G518" s="29"/>
      <c r="H518" s="29"/>
      <c r="I518" s="29"/>
      <c r="J518" s="29"/>
      <c r="K518" s="28"/>
      <c r="L518" s="28"/>
      <c r="M518" s="28"/>
      <c r="N518" s="30"/>
    </row>
    <row r="519" spans="1:24" x14ac:dyDescent="0.25">
      <c r="A519" s="14"/>
      <c r="B519" s="27"/>
      <c r="C519" s="28" t="s">
        <v>8</v>
      </c>
      <c r="D519" s="28"/>
      <c r="E519" s="28"/>
      <c r="F519" s="28"/>
      <c r="G519" s="31" t="e">
        <f>SUM(G520:G523)</f>
        <v>#REF!</v>
      </c>
      <c r="H519" s="31" t="e">
        <f t="shared" ref="H519:L519" si="132">SUM(H520:H523)</f>
        <v>#REF!</v>
      </c>
      <c r="I519" s="31" t="e">
        <f t="shared" si="132"/>
        <v>#REF!</v>
      </c>
      <c r="J519" s="31" t="e">
        <f t="shared" si="132"/>
        <v>#REF!</v>
      </c>
      <c r="K519" s="31" t="e">
        <f t="shared" si="132"/>
        <v>#REF!</v>
      </c>
      <c r="L519" s="31" t="e">
        <f t="shared" si="132"/>
        <v>#REF!</v>
      </c>
      <c r="M519" s="31" t="e">
        <f>ROUND((L519/$E$1),0)</f>
        <v>#REF!</v>
      </c>
      <c r="N519" s="32"/>
    </row>
    <row r="520" spans="1:24" x14ac:dyDescent="0.25">
      <c r="A520" s="14"/>
      <c r="B520" s="27"/>
      <c r="C520" s="28"/>
      <c r="D520" s="28" t="s">
        <v>9</v>
      </c>
      <c r="E520" s="28"/>
      <c r="F520" s="28"/>
      <c r="G520" s="42" t="e">
        <f>+'Jul-24'!G520+'Aug-24'!G520+'Sep-24'!G520+'Oct-24'!G520+'Nov-24'!G520+'Dec-24'!G520+'Jan-25'!G520+'Feb-25'!G520+#REF!+#REF!+#REF!+'Dec-25'!G520</f>
        <v>#REF!</v>
      </c>
      <c r="H520" s="42" t="e">
        <f>+'Jul-24'!H520+'Aug-24'!H520+'Sep-24'!H520+'Oct-24'!H520+'Nov-24'!H520+'Dec-24'!H520+'Jan-25'!H520+'Feb-25'!H520+#REF!+#REF!+#REF!+'Dec-25'!H520</f>
        <v>#REF!</v>
      </c>
      <c r="I520" s="42" t="e">
        <f>+'Jul-24'!I520+'Aug-24'!I520+'Sep-24'!I520+'Oct-24'!I520+'Nov-24'!I520+'Dec-24'!I520+'Jan-25'!I520+'Feb-25'!I520+#REF!+#REF!+#REF!+'Dec-25'!I520</f>
        <v>#REF!</v>
      </c>
      <c r="J520" s="42" t="e">
        <f>+'Jul-24'!J520+'Aug-24'!J520+'Sep-24'!J520+'Oct-24'!J520+'Nov-24'!J520+'Dec-24'!J520+'Jan-25'!J520+'Feb-25'!J520+#REF!+#REF!+#REF!+'Dec-25'!J520</f>
        <v>#REF!</v>
      </c>
      <c r="K520" s="42" t="e">
        <f>+'Jul-24'!K520+'Aug-24'!K520+'Sep-24'!K520+'Oct-24'!K520+'Nov-24'!K520+'Dec-24'!K520+'Jan-25'!K520+'Feb-25'!K520+#REF!+#REF!+#REF!+'Dec-25'!K520</f>
        <v>#REF!</v>
      </c>
      <c r="L520" s="35" t="e">
        <f>SUM(G520:K520)</f>
        <v>#REF!</v>
      </c>
      <c r="M520" s="35" t="e">
        <f t="shared" ref="M520:M528" si="133">ROUND((L520/$E$1),0)</f>
        <v>#REF!</v>
      </c>
      <c r="N520" s="32"/>
    </row>
    <row r="521" spans="1:24" x14ac:dyDescent="0.25">
      <c r="A521" s="14"/>
      <c r="B521" s="27"/>
      <c r="C521" s="28"/>
      <c r="D521" s="28" t="s">
        <v>10</v>
      </c>
      <c r="E521" s="28"/>
      <c r="F521" s="28"/>
      <c r="G521" s="42" t="e">
        <f>+'Jul-24'!G521+'Aug-24'!G521+'Sep-24'!G521+'Oct-24'!G521+'Nov-24'!G521+'Dec-24'!G521+'Jan-25'!G521+'Feb-25'!G521+#REF!+#REF!+#REF!+'Dec-25'!G521</f>
        <v>#REF!</v>
      </c>
      <c r="H521" s="42" t="e">
        <f>+'Jul-24'!H521+'Aug-24'!H521+'Sep-24'!H521+'Oct-24'!H521+'Nov-24'!H521+'Dec-24'!H521+'Jan-25'!H521+'Feb-25'!H521+#REF!+#REF!+#REF!+'Dec-25'!H521</f>
        <v>#REF!</v>
      </c>
      <c r="I521" s="42" t="e">
        <f>+'Jul-24'!I521+'Aug-24'!I521+'Sep-24'!I521+'Oct-24'!I521+'Nov-24'!I521+'Dec-24'!I521+'Jan-25'!I521+'Feb-25'!I521+#REF!+#REF!+#REF!+'Dec-25'!I521</f>
        <v>#REF!</v>
      </c>
      <c r="J521" s="42" t="e">
        <f>+'Jul-24'!J521+'Aug-24'!J521+'Sep-24'!J521+'Oct-24'!J521+'Nov-24'!J521+'Dec-24'!J521+'Jan-25'!J521+'Feb-25'!J521+#REF!+#REF!+#REF!+'Dec-25'!J521</f>
        <v>#REF!</v>
      </c>
      <c r="K521" s="42" t="e">
        <f>+'Jul-24'!K521+'Aug-24'!K521+'Sep-24'!K521+'Oct-24'!K521+'Nov-24'!K521+'Dec-24'!K521+'Jan-25'!K521+'Feb-25'!K521+#REF!+#REF!+#REF!+'Dec-25'!K521</f>
        <v>#REF!</v>
      </c>
      <c r="L521" s="35" t="e">
        <f t="shared" ref="L521:L528" si="134">SUM(G521:K521)</f>
        <v>#REF!</v>
      </c>
      <c r="M521" s="35" t="e">
        <f t="shared" si="133"/>
        <v>#REF!</v>
      </c>
      <c r="N521" s="32"/>
    </row>
    <row r="522" spans="1:24" x14ac:dyDescent="0.25">
      <c r="A522" s="14"/>
      <c r="B522" s="27"/>
      <c r="C522" s="28"/>
      <c r="D522" s="28" t="s">
        <v>11</v>
      </c>
      <c r="E522" s="28"/>
      <c r="F522" s="28"/>
      <c r="G522" s="42" t="e">
        <f>+'Jul-24'!G522+'Aug-24'!G522+'Sep-24'!G522+'Oct-24'!G522+'Nov-24'!G522+'Dec-24'!G522+'Jan-25'!G522+'Feb-25'!G522+#REF!+#REF!+#REF!+'Dec-25'!G522</f>
        <v>#REF!</v>
      </c>
      <c r="H522" s="42" t="e">
        <f>+'Jul-24'!H522+'Aug-24'!H522+'Sep-24'!H522+'Oct-24'!H522+'Nov-24'!H522+'Dec-24'!H522+'Jan-25'!H522+'Feb-25'!H522+#REF!+#REF!+#REF!+'Dec-25'!H522</f>
        <v>#REF!</v>
      </c>
      <c r="I522" s="42" t="e">
        <f>+'Jul-24'!I522+'Aug-24'!I522+'Sep-24'!I522+'Oct-24'!I522+'Nov-24'!I522+'Dec-24'!I522+'Jan-25'!I522+'Feb-25'!I522+#REF!+#REF!+#REF!+'Dec-25'!I522</f>
        <v>#REF!</v>
      </c>
      <c r="J522" s="42" t="e">
        <f>+'Jul-24'!J522+'Aug-24'!J522+'Sep-24'!J522+'Oct-24'!J522+'Nov-24'!J522+'Dec-24'!J522+'Jan-25'!J522+'Feb-25'!J522+#REF!+#REF!+#REF!+'Dec-25'!J522</f>
        <v>#REF!</v>
      </c>
      <c r="K522" s="42" t="e">
        <f>+'Jul-24'!K522+'Aug-24'!K522+'Sep-24'!K522+'Oct-24'!K522+'Nov-24'!K522+'Dec-24'!K522+'Jan-25'!K522+'Feb-25'!K522+#REF!+#REF!+#REF!+'Dec-25'!K522</f>
        <v>#REF!</v>
      </c>
      <c r="L522" s="35" t="e">
        <f t="shared" si="134"/>
        <v>#REF!</v>
      </c>
      <c r="M522" s="35" t="e">
        <f t="shared" si="133"/>
        <v>#REF!</v>
      </c>
      <c r="N522" s="32"/>
    </row>
    <row r="523" spans="1:24" x14ac:dyDescent="0.25">
      <c r="A523" s="14"/>
      <c r="B523" s="27"/>
      <c r="C523" s="28"/>
      <c r="D523" s="28" t="s">
        <v>12</v>
      </c>
      <c r="E523" s="28"/>
      <c r="F523" s="28"/>
      <c r="G523" s="43" t="e">
        <f>+'Jul-24'!G523+'Aug-24'!G523+'Sep-24'!G523+'Oct-24'!G523+'Nov-24'!G523+'Dec-24'!G523+'Jan-25'!G523+'Feb-25'!G523+#REF!+#REF!+#REF!+'Dec-25'!G523</f>
        <v>#REF!</v>
      </c>
      <c r="H523" s="43" t="e">
        <f>+'Jul-24'!H523+'Aug-24'!H523+'Sep-24'!H523+'Oct-24'!H523+'Nov-24'!H523+'Dec-24'!H523+'Jan-25'!H523+'Feb-25'!H523+#REF!+#REF!+#REF!+'Dec-25'!H523</f>
        <v>#REF!</v>
      </c>
      <c r="I523" s="43" t="e">
        <f>+'Jul-24'!I523+'Aug-24'!I523+'Sep-24'!I523+'Oct-24'!I523+'Nov-24'!I523+'Dec-24'!I523+'Jan-25'!I523+'Feb-25'!I523+#REF!+#REF!+#REF!+'Dec-25'!I523</f>
        <v>#REF!</v>
      </c>
      <c r="J523" s="43" t="e">
        <f>+'Jul-24'!J523+'Aug-24'!J523+'Sep-24'!J523+'Oct-24'!J523+'Nov-24'!J523+'Dec-24'!J523+'Jan-25'!J523+'Feb-25'!J523+#REF!+#REF!+#REF!+'Dec-25'!J523</f>
        <v>#REF!</v>
      </c>
      <c r="K523" s="43" t="e">
        <f>+'Jul-24'!K523+'Aug-24'!K523+'Sep-24'!K523+'Oct-24'!K523+'Nov-24'!K523+'Dec-24'!K523+'Jan-25'!K523+'Feb-25'!K523+#REF!+#REF!+#REF!+'Dec-25'!K523</f>
        <v>#REF!</v>
      </c>
      <c r="L523" s="31" t="e">
        <f t="shared" si="134"/>
        <v>#REF!</v>
      </c>
      <c r="M523" s="31" t="e">
        <f t="shared" si="133"/>
        <v>#REF!</v>
      </c>
      <c r="N523" s="32"/>
    </row>
    <row r="524" spans="1:24" x14ac:dyDescent="0.25">
      <c r="A524" s="14"/>
      <c r="B524" s="27"/>
      <c r="C524" s="28" t="s">
        <v>13</v>
      </c>
      <c r="D524" s="28"/>
      <c r="E524" s="28"/>
      <c r="F524" s="28"/>
      <c r="G524" s="42" t="e">
        <f>+'Jul-24'!G524+'Aug-24'!G524+'Sep-24'!G524+'Oct-24'!G524+'Nov-24'!G524+'Dec-24'!G524+'Jan-25'!G524+'Feb-25'!G524+#REF!+#REF!+#REF!+'Dec-25'!G524</f>
        <v>#REF!</v>
      </c>
      <c r="H524" s="42" t="e">
        <f>+'Jul-24'!H524+'Aug-24'!H524+'Sep-24'!H524+'Oct-24'!H524+'Nov-24'!H524+'Dec-24'!H524+'Jan-25'!H524+'Feb-25'!H524+#REF!+#REF!+#REF!+'Dec-25'!H524</f>
        <v>#REF!</v>
      </c>
      <c r="I524" s="42" t="e">
        <f>+'Jul-24'!I524+'Aug-24'!I524+'Sep-24'!I524+'Oct-24'!I524+'Nov-24'!I524+'Dec-24'!I524+'Jan-25'!I524+'Feb-25'!I524+#REF!+#REF!+#REF!+'Dec-25'!I524</f>
        <v>#REF!</v>
      </c>
      <c r="J524" s="42" t="e">
        <f>+'Jul-24'!J524+'Aug-24'!J524+'Sep-24'!J524+'Oct-24'!J524+'Nov-24'!J524+'Dec-24'!J524+'Jan-25'!J524+'Feb-25'!J524+#REF!+#REF!+#REF!+'Dec-25'!J524</f>
        <v>#REF!</v>
      </c>
      <c r="K524" s="42" t="e">
        <f>+'Jul-24'!K524+'Aug-24'!K524+'Sep-24'!K524+'Oct-24'!K524+'Nov-24'!K524+'Dec-24'!K524+'Jan-25'!K524+'Feb-25'!K524+#REF!+#REF!+#REF!+'Dec-25'!K524</f>
        <v>#REF!</v>
      </c>
      <c r="L524" s="35" t="e">
        <f t="shared" si="134"/>
        <v>#REF!</v>
      </c>
      <c r="M524" s="35" t="e">
        <f t="shared" si="133"/>
        <v>#REF!</v>
      </c>
      <c r="N524" s="32"/>
    </row>
    <row r="525" spans="1:24" x14ac:dyDescent="0.25">
      <c r="A525" s="14"/>
      <c r="B525" s="27"/>
      <c r="C525" s="28" t="s">
        <v>14</v>
      </c>
      <c r="D525" s="28"/>
      <c r="E525" s="28"/>
      <c r="F525" s="28"/>
      <c r="G525" s="42" t="e">
        <f>+'Jul-24'!G525+'Aug-24'!G525+'Sep-24'!G525+'Oct-24'!G525+'Nov-24'!G525+'Dec-24'!G525+'Jan-25'!G525+'Feb-25'!G525+#REF!+#REF!+#REF!+'Dec-25'!G525</f>
        <v>#REF!</v>
      </c>
      <c r="H525" s="42" t="e">
        <f>+'Jul-24'!H525+'Aug-24'!H525+'Sep-24'!H525+'Oct-24'!H525+'Nov-24'!H525+'Dec-24'!H525+'Jan-25'!H525+'Feb-25'!H525+#REF!+#REF!+#REF!+'Dec-25'!H525</f>
        <v>#REF!</v>
      </c>
      <c r="I525" s="42" t="e">
        <f>+'Jul-24'!I525+'Aug-24'!I525+'Sep-24'!I525+'Oct-24'!I525+'Nov-24'!I525+'Dec-24'!I525+'Jan-25'!I525+'Feb-25'!I525+#REF!+#REF!+#REF!+'Dec-25'!I525</f>
        <v>#REF!</v>
      </c>
      <c r="J525" s="42" t="e">
        <f>+'Jul-24'!J525+'Aug-24'!J525+'Sep-24'!J525+'Oct-24'!J525+'Nov-24'!J525+'Dec-24'!J525+'Jan-25'!J525+'Feb-25'!J525+#REF!+#REF!+#REF!+'Dec-25'!J525</f>
        <v>#REF!</v>
      </c>
      <c r="K525" s="42" t="e">
        <f>+'Jul-24'!K525+'Aug-24'!K525+'Sep-24'!K525+'Oct-24'!K525+'Nov-24'!K525+'Dec-24'!K525+'Jan-25'!K525+'Feb-25'!K525+#REF!+#REF!+#REF!+'Dec-25'!K525</f>
        <v>#REF!</v>
      </c>
      <c r="L525" s="35" t="e">
        <f t="shared" si="134"/>
        <v>#REF!</v>
      </c>
      <c r="M525" s="35" t="e">
        <f t="shared" si="133"/>
        <v>#REF!</v>
      </c>
      <c r="N525" s="32"/>
    </row>
    <row r="526" spans="1:24" x14ac:dyDescent="0.25">
      <c r="A526" s="14"/>
      <c r="B526" s="27"/>
      <c r="C526" s="28" t="s">
        <v>4</v>
      </c>
      <c r="D526" s="28"/>
      <c r="E526" s="28"/>
      <c r="F526" s="28"/>
      <c r="G526" s="42" t="e">
        <f>+'Jul-24'!G526+'Aug-24'!G526+'Sep-24'!G526+'Oct-24'!G526+'Nov-24'!G526+'Dec-24'!G526+'Jan-25'!G526+'Feb-25'!G526+#REF!+#REF!+#REF!+'Dec-25'!G526</f>
        <v>#REF!</v>
      </c>
      <c r="H526" s="42" t="e">
        <f>+'Jul-24'!H526+'Aug-24'!H526+'Sep-24'!H526+'Oct-24'!H526+'Nov-24'!H526+'Dec-24'!H526+'Jan-25'!H526+'Feb-25'!H526+#REF!+#REF!+#REF!+'Dec-25'!H526</f>
        <v>#REF!</v>
      </c>
      <c r="I526" s="42" t="e">
        <f>+'Jul-24'!I526+'Aug-24'!I526+'Sep-24'!I526+'Oct-24'!I526+'Nov-24'!I526+'Dec-24'!I526+'Jan-25'!I526+'Feb-25'!I526+#REF!+#REF!+#REF!+'Dec-25'!I526</f>
        <v>#REF!</v>
      </c>
      <c r="J526" s="42" t="e">
        <f>+'Jul-24'!J526+'Aug-24'!J526+'Sep-24'!J526+'Oct-24'!J526+'Nov-24'!J526+'Dec-24'!J526+'Jan-25'!J526+'Feb-25'!J526+#REF!+#REF!+#REF!+'Dec-25'!J526</f>
        <v>#REF!</v>
      </c>
      <c r="K526" s="42" t="e">
        <f>+'Jul-24'!K526+'Aug-24'!K526+'Sep-24'!K526+'Oct-24'!K526+'Nov-24'!K526+'Dec-24'!K526+'Jan-25'!K526+'Feb-25'!K526+#REF!+#REF!+#REF!+'Dec-25'!K526</f>
        <v>#REF!</v>
      </c>
      <c r="L526" s="35" t="e">
        <f t="shared" si="134"/>
        <v>#REF!</v>
      </c>
      <c r="M526" s="35" t="e">
        <f t="shared" si="133"/>
        <v>#REF!</v>
      </c>
      <c r="N526" s="32"/>
    </row>
    <row r="527" spans="1:24" x14ac:dyDescent="0.25">
      <c r="A527" s="14"/>
      <c r="B527" s="27"/>
      <c r="C527" s="28" t="s">
        <v>15</v>
      </c>
      <c r="D527" s="28"/>
      <c r="E527" s="28"/>
      <c r="F527" s="28"/>
      <c r="G527" s="42" t="e">
        <f>+'Jul-24'!G527+'Aug-24'!G527+'Sep-24'!G527+'Oct-24'!G527+'Nov-24'!G527+'Dec-24'!G527+'Jan-25'!G527+'Feb-25'!G527+#REF!+#REF!+#REF!+'Dec-25'!G527</f>
        <v>#REF!</v>
      </c>
      <c r="H527" s="42" t="e">
        <f>+'Jul-24'!H527+'Aug-24'!H527+'Sep-24'!H527+'Oct-24'!H527+'Nov-24'!H527+'Dec-24'!H527+'Jan-25'!H527+'Feb-25'!H527+#REF!+#REF!+#REF!+'Dec-25'!H527</f>
        <v>#REF!</v>
      </c>
      <c r="I527" s="42" t="e">
        <f>+'Jul-24'!I527+'Aug-24'!I527+'Sep-24'!I527+'Oct-24'!I527+'Nov-24'!I527+'Dec-24'!I527+'Jan-25'!I527+'Feb-25'!I527+#REF!+#REF!+#REF!+'Dec-25'!I527</f>
        <v>#REF!</v>
      </c>
      <c r="J527" s="42" t="e">
        <f>+'Jul-24'!J527+'Aug-24'!J527+'Sep-24'!J527+'Oct-24'!J527+'Nov-24'!J527+'Dec-24'!J527+'Jan-25'!J527+'Feb-25'!J527+#REF!+#REF!+#REF!+'Dec-25'!J527</f>
        <v>#REF!</v>
      </c>
      <c r="K527" s="42" t="e">
        <f>+'Jul-24'!K527+'Aug-24'!K527+'Sep-24'!K527+'Oct-24'!K527+'Nov-24'!K527+'Dec-24'!K527+'Jan-25'!K527+'Feb-25'!K527+#REF!+#REF!+#REF!+'Dec-25'!K527</f>
        <v>#REF!</v>
      </c>
      <c r="L527" s="35" t="e">
        <f t="shared" si="134"/>
        <v>#REF!</v>
      </c>
      <c r="M527" s="35" t="e">
        <f t="shared" si="133"/>
        <v>#REF!</v>
      </c>
      <c r="N527" s="32"/>
    </row>
    <row r="528" spans="1:24" x14ac:dyDescent="0.25">
      <c r="A528" s="14"/>
      <c r="B528" s="27"/>
      <c r="C528" s="28" t="s">
        <v>16</v>
      </c>
      <c r="D528" s="28"/>
      <c r="E528" s="28"/>
      <c r="F528" s="28"/>
      <c r="G528" s="42" t="e">
        <f>+'Jul-24'!G528+'Aug-24'!G528+'Sep-24'!G528+'Oct-24'!G528+'Nov-24'!G528+'Dec-24'!G528+'Jan-25'!G528+'Feb-25'!G528+#REF!+#REF!+#REF!+'Dec-25'!G528</f>
        <v>#REF!</v>
      </c>
      <c r="H528" s="42" t="e">
        <f>+'Jul-24'!H528+'Aug-24'!H528+'Sep-24'!H528+'Oct-24'!H528+'Nov-24'!H528+'Dec-24'!H528+'Jan-25'!H528+'Feb-25'!H528+#REF!+#REF!+#REF!+'Dec-25'!H528</f>
        <v>#REF!</v>
      </c>
      <c r="I528" s="42" t="e">
        <f>+'Jul-24'!I528+'Aug-24'!I528+'Sep-24'!I528+'Oct-24'!I528+'Nov-24'!I528+'Dec-24'!I528+'Jan-25'!I528+'Feb-25'!I528+#REF!+#REF!+#REF!+'Dec-25'!I528</f>
        <v>#REF!</v>
      </c>
      <c r="J528" s="42" t="e">
        <f>+'Jul-24'!J528+'Aug-24'!J528+'Sep-24'!J528+'Oct-24'!J528+'Nov-24'!J528+'Dec-24'!J528+'Jan-25'!J528+'Feb-25'!J528+#REF!+#REF!+#REF!+'Dec-25'!J528</f>
        <v>#REF!</v>
      </c>
      <c r="K528" s="42" t="e">
        <f>+'Jul-24'!K528+'Aug-24'!K528+'Sep-24'!K528+'Oct-24'!K528+'Nov-24'!K528+'Dec-24'!K528+'Jan-25'!K528+'Feb-25'!K528+#REF!+#REF!+#REF!+'Dec-25'!K528</f>
        <v>#REF!</v>
      </c>
      <c r="L528" s="35" t="e">
        <f t="shared" si="134"/>
        <v>#REF!</v>
      </c>
      <c r="M528" s="35" t="e">
        <f t="shared" si="133"/>
        <v>#REF!</v>
      </c>
      <c r="N528" s="32"/>
    </row>
    <row r="529" spans="1:24" ht="15.75" thickBot="1" x14ac:dyDescent="0.3">
      <c r="A529" s="14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14"/>
      <c r="G530" s="33"/>
      <c r="H530" s="33"/>
      <c r="I530" s="33"/>
      <c r="J530" s="33"/>
      <c r="K530" s="33"/>
      <c r="L530" s="33"/>
      <c r="M530" s="33"/>
      <c r="N530" s="33"/>
    </row>
    <row r="531" spans="1:24" x14ac:dyDescent="0.25">
      <c r="A531" s="4">
        <f>+A515+1</f>
        <v>33</v>
      </c>
      <c r="B531" s="5"/>
      <c r="C531" s="6" t="s">
        <v>49</v>
      </c>
      <c r="D531" s="7"/>
      <c r="E531" s="8"/>
      <c r="F531" s="8"/>
      <c r="G531" s="10">
        <f>+$G$3</f>
        <v>2024</v>
      </c>
      <c r="H531" s="10">
        <f>+G531</f>
        <v>2024</v>
      </c>
      <c r="I531" s="10">
        <f t="shared" ref="I531:M532" si="135">+H531</f>
        <v>2024</v>
      </c>
      <c r="J531" s="10">
        <f t="shared" si="135"/>
        <v>2024</v>
      </c>
      <c r="K531" s="10">
        <f t="shared" si="135"/>
        <v>2024</v>
      </c>
      <c r="L531" s="10">
        <f t="shared" si="135"/>
        <v>2024</v>
      </c>
      <c r="M531" s="10">
        <f t="shared" si="135"/>
        <v>2024</v>
      </c>
      <c r="N531" s="11"/>
      <c r="P531" s="44"/>
      <c r="S531" s="12" t="str">
        <f>+C531</f>
        <v>Mcuba</v>
      </c>
      <c r="T531" s="13" t="e">
        <f>+L535</f>
        <v>#REF!</v>
      </c>
      <c r="U531" s="13" t="e">
        <f>+L536+L537</f>
        <v>#REF!</v>
      </c>
      <c r="V531" s="13" t="e">
        <f>+L538+L539</f>
        <v>#REF!</v>
      </c>
      <c r="W531" s="13" t="e">
        <f>+L542</f>
        <v>#REF!</v>
      </c>
      <c r="X531" s="13" t="e">
        <f>+L540</f>
        <v>#REF!</v>
      </c>
    </row>
    <row r="532" spans="1:24" x14ac:dyDescent="0.25">
      <c r="A532" s="14"/>
      <c r="B532" s="15"/>
      <c r="C532" s="41" t="str">
        <f>+$C516</f>
        <v>Year to Date 2024/2025</v>
      </c>
      <c r="D532" s="18"/>
      <c r="E532" s="18"/>
      <c r="F532" s="18"/>
      <c r="G532" s="20" t="str">
        <f>+$G$4</f>
        <v>Week</v>
      </c>
      <c r="H532" s="20" t="str">
        <f>+G532</f>
        <v>Week</v>
      </c>
      <c r="I532" s="20" t="str">
        <f t="shared" si="135"/>
        <v>Week</v>
      </c>
      <c r="J532" s="20" t="str">
        <f t="shared" si="135"/>
        <v>Week</v>
      </c>
      <c r="K532" s="20" t="str">
        <f t="shared" si="135"/>
        <v>Week</v>
      </c>
      <c r="L532" s="20" t="str">
        <f t="shared" si="135"/>
        <v>Week</v>
      </c>
      <c r="M532" s="20" t="str">
        <f t="shared" si="135"/>
        <v>Week</v>
      </c>
      <c r="N532" s="21"/>
    </row>
    <row r="533" spans="1:24" ht="15.75" thickBot="1" x14ac:dyDescent="0.3">
      <c r="A533" s="14"/>
      <c r="B533" s="22"/>
      <c r="C533" s="23"/>
      <c r="D533" s="23"/>
      <c r="E533" s="23"/>
      <c r="F533" s="23"/>
      <c r="G533" s="25">
        <f>+$G$5</f>
        <v>1</v>
      </c>
      <c r="H533" s="25">
        <f>+$H$5</f>
        <v>2</v>
      </c>
      <c r="I533" s="25">
        <f>+$I$5</f>
        <v>3</v>
      </c>
      <c r="J533" s="25">
        <f>+$J$5</f>
        <v>4</v>
      </c>
      <c r="K533" s="25">
        <f>+$K$5</f>
        <v>5</v>
      </c>
      <c r="L533" s="25" t="s">
        <v>6</v>
      </c>
      <c r="M533" s="25" t="s">
        <v>7</v>
      </c>
      <c r="N533" s="26"/>
    </row>
    <row r="534" spans="1:24" x14ac:dyDescent="0.25">
      <c r="A534" s="14"/>
      <c r="B534" s="27"/>
      <c r="C534" s="28"/>
      <c r="D534" s="28"/>
      <c r="E534" s="28"/>
      <c r="F534" s="28"/>
      <c r="G534" s="29"/>
      <c r="H534" s="29"/>
      <c r="I534" s="29"/>
      <c r="J534" s="29"/>
      <c r="K534" s="28"/>
      <c r="L534" s="28"/>
      <c r="M534" s="28"/>
      <c r="N534" s="30"/>
    </row>
    <row r="535" spans="1:24" x14ac:dyDescent="0.25">
      <c r="A535" s="14"/>
      <c r="B535" s="27"/>
      <c r="C535" s="28" t="s">
        <v>8</v>
      </c>
      <c r="D535" s="28"/>
      <c r="E535" s="28"/>
      <c r="F535" s="28"/>
      <c r="G535" s="31" t="e">
        <f>SUM(G536:G539)</f>
        <v>#REF!</v>
      </c>
      <c r="H535" s="31" t="e">
        <f t="shared" ref="H535:L535" si="136">SUM(H536:H539)</f>
        <v>#REF!</v>
      </c>
      <c r="I535" s="31" t="e">
        <f t="shared" si="136"/>
        <v>#REF!</v>
      </c>
      <c r="J535" s="31" t="e">
        <f t="shared" si="136"/>
        <v>#REF!</v>
      </c>
      <c r="K535" s="31" t="e">
        <f t="shared" si="136"/>
        <v>#REF!</v>
      </c>
      <c r="L535" s="31" t="e">
        <f t="shared" si="136"/>
        <v>#REF!</v>
      </c>
      <c r="M535" s="31" t="e">
        <f>ROUND((L535/$E$1),0)</f>
        <v>#REF!</v>
      </c>
      <c r="N535" s="32"/>
    </row>
    <row r="536" spans="1:24" x14ac:dyDescent="0.25">
      <c r="A536" s="14"/>
      <c r="B536" s="27"/>
      <c r="C536" s="28"/>
      <c r="D536" s="28" t="s">
        <v>9</v>
      </c>
      <c r="E536" s="28"/>
      <c r="F536" s="28"/>
      <c r="G536" s="42" t="e">
        <f>+'Jul-24'!G536+'Aug-24'!G536+'Sep-24'!G536+'Oct-24'!G536+'Nov-24'!G536+'Dec-24'!G536+'Jan-25'!G536+'Feb-25'!G536+#REF!+#REF!+#REF!+'Dec-25'!G536</f>
        <v>#REF!</v>
      </c>
      <c r="H536" s="42" t="e">
        <f>+'Jul-24'!H536+'Aug-24'!H536+'Sep-24'!H536+'Oct-24'!H536+'Nov-24'!H536+'Dec-24'!H536+'Jan-25'!H536+'Feb-25'!H536+#REF!+#REF!+#REF!+'Dec-25'!H536</f>
        <v>#REF!</v>
      </c>
      <c r="I536" s="42" t="e">
        <f>+'Jul-24'!I536+'Aug-24'!I536+'Sep-24'!I536+'Oct-24'!I536+'Nov-24'!I536+'Dec-24'!I536+'Jan-25'!I536+'Feb-25'!I536+#REF!+#REF!+#REF!+'Dec-25'!I536</f>
        <v>#REF!</v>
      </c>
      <c r="J536" s="42" t="e">
        <f>+'Jul-24'!J536+'Aug-24'!J536+'Sep-24'!J536+'Oct-24'!J536+'Nov-24'!J536+'Dec-24'!J536+'Jan-25'!J536+'Feb-25'!J536+#REF!+#REF!+#REF!+'Dec-25'!J536</f>
        <v>#REF!</v>
      </c>
      <c r="K536" s="42" t="e">
        <f>+'Jul-24'!K536+'Aug-24'!K536+'Sep-24'!K536+'Oct-24'!K536+'Nov-24'!K536+'Dec-24'!K536+'Jan-25'!K536+'Feb-25'!K536+#REF!+#REF!+#REF!+'Dec-25'!K536</f>
        <v>#REF!</v>
      </c>
      <c r="L536" s="35" t="e">
        <f>SUM(G536:K536)</f>
        <v>#REF!</v>
      </c>
      <c r="M536" s="35" t="e">
        <f t="shared" ref="M536:M544" si="137">ROUND((L536/$E$1),0)</f>
        <v>#REF!</v>
      </c>
      <c r="N536" s="32"/>
    </row>
    <row r="537" spans="1:24" x14ac:dyDescent="0.25">
      <c r="A537" s="14"/>
      <c r="B537" s="27"/>
      <c r="C537" s="28"/>
      <c r="D537" s="28" t="s">
        <v>10</v>
      </c>
      <c r="E537" s="28"/>
      <c r="F537" s="28"/>
      <c r="G537" s="42" t="e">
        <f>+'Jul-24'!G537+'Aug-24'!G537+'Sep-24'!G537+'Oct-24'!G537+'Nov-24'!G537+'Dec-24'!G537+'Jan-25'!G537+'Feb-25'!G537+#REF!+#REF!+#REF!+'Dec-25'!G537</f>
        <v>#REF!</v>
      </c>
      <c r="H537" s="42" t="e">
        <f>+'Jul-24'!H537+'Aug-24'!H537+'Sep-24'!H537+'Oct-24'!H537+'Nov-24'!H537+'Dec-24'!H537+'Jan-25'!H537+'Feb-25'!H537+#REF!+#REF!+#REF!+'Dec-25'!H537</f>
        <v>#REF!</v>
      </c>
      <c r="I537" s="42" t="e">
        <f>+'Jul-24'!I537+'Aug-24'!I537+'Sep-24'!I537+'Oct-24'!I537+'Nov-24'!I537+'Dec-24'!I537+'Jan-25'!I537+'Feb-25'!I537+#REF!+#REF!+#REF!+'Dec-25'!I537</f>
        <v>#REF!</v>
      </c>
      <c r="J537" s="42" t="e">
        <f>+'Jul-24'!J537+'Aug-24'!J537+'Sep-24'!J537+'Oct-24'!J537+'Nov-24'!J537+'Dec-24'!J537+'Jan-25'!J537+'Feb-25'!J537+#REF!+#REF!+#REF!+'Dec-25'!J537</f>
        <v>#REF!</v>
      </c>
      <c r="K537" s="42" t="e">
        <f>+'Jul-24'!K537+'Aug-24'!K537+'Sep-24'!K537+'Oct-24'!K537+'Nov-24'!K537+'Dec-24'!K537+'Jan-25'!K537+'Feb-25'!K537+#REF!+#REF!+#REF!+'Dec-25'!K537</f>
        <v>#REF!</v>
      </c>
      <c r="L537" s="35" t="e">
        <f t="shared" ref="L537:L544" si="138">SUM(G537:K537)</f>
        <v>#REF!</v>
      </c>
      <c r="M537" s="35" t="e">
        <f t="shared" si="137"/>
        <v>#REF!</v>
      </c>
      <c r="N537" s="32"/>
    </row>
    <row r="538" spans="1:24" x14ac:dyDescent="0.25">
      <c r="A538" s="14"/>
      <c r="B538" s="27"/>
      <c r="C538" s="28"/>
      <c r="D538" s="28" t="s">
        <v>11</v>
      </c>
      <c r="E538" s="28"/>
      <c r="F538" s="28"/>
      <c r="G538" s="42" t="e">
        <f>+'Jul-24'!G538+'Aug-24'!G538+'Sep-24'!G538+'Oct-24'!G538+'Nov-24'!G538+'Dec-24'!G538+'Jan-25'!G538+'Feb-25'!G538+#REF!+#REF!+#REF!+'Dec-25'!G538</f>
        <v>#REF!</v>
      </c>
      <c r="H538" s="42" t="e">
        <f>+'Jul-24'!H538+'Aug-24'!H538+'Sep-24'!H538+'Oct-24'!H538+'Nov-24'!H538+'Dec-24'!H538+'Jan-25'!H538+'Feb-25'!H538+#REF!+#REF!+#REF!+'Dec-25'!H538</f>
        <v>#REF!</v>
      </c>
      <c r="I538" s="42" t="e">
        <f>+'Jul-24'!I538+'Aug-24'!I538+'Sep-24'!I538+'Oct-24'!I538+'Nov-24'!I538+'Dec-24'!I538+'Jan-25'!I538+'Feb-25'!I538+#REF!+#REF!+#REF!+'Dec-25'!I538</f>
        <v>#REF!</v>
      </c>
      <c r="J538" s="42" t="e">
        <f>+'Jul-24'!J538+'Aug-24'!J538+'Sep-24'!J538+'Oct-24'!J538+'Nov-24'!J538+'Dec-24'!J538+'Jan-25'!J538+'Feb-25'!J538+#REF!+#REF!+#REF!+'Dec-25'!J538</f>
        <v>#REF!</v>
      </c>
      <c r="K538" s="42" t="e">
        <f>+'Jul-24'!K538+'Aug-24'!K538+'Sep-24'!K538+'Oct-24'!K538+'Nov-24'!K538+'Dec-24'!K538+'Jan-25'!K538+'Feb-25'!K538+#REF!+#REF!+#REF!+'Dec-25'!K538</f>
        <v>#REF!</v>
      </c>
      <c r="L538" s="35" t="e">
        <f t="shared" si="138"/>
        <v>#REF!</v>
      </c>
      <c r="M538" s="35" t="e">
        <f t="shared" si="137"/>
        <v>#REF!</v>
      </c>
      <c r="N538" s="32"/>
    </row>
    <row r="539" spans="1:24" x14ac:dyDescent="0.25">
      <c r="A539" s="14"/>
      <c r="B539" s="27"/>
      <c r="C539" s="28"/>
      <c r="D539" s="28" t="s">
        <v>12</v>
      </c>
      <c r="E539" s="28"/>
      <c r="F539" s="28"/>
      <c r="G539" s="43" t="e">
        <f>+'Jul-24'!G539+'Aug-24'!G539+'Sep-24'!G539+'Oct-24'!G539+'Nov-24'!G539+'Dec-24'!G539+'Jan-25'!G539+'Feb-25'!G539+#REF!+#REF!+#REF!+'Dec-25'!G539</f>
        <v>#REF!</v>
      </c>
      <c r="H539" s="43" t="e">
        <f>+'Jul-24'!H539+'Aug-24'!H539+'Sep-24'!H539+'Oct-24'!H539+'Nov-24'!H539+'Dec-24'!H539+'Jan-25'!H539+'Feb-25'!H539+#REF!+#REF!+#REF!+'Dec-25'!H539</f>
        <v>#REF!</v>
      </c>
      <c r="I539" s="43" t="e">
        <f>+'Jul-24'!I539+'Aug-24'!I539+'Sep-24'!I539+'Oct-24'!I539+'Nov-24'!I539+'Dec-24'!I539+'Jan-25'!I539+'Feb-25'!I539+#REF!+#REF!+#REF!+'Dec-25'!I539</f>
        <v>#REF!</v>
      </c>
      <c r="J539" s="43" t="e">
        <f>+'Jul-24'!J539+'Aug-24'!J539+'Sep-24'!J539+'Oct-24'!J539+'Nov-24'!J539+'Dec-24'!J539+'Jan-25'!J539+'Feb-25'!J539+#REF!+#REF!+#REF!+'Dec-25'!J539</f>
        <v>#REF!</v>
      </c>
      <c r="K539" s="43" t="e">
        <f>+'Jul-24'!K539+'Aug-24'!K539+'Sep-24'!K539+'Oct-24'!K539+'Nov-24'!K539+'Dec-24'!K539+'Jan-25'!K539+'Feb-25'!K539+#REF!+#REF!+#REF!+'Dec-25'!K539</f>
        <v>#REF!</v>
      </c>
      <c r="L539" s="31" t="e">
        <f t="shared" si="138"/>
        <v>#REF!</v>
      </c>
      <c r="M539" s="31" t="e">
        <f t="shared" si="137"/>
        <v>#REF!</v>
      </c>
      <c r="N539" s="32"/>
    </row>
    <row r="540" spans="1:24" x14ac:dyDescent="0.25">
      <c r="A540" s="14"/>
      <c r="B540" s="27"/>
      <c r="C540" s="28" t="s">
        <v>13</v>
      </c>
      <c r="D540" s="28"/>
      <c r="E540" s="28"/>
      <c r="F540" s="28"/>
      <c r="G540" s="42" t="e">
        <f>+'Jul-24'!G540+'Aug-24'!G540+'Sep-24'!G540+'Oct-24'!G540+'Nov-24'!G540+'Dec-24'!G540+'Jan-25'!G540+'Feb-25'!G540+#REF!+#REF!+#REF!+'Dec-25'!G540</f>
        <v>#REF!</v>
      </c>
      <c r="H540" s="42" t="e">
        <f>+'Jul-24'!H540+'Aug-24'!H540+'Sep-24'!H540+'Oct-24'!H540+'Nov-24'!H540+'Dec-24'!H540+'Jan-25'!H540+'Feb-25'!H540+#REF!+#REF!+#REF!+'Dec-25'!H540</f>
        <v>#REF!</v>
      </c>
      <c r="I540" s="42" t="e">
        <f>+'Jul-24'!I540+'Aug-24'!I540+'Sep-24'!I540+'Oct-24'!I540+'Nov-24'!I540+'Dec-24'!I540+'Jan-25'!I540+'Feb-25'!I540+#REF!+#REF!+#REF!+'Dec-25'!I540</f>
        <v>#REF!</v>
      </c>
      <c r="J540" s="42" t="e">
        <f>+'Jul-24'!J540+'Aug-24'!J540+'Sep-24'!J540+'Oct-24'!J540+'Nov-24'!J540+'Dec-24'!J540+'Jan-25'!J540+'Feb-25'!J540+#REF!+#REF!+#REF!+'Dec-25'!J540</f>
        <v>#REF!</v>
      </c>
      <c r="K540" s="42" t="e">
        <f>+'Jul-24'!K540+'Aug-24'!K540+'Sep-24'!K540+'Oct-24'!K540+'Nov-24'!K540+'Dec-24'!K540+'Jan-25'!K540+'Feb-25'!K540+#REF!+#REF!+#REF!+'Dec-25'!K540</f>
        <v>#REF!</v>
      </c>
      <c r="L540" s="35" t="e">
        <f t="shared" si="138"/>
        <v>#REF!</v>
      </c>
      <c r="M540" s="35" t="e">
        <f t="shared" si="137"/>
        <v>#REF!</v>
      </c>
      <c r="N540" s="32"/>
    </row>
    <row r="541" spans="1:24" x14ac:dyDescent="0.25">
      <c r="A541" s="14"/>
      <c r="B541" s="27"/>
      <c r="C541" s="28" t="s">
        <v>14</v>
      </c>
      <c r="D541" s="28"/>
      <c r="E541" s="28"/>
      <c r="F541" s="28"/>
      <c r="G541" s="42" t="e">
        <f>+'Jul-24'!G541+'Aug-24'!G541+'Sep-24'!G541+'Oct-24'!G541+'Nov-24'!G541+'Dec-24'!G541+'Jan-25'!G541+'Feb-25'!G541+#REF!+#REF!+#REF!+'Dec-25'!G541</f>
        <v>#REF!</v>
      </c>
      <c r="H541" s="42" t="e">
        <f>+'Jul-24'!H541+'Aug-24'!H541+'Sep-24'!H541+'Oct-24'!H541+'Nov-24'!H541+'Dec-24'!H541+'Jan-25'!H541+'Feb-25'!H541+#REF!+#REF!+#REF!+'Dec-25'!H541</f>
        <v>#REF!</v>
      </c>
      <c r="I541" s="42" t="e">
        <f>+'Jul-24'!I541+'Aug-24'!I541+'Sep-24'!I541+'Oct-24'!I541+'Nov-24'!I541+'Dec-24'!I541+'Jan-25'!I541+'Feb-25'!I541+#REF!+#REF!+#REF!+'Dec-25'!I541</f>
        <v>#REF!</v>
      </c>
      <c r="J541" s="42" t="e">
        <f>+'Jul-24'!J541+'Aug-24'!J541+'Sep-24'!J541+'Oct-24'!J541+'Nov-24'!J541+'Dec-24'!J541+'Jan-25'!J541+'Feb-25'!J541+#REF!+#REF!+#REF!+'Dec-25'!J541</f>
        <v>#REF!</v>
      </c>
      <c r="K541" s="42" t="e">
        <f>+'Jul-24'!K541+'Aug-24'!K541+'Sep-24'!K541+'Oct-24'!K541+'Nov-24'!K541+'Dec-24'!K541+'Jan-25'!K541+'Feb-25'!K541+#REF!+#REF!+#REF!+'Dec-25'!K541</f>
        <v>#REF!</v>
      </c>
      <c r="L541" s="35" t="e">
        <f t="shared" si="138"/>
        <v>#REF!</v>
      </c>
      <c r="M541" s="35" t="e">
        <f t="shared" si="137"/>
        <v>#REF!</v>
      </c>
      <c r="N541" s="32"/>
    </row>
    <row r="542" spans="1:24" x14ac:dyDescent="0.25">
      <c r="A542" s="14"/>
      <c r="B542" s="27"/>
      <c r="C542" s="28" t="s">
        <v>4</v>
      </c>
      <c r="D542" s="28"/>
      <c r="E542" s="28"/>
      <c r="F542" s="28"/>
      <c r="G542" s="42" t="e">
        <f>+'Jul-24'!G542+'Aug-24'!G542+'Sep-24'!G542+'Oct-24'!G542+'Nov-24'!G542+'Dec-24'!G542+'Jan-25'!G542+'Feb-25'!G542+#REF!+#REF!+#REF!+'Dec-25'!G542</f>
        <v>#REF!</v>
      </c>
      <c r="H542" s="42" t="e">
        <f>+'Jul-24'!H542+'Aug-24'!H542+'Sep-24'!H542+'Oct-24'!H542+'Nov-24'!H542+'Dec-24'!H542+'Jan-25'!H542+'Feb-25'!H542+#REF!+#REF!+#REF!+'Dec-25'!H542</f>
        <v>#REF!</v>
      </c>
      <c r="I542" s="42" t="e">
        <f>+'Jul-24'!I542+'Aug-24'!I542+'Sep-24'!I542+'Oct-24'!I542+'Nov-24'!I542+'Dec-24'!I542+'Jan-25'!I542+'Feb-25'!I542+#REF!+#REF!+#REF!+'Dec-25'!I542</f>
        <v>#REF!</v>
      </c>
      <c r="J542" s="42" t="e">
        <f>+'Jul-24'!J542+'Aug-24'!J542+'Sep-24'!J542+'Oct-24'!J542+'Nov-24'!J542+'Dec-24'!J542+'Jan-25'!J542+'Feb-25'!J542+#REF!+#REF!+#REF!+'Dec-25'!J542</f>
        <v>#REF!</v>
      </c>
      <c r="K542" s="42" t="e">
        <f>+'Jul-24'!K542+'Aug-24'!K542+'Sep-24'!K542+'Oct-24'!K542+'Nov-24'!K542+'Dec-24'!K542+'Jan-25'!K542+'Feb-25'!K542+#REF!+#REF!+#REF!+'Dec-25'!K542</f>
        <v>#REF!</v>
      </c>
      <c r="L542" s="35" t="e">
        <f t="shared" si="138"/>
        <v>#REF!</v>
      </c>
      <c r="M542" s="35" t="e">
        <f t="shared" si="137"/>
        <v>#REF!</v>
      </c>
      <c r="N542" s="32"/>
    </row>
    <row r="543" spans="1:24" x14ac:dyDescent="0.25">
      <c r="A543" s="14"/>
      <c r="B543" s="27"/>
      <c r="C543" s="28" t="s">
        <v>15</v>
      </c>
      <c r="D543" s="28"/>
      <c r="E543" s="28"/>
      <c r="F543" s="28"/>
      <c r="G543" s="42" t="e">
        <f>+'Jul-24'!G543+'Aug-24'!G543+'Sep-24'!G543+'Oct-24'!G543+'Nov-24'!G543+'Dec-24'!G543+'Jan-25'!G543+'Feb-25'!G543+#REF!+#REF!+#REF!+'Dec-25'!G543</f>
        <v>#REF!</v>
      </c>
      <c r="H543" s="42" t="e">
        <f>+'Jul-24'!H543+'Aug-24'!H543+'Sep-24'!H543+'Oct-24'!H543+'Nov-24'!H543+'Dec-24'!H543+'Jan-25'!H543+'Feb-25'!H543+#REF!+#REF!+#REF!+'Dec-25'!H543</f>
        <v>#REF!</v>
      </c>
      <c r="I543" s="42" t="e">
        <f>+'Jul-24'!I543+'Aug-24'!I543+'Sep-24'!I543+'Oct-24'!I543+'Nov-24'!I543+'Dec-24'!I543+'Jan-25'!I543+'Feb-25'!I543+#REF!+#REF!+#REF!+'Dec-25'!I543</f>
        <v>#REF!</v>
      </c>
      <c r="J543" s="42" t="e">
        <f>+'Jul-24'!J543+'Aug-24'!J543+'Sep-24'!J543+'Oct-24'!J543+'Nov-24'!J543+'Dec-24'!J543+'Jan-25'!J543+'Feb-25'!J543+#REF!+#REF!+#REF!+'Dec-25'!J543</f>
        <v>#REF!</v>
      </c>
      <c r="K543" s="42" t="e">
        <f>+'Jul-24'!K543+'Aug-24'!K543+'Sep-24'!K543+'Oct-24'!K543+'Nov-24'!K543+'Dec-24'!K543+'Jan-25'!K543+'Feb-25'!K543+#REF!+#REF!+#REF!+'Dec-25'!K543</f>
        <v>#REF!</v>
      </c>
      <c r="L543" s="35" t="e">
        <f t="shared" si="138"/>
        <v>#REF!</v>
      </c>
      <c r="M543" s="35" t="e">
        <f t="shared" si="137"/>
        <v>#REF!</v>
      </c>
      <c r="N543" s="32"/>
    </row>
    <row r="544" spans="1:24" x14ac:dyDescent="0.25">
      <c r="A544" s="14"/>
      <c r="B544" s="27"/>
      <c r="C544" s="28" t="s">
        <v>16</v>
      </c>
      <c r="D544" s="28"/>
      <c r="E544" s="28"/>
      <c r="F544" s="28"/>
      <c r="G544" s="42" t="e">
        <f>+'Jul-24'!G544+'Aug-24'!G544+'Sep-24'!G544+'Oct-24'!G544+'Nov-24'!G544+'Dec-24'!G544+'Jan-25'!G544+'Feb-25'!G544+#REF!+#REF!+#REF!+'Dec-25'!G544</f>
        <v>#REF!</v>
      </c>
      <c r="H544" s="42" t="e">
        <f>+'Jul-24'!H544+'Aug-24'!H544+'Sep-24'!H544+'Oct-24'!H544+'Nov-24'!H544+'Dec-24'!H544+'Jan-25'!H544+'Feb-25'!H544+#REF!+#REF!+#REF!+'Dec-25'!H544</f>
        <v>#REF!</v>
      </c>
      <c r="I544" s="42" t="e">
        <f>+'Jul-24'!I544+'Aug-24'!I544+'Sep-24'!I544+'Oct-24'!I544+'Nov-24'!I544+'Dec-24'!I544+'Jan-25'!I544+'Feb-25'!I544+#REF!+#REF!+#REF!+'Dec-25'!I544</f>
        <v>#REF!</v>
      </c>
      <c r="J544" s="42" t="e">
        <f>+'Jul-24'!J544+'Aug-24'!J544+'Sep-24'!J544+'Oct-24'!J544+'Nov-24'!J544+'Dec-24'!J544+'Jan-25'!J544+'Feb-25'!J544+#REF!+#REF!+#REF!+'Dec-25'!J544</f>
        <v>#REF!</v>
      </c>
      <c r="K544" s="42" t="e">
        <f>+'Jul-24'!K544+'Aug-24'!K544+'Sep-24'!K544+'Oct-24'!K544+'Nov-24'!K544+'Dec-24'!K544+'Jan-25'!K544+'Feb-25'!K544+#REF!+#REF!+#REF!+'Dec-25'!K544</f>
        <v>#REF!</v>
      </c>
      <c r="L544" s="35" t="e">
        <f t="shared" si="138"/>
        <v>#REF!</v>
      </c>
      <c r="M544" s="35" t="e">
        <f t="shared" si="137"/>
        <v>#REF!</v>
      </c>
      <c r="N544" s="32"/>
    </row>
    <row r="545" spans="1:24" ht="15.75" thickBot="1" x14ac:dyDescent="0.3">
      <c r="A545" s="14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14"/>
      <c r="G546" s="33"/>
      <c r="H546" s="33"/>
      <c r="I546" s="33"/>
      <c r="J546" s="33"/>
      <c r="K546" s="33"/>
      <c r="L546" s="33"/>
      <c r="M546" s="33"/>
      <c r="N546" s="33"/>
    </row>
    <row r="547" spans="1:24" x14ac:dyDescent="0.25">
      <c r="A547" s="4">
        <f>+A531+1</f>
        <v>34</v>
      </c>
      <c r="B547" s="40"/>
      <c r="C547" s="6" t="s">
        <v>50</v>
      </c>
      <c r="D547" s="7"/>
      <c r="E547" s="8"/>
      <c r="F547" s="8"/>
      <c r="G547" s="10">
        <f>+$G$3</f>
        <v>2024</v>
      </c>
      <c r="H547" s="10">
        <f>+G547</f>
        <v>2024</v>
      </c>
      <c r="I547" s="10">
        <f t="shared" ref="I547:M548" si="139">+H547</f>
        <v>2024</v>
      </c>
      <c r="J547" s="10">
        <f t="shared" si="139"/>
        <v>2024</v>
      </c>
      <c r="K547" s="10">
        <f t="shared" si="139"/>
        <v>2024</v>
      </c>
      <c r="L547" s="10">
        <f t="shared" si="139"/>
        <v>2024</v>
      </c>
      <c r="M547" s="10">
        <f t="shared" si="139"/>
        <v>2024</v>
      </c>
      <c r="N547" s="11"/>
      <c r="P547" s="44"/>
      <c r="S547" s="12" t="str">
        <f>+C547</f>
        <v>Phonjwane</v>
      </c>
      <c r="T547" s="13" t="e">
        <f>+L551</f>
        <v>#REF!</v>
      </c>
      <c r="U547" s="13" t="e">
        <f>+L552+L553</f>
        <v>#REF!</v>
      </c>
      <c r="V547" s="13" t="e">
        <f>+L554+L555</f>
        <v>#REF!</v>
      </c>
      <c r="W547" s="13" t="e">
        <f>+L558</f>
        <v>#REF!</v>
      </c>
      <c r="X547" s="13" t="e">
        <f>+L556</f>
        <v>#REF!</v>
      </c>
    </row>
    <row r="548" spans="1:24" x14ac:dyDescent="0.25">
      <c r="A548" s="14"/>
      <c r="B548" s="15"/>
      <c r="C548" s="41" t="str">
        <f>+$C532</f>
        <v>Year to Date 2024/2025</v>
      </c>
      <c r="D548" s="18"/>
      <c r="E548" s="18"/>
      <c r="F548" s="18"/>
      <c r="G548" s="20" t="str">
        <f>+$G$4</f>
        <v>Week</v>
      </c>
      <c r="H548" s="20" t="str">
        <f>+G548</f>
        <v>Week</v>
      </c>
      <c r="I548" s="20" t="str">
        <f t="shared" si="139"/>
        <v>Week</v>
      </c>
      <c r="J548" s="20" t="str">
        <f t="shared" si="139"/>
        <v>Week</v>
      </c>
      <c r="K548" s="20" t="str">
        <f t="shared" si="139"/>
        <v>Week</v>
      </c>
      <c r="L548" s="20" t="str">
        <f t="shared" si="139"/>
        <v>Week</v>
      </c>
      <c r="M548" s="20" t="str">
        <f t="shared" si="139"/>
        <v>Week</v>
      </c>
      <c r="N548" s="21"/>
    </row>
    <row r="549" spans="1:24" ht="15.75" thickBot="1" x14ac:dyDescent="0.3">
      <c r="A549" s="14"/>
      <c r="B549" s="22"/>
      <c r="C549" s="23"/>
      <c r="D549" s="23"/>
      <c r="E549" s="23"/>
      <c r="F549" s="23"/>
      <c r="G549" s="25">
        <f>+$G$5</f>
        <v>1</v>
      </c>
      <c r="H549" s="25">
        <f>+$H$5</f>
        <v>2</v>
      </c>
      <c r="I549" s="25">
        <f>+$I$5</f>
        <v>3</v>
      </c>
      <c r="J549" s="25">
        <f>+$J$5</f>
        <v>4</v>
      </c>
      <c r="K549" s="25">
        <f>+$K$5</f>
        <v>5</v>
      </c>
      <c r="L549" s="25" t="s">
        <v>6</v>
      </c>
      <c r="M549" s="25" t="s">
        <v>7</v>
      </c>
      <c r="N549" s="26"/>
    </row>
    <row r="550" spans="1:24" x14ac:dyDescent="0.25">
      <c r="A550" s="14"/>
      <c r="B550" s="27"/>
      <c r="C550" s="28"/>
      <c r="D550" s="28"/>
      <c r="E550" s="28"/>
      <c r="F550" s="28"/>
      <c r="G550" s="29"/>
      <c r="H550" s="29"/>
      <c r="I550" s="29"/>
      <c r="J550" s="29"/>
      <c r="K550" s="28"/>
      <c r="L550" s="28"/>
      <c r="M550" s="28"/>
      <c r="N550" s="30"/>
    </row>
    <row r="551" spans="1:24" x14ac:dyDescent="0.25">
      <c r="A551" s="14"/>
      <c r="B551" s="27"/>
      <c r="C551" s="28" t="s">
        <v>8</v>
      </c>
      <c r="D551" s="28"/>
      <c r="E551" s="28"/>
      <c r="F551" s="28"/>
      <c r="G551" s="31" t="e">
        <f>SUM(G552:G555)</f>
        <v>#REF!</v>
      </c>
      <c r="H551" s="31" t="e">
        <f t="shared" ref="H551:L551" si="140">SUM(H552:H555)</f>
        <v>#REF!</v>
      </c>
      <c r="I551" s="31" t="e">
        <f t="shared" si="140"/>
        <v>#REF!</v>
      </c>
      <c r="J551" s="31" t="e">
        <f t="shared" si="140"/>
        <v>#REF!</v>
      </c>
      <c r="K551" s="31" t="e">
        <f t="shared" si="140"/>
        <v>#REF!</v>
      </c>
      <c r="L551" s="31" t="e">
        <f t="shared" si="140"/>
        <v>#REF!</v>
      </c>
      <c r="M551" s="31" t="e">
        <f>ROUND((L551/$E$1),0)</f>
        <v>#REF!</v>
      </c>
      <c r="N551" s="32"/>
    </row>
    <row r="552" spans="1:24" x14ac:dyDescent="0.25">
      <c r="A552" s="14"/>
      <c r="B552" s="27"/>
      <c r="C552" s="28"/>
      <c r="D552" s="28" t="s">
        <v>9</v>
      </c>
      <c r="E552" s="28"/>
      <c r="F552" s="28"/>
      <c r="G552" s="42" t="e">
        <f>+'Jul-24'!G552+'Aug-24'!G552+'Sep-24'!G552+'Oct-24'!G552+'Nov-24'!G552+'Dec-24'!G552+'Jan-25'!G552+'Feb-25'!G552+#REF!+#REF!+#REF!+'Dec-25'!G552</f>
        <v>#REF!</v>
      </c>
      <c r="H552" s="42" t="e">
        <f>+'Jul-24'!H552+'Aug-24'!H552+'Sep-24'!H552+'Oct-24'!H552+'Nov-24'!H552+'Dec-24'!H552+'Jan-25'!H552+'Feb-25'!H552+#REF!+#REF!+#REF!+'Dec-25'!H552</f>
        <v>#REF!</v>
      </c>
      <c r="I552" s="42" t="e">
        <f>+'Jul-24'!I552+'Aug-24'!I552+'Sep-24'!I552+'Oct-24'!I552+'Nov-24'!I552+'Dec-24'!I552+'Jan-25'!I552+'Feb-25'!I552+#REF!+#REF!+#REF!+'Dec-25'!I552</f>
        <v>#REF!</v>
      </c>
      <c r="J552" s="42" t="e">
        <f>+'Jul-24'!J552+'Aug-24'!J552+'Sep-24'!J552+'Oct-24'!J552+'Nov-24'!J552+'Dec-24'!J552+'Jan-25'!J552+'Feb-25'!J552+#REF!+#REF!+#REF!+'Dec-25'!J552</f>
        <v>#REF!</v>
      </c>
      <c r="K552" s="42" t="e">
        <f>+'Jul-24'!K552+'Aug-24'!K552+'Sep-24'!K552+'Oct-24'!K552+'Nov-24'!K552+'Dec-24'!K552+'Jan-25'!K552+'Feb-25'!K552+#REF!+#REF!+#REF!+'Dec-25'!K552</f>
        <v>#REF!</v>
      </c>
      <c r="L552" s="35" t="e">
        <f>SUM(G552:K552)</f>
        <v>#REF!</v>
      </c>
      <c r="M552" s="35" t="e">
        <f t="shared" ref="M552:M560" si="141">ROUND((L552/$E$1),0)</f>
        <v>#REF!</v>
      </c>
      <c r="N552" s="32"/>
    </row>
    <row r="553" spans="1:24" x14ac:dyDescent="0.25">
      <c r="A553" s="14"/>
      <c r="B553" s="27"/>
      <c r="C553" s="28"/>
      <c r="D553" s="28" t="s">
        <v>10</v>
      </c>
      <c r="E553" s="28"/>
      <c r="F553" s="28"/>
      <c r="G553" s="42" t="e">
        <f>+'Jul-24'!G553+'Aug-24'!G553+'Sep-24'!G553+'Oct-24'!G553+'Nov-24'!G553+'Dec-24'!G553+'Jan-25'!G553+'Feb-25'!G553+#REF!+#REF!+#REF!+'Dec-25'!G553</f>
        <v>#REF!</v>
      </c>
      <c r="H553" s="42" t="e">
        <f>+'Jul-24'!H553+'Aug-24'!H553+'Sep-24'!H553+'Oct-24'!H553+'Nov-24'!H553+'Dec-24'!H553+'Jan-25'!H553+'Feb-25'!H553+#REF!+#REF!+#REF!+'Dec-25'!H553</f>
        <v>#REF!</v>
      </c>
      <c r="I553" s="42" t="e">
        <f>+'Jul-24'!I553+'Aug-24'!I553+'Sep-24'!I553+'Oct-24'!I553+'Nov-24'!I553+'Dec-24'!I553+'Jan-25'!I553+'Feb-25'!I553+#REF!+#REF!+#REF!+'Dec-25'!I553</f>
        <v>#REF!</v>
      </c>
      <c r="J553" s="42" t="e">
        <f>+'Jul-24'!J553+'Aug-24'!J553+'Sep-24'!J553+'Oct-24'!J553+'Nov-24'!J553+'Dec-24'!J553+'Jan-25'!J553+'Feb-25'!J553+#REF!+#REF!+#REF!+'Dec-25'!J553</f>
        <v>#REF!</v>
      </c>
      <c r="K553" s="42" t="e">
        <f>+'Jul-24'!K553+'Aug-24'!K553+'Sep-24'!K553+'Oct-24'!K553+'Nov-24'!K553+'Dec-24'!K553+'Jan-25'!K553+'Feb-25'!K553+#REF!+#REF!+#REF!+'Dec-25'!K553</f>
        <v>#REF!</v>
      </c>
      <c r="L553" s="35" t="e">
        <f t="shared" ref="L553:L560" si="142">SUM(G553:K553)</f>
        <v>#REF!</v>
      </c>
      <c r="M553" s="35" t="e">
        <f t="shared" si="141"/>
        <v>#REF!</v>
      </c>
      <c r="N553" s="32"/>
    </row>
    <row r="554" spans="1:24" x14ac:dyDescent="0.25">
      <c r="A554" s="14"/>
      <c r="B554" s="27"/>
      <c r="C554" s="28"/>
      <c r="D554" s="28" t="s">
        <v>11</v>
      </c>
      <c r="E554" s="28"/>
      <c r="F554" s="28"/>
      <c r="G554" s="42" t="e">
        <f>+'Jul-24'!G554+'Aug-24'!G554+'Sep-24'!G554+'Oct-24'!G554+'Nov-24'!G554+'Dec-24'!G554+'Jan-25'!G554+'Feb-25'!G554+#REF!+#REF!+#REF!+'Dec-25'!G554</f>
        <v>#REF!</v>
      </c>
      <c r="H554" s="42" t="e">
        <f>+'Jul-24'!H554+'Aug-24'!H554+'Sep-24'!H554+'Oct-24'!H554+'Nov-24'!H554+'Dec-24'!H554+'Jan-25'!H554+'Feb-25'!H554+#REF!+#REF!+#REF!+'Dec-25'!H554</f>
        <v>#REF!</v>
      </c>
      <c r="I554" s="42" t="e">
        <f>+'Jul-24'!I554+'Aug-24'!I554+'Sep-24'!I554+'Oct-24'!I554+'Nov-24'!I554+'Dec-24'!I554+'Jan-25'!I554+'Feb-25'!I554+#REF!+#REF!+#REF!+'Dec-25'!I554</f>
        <v>#REF!</v>
      </c>
      <c r="J554" s="42" t="e">
        <f>+'Jul-24'!J554+'Aug-24'!J554+'Sep-24'!J554+'Oct-24'!J554+'Nov-24'!J554+'Dec-24'!J554+'Jan-25'!J554+'Feb-25'!J554+#REF!+#REF!+#REF!+'Dec-25'!J554</f>
        <v>#REF!</v>
      </c>
      <c r="K554" s="42" t="e">
        <f>+'Jul-24'!K554+'Aug-24'!K554+'Sep-24'!K554+'Oct-24'!K554+'Nov-24'!K554+'Dec-24'!K554+'Jan-25'!K554+'Feb-25'!K554+#REF!+#REF!+#REF!+'Dec-25'!K554</f>
        <v>#REF!</v>
      </c>
      <c r="L554" s="35" t="e">
        <f t="shared" si="142"/>
        <v>#REF!</v>
      </c>
      <c r="M554" s="35" t="e">
        <f t="shared" si="141"/>
        <v>#REF!</v>
      </c>
      <c r="N554" s="32"/>
    </row>
    <row r="555" spans="1:24" x14ac:dyDescent="0.25">
      <c r="A555" s="14"/>
      <c r="B555" s="27"/>
      <c r="C555" s="28"/>
      <c r="D555" s="28" t="s">
        <v>12</v>
      </c>
      <c r="E555" s="28"/>
      <c r="F555" s="28"/>
      <c r="G555" s="43" t="e">
        <f>+'Jul-24'!G555+'Aug-24'!G555+'Sep-24'!G555+'Oct-24'!G555+'Nov-24'!G555+'Dec-24'!G555+'Jan-25'!G555+'Feb-25'!G555+#REF!+#REF!+#REF!+'Dec-25'!G555</f>
        <v>#REF!</v>
      </c>
      <c r="H555" s="43" t="e">
        <f>+'Jul-24'!H555+'Aug-24'!H555+'Sep-24'!H555+'Oct-24'!H555+'Nov-24'!H555+'Dec-24'!H555+'Jan-25'!H555+'Feb-25'!H555+#REF!+#REF!+#REF!+'Dec-25'!H555</f>
        <v>#REF!</v>
      </c>
      <c r="I555" s="43" t="e">
        <f>+'Jul-24'!I555+'Aug-24'!I555+'Sep-24'!I555+'Oct-24'!I555+'Nov-24'!I555+'Dec-24'!I555+'Jan-25'!I555+'Feb-25'!I555+#REF!+#REF!+#REF!+'Dec-25'!I555</f>
        <v>#REF!</v>
      </c>
      <c r="J555" s="43" t="e">
        <f>+'Jul-24'!J555+'Aug-24'!J555+'Sep-24'!J555+'Oct-24'!J555+'Nov-24'!J555+'Dec-24'!J555+'Jan-25'!J555+'Feb-25'!J555+#REF!+#REF!+#REF!+'Dec-25'!J555</f>
        <v>#REF!</v>
      </c>
      <c r="K555" s="43" t="e">
        <f>+'Jul-24'!K555+'Aug-24'!K555+'Sep-24'!K555+'Oct-24'!K555+'Nov-24'!K555+'Dec-24'!K555+'Jan-25'!K555+'Feb-25'!K555+#REF!+#REF!+#REF!+'Dec-25'!K555</f>
        <v>#REF!</v>
      </c>
      <c r="L555" s="31" t="e">
        <f t="shared" si="142"/>
        <v>#REF!</v>
      </c>
      <c r="M555" s="31" t="e">
        <f t="shared" si="141"/>
        <v>#REF!</v>
      </c>
      <c r="N555" s="32"/>
    </row>
    <row r="556" spans="1:24" x14ac:dyDescent="0.25">
      <c r="A556" s="14"/>
      <c r="B556" s="27"/>
      <c r="C556" s="28" t="s">
        <v>13</v>
      </c>
      <c r="D556" s="28"/>
      <c r="E556" s="28"/>
      <c r="F556" s="28"/>
      <c r="G556" s="42" t="e">
        <f>+'Jul-24'!G556+'Aug-24'!G556+'Sep-24'!G556+'Oct-24'!G556+'Nov-24'!G556+'Dec-24'!G556+'Jan-25'!G556+'Feb-25'!G556+#REF!+#REF!+#REF!+'Dec-25'!G556</f>
        <v>#REF!</v>
      </c>
      <c r="H556" s="42" t="e">
        <f>+'Jul-24'!H556+'Aug-24'!H556+'Sep-24'!H556+'Oct-24'!H556+'Nov-24'!H556+'Dec-24'!H556+'Jan-25'!H556+'Feb-25'!H556+#REF!+#REF!+#REF!+'Dec-25'!H556</f>
        <v>#REF!</v>
      </c>
      <c r="I556" s="42" t="e">
        <f>+'Jul-24'!I556+'Aug-24'!I556+'Sep-24'!I556+'Oct-24'!I556+'Nov-24'!I556+'Dec-24'!I556+'Jan-25'!I556+'Feb-25'!I556+#REF!+#REF!+#REF!+'Dec-25'!I556</f>
        <v>#REF!</v>
      </c>
      <c r="J556" s="42" t="e">
        <f>+'Jul-24'!J556+'Aug-24'!J556+'Sep-24'!J556+'Oct-24'!J556+'Nov-24'!J556+'Dec-24'!J556+'Jan-25'!J556+'Feb-25'!J556+#REF!+#REF!+#REF!+'Dec-25'!J556</f>
        <v>#REF!</v>
      </c>
      <c r="K556" s="42" t="e">
        <f>+'Jul-24'!K556+'Aug-24'!K556+'Sep-24'!K556+'Oct-24'!K556+'Nov-24'!K556+'Dec-24'!K556+'Jan-25'!K556+'Feb-25'!K556+#REF!+#REF!+#REF!+'Dec-25'!K556</f>
        <v>#REF!</v>
      </c>
      <c r="L556" s="35" t="e">
        <f t="shared" si="142"/>
        <v>#REF!</v>
      </c>
      <c r="M556" s="35" t="e">
        <f t="shared" si="141"/>
        <v>#REF!</v>
      </c>
      <c r="N556" s="32"/>
    </row>
    <row r="557" spans="1:24" x14ac:dyDescent="0.25">
      <c r="A557" s="14"/>
      <c r="B557" s="27"/>
      <c r="C557" s="28" t="s">
        <v>14</v>
      </c>
      <c r="D557" s="28"/>
      <c r="E557" s="28"/>
      <c r="F557" s="28"/>
      <c r="G557" s="42" t="e">
        <f>+'Jul-24'!G557+'Aug-24'!G557+'Sep-24'!G557+'Oct-24'!G557+'Nov-24'!G557+'Dec-24'!G557+'Jan-25'!G557+'Feb-25'!G557+#REF!+#REF!+#REF!+'Dec-25'!G557</f>
        <v>#REF!</v>
      </c>
      <c r="H557" s="42" t="e">
        <f>+'Jul-24'!H557+'Aug-24'!H557+'Sep-24'!H557+'Oct-24'!H557+'Nov-24'!H557+'Dec-24'!H557+'Jan-25'!H557+'Feb-25'!H557+#REF!+#REF!+#REF!+'Dec-25'!H557</f>
        <v>#REF!</v>
      </c>
      <c r="I557" s="42" t="e">
        <f>+'Jul-24'!I557+'Aug-24'!I557+'Sep-24'!I557+'Oct-24'!I557+'Nov-24'!I557+'Dec-24'!I557+'Jan-25'!I557+'Feb-25'!I557+#REF!+#REF!+#REF!+'Dec-25'!I557</f>
        <v>#REF!</v>
      </c>
      <c r="J557" s="42" t="e">
        <f>+'Jul-24'!J557+'Aug-24'!J557+'Sep-24'!J557+'Oct-24'!J557+'Nov-24'!J557+'Dec-24'!J557+'Jan-25'!J557+'Feb-25'!J557+#REF!+#REF!+#REF!+'Dec-25'!J557</f>
        <v>#REF!</v>
      </c>
      <c r="K557" s="42" t="e">
        <f>+'Jul-24'!K557+'Aug-24'!K557+'Sep-24'!K557+'Oct-24'!K557+'Nov-24'!K557+'Dec-24'!K557+'Jan-25'!K557+'Feb-25'!K557+#REF!+#REF!+#REF!+'Dec-25'!K557</f>
        <v>#REF!</v>
      </c>
      <c r="L557" s="35" t="e">
        <f t="shared" si="142"/>
        <v>#REF!</v>
      </c>
      <c r="M557" s="35" t="e">
        <f t="shared" si="141"/>
        <v>#REF!</v>
      </c>
      <c r="N557" s="32"/>
    </row>
    <row r="558" spans="1:24" x14ac:dyDescent="0.25">
      <c r="A558" s="14"/>
      <c r="B558" s="27"/>
      <c r="C558" s="28" t="s">
        <v>4</v>
      </c>
      <c r="D558" s="28"/>
      <c r="E558" s="28"/>
      <c r="F558" s="28"/>
      <c r="G558" s="42" t="e">
        <f>+'Jul-24'!G558+'Aug-24'!G558+'Sep-24'!G558+'Oct-24'!G558+'Nov-24'!G558+'Dec-24'!G558+'Jan-25'!G558+'Feb-25'!G558+#REF!+#REF!+#REF!+'Dec-25'!G558</f>
        <v>#REF!</v>
      </c>
      <c r="H558" s="42" t="e">
        <f>+'Jul-24'!H558+'Aug-24'!H558+'Sep-24'!H558+'Oct-24'!H558+'Nov-24'!H558+'Dec-24'!H558+'Jan-25'!H558+'Feb-25'!H558+#REF!+#REF!+#REF!+'Dec-25'!H558</f>
        <v>#REF!</v>
      </c>
      <c r="I558" s="42" t="e">
        <f>+'Jul-24'!I558+'Aug-24'!I558+'Sep-24'!I558+'Oct-24'!I558+'Nov-24'!I558+'Dec-24'!I558+'Jan-25'!I558+'Feb-25'!I558+#REF!+#REF!+#REF!+'Dec-25'!I558</f>
        <v>#REF!</v>
      </c>
      <c r="J558" s="42" t="e">
        <f>+'Jul-24'!J558+'Aug-24'!J558+'Sep-24'!J558+'Oct-24'!J558+'Nov-24'!J558+'Dec-24'!J558+'Jan-25'!J558+'Feb-25'!J558+#REF!+#REF!+#REF!+'Dec-25'!J558</f>
        <v>#REF!</v>
      </c>
      <c r="K558" s="42" t="e">
        <f>+'Jul-24'!K558+'Aug-24'!K558+'Sep-24'!K558+'Oct-24'!K558+'Nov-24'!K558+'Dec-24'!K558+'Jan-25'!K558+'Feb-25'!K558+#REF!+#REF!+#REF!+'Dec-25'!K558</f>
        <v>#REF!</v>
      </c>
      <c r="L558" s="35" t="e">
        <f t="shared" si="142"/>
        <v>#REF!</v>
      </c>
      <c r="M558" s="35" t="e">
        <f t="shared" si="141"/>
        <v>#REF!</v>
      </c>
      <c r="N558" s="32"/>
    </row>
    <row r="559" spans="1:24" x14ac:dyDescent="0.25">
      <c r="A559" s="14"/>
      <c r="B559" s="27"/>
      <c r="C559" s="28" t="s">
        <v>15</v>
      </c>
      <c r="D559" s="28"/>
      <c r="E559" s="28"/>
      <c r="F559" s="28"/>
      <c r="G559" s="42" t="e">
        <f>+'Jul-24'!G559+'Aug-24'!G559+'Sep-24'!G559+'Oct-24'!G559+'Nov-24'!G559+'Dec-24'!G559+'Jan-25'!G559+'Feb-25'!G559+#REF!+#REF!+#REF!+'Dec-25'!G559</f>
        <v>#REF!</v>
      </c>
      <c r="H559" s="42" t="e">
        <f>+'Jul-24'!H559+'Aug-24'!H559+'Sep-24'!H559+'Oct-24'!H559+'Nov-24'!H559+'Dec-24'!H559+'Jan-25'!H559+'Feb-25'!H559+#REF!+#REF!+#REF!+'Dec-25'!H559</f>
        <v>#REF!</v>
      </c>
      <c r="I559" s="42" t="e">
        <f>+'Jul-24'!I559+'Aug-24'!I559+'Sep-24'!I559+'Oct-24'!I559+'Nov-24'!I559+'Dec-24'!I559+'Jan-25'!I559+'Feb-25'!I559+#REF!+#REF!+#REF!+'Dec-25'!I559</f>
        <v>#REF!</v>
      </c>
      <c r="J559" s="42" t="e">
        <f>+'Jul-24'!J559+'Aug-24'!J559+'Sep-24'!J559+'Oct-24'!J559+'Nov-24'!J559+'Dec-24'!J559+'Jan-25'!J559+'Feb-25'!J559+#REF!+#REF!+#REF!+'Dec-25'!J559</f>
        <v>#REF!</v>
      </c>
      <c r="K559" s="42" t="e">
        <f>+'Jul-24'!K559+'Aug-24'!K559+'Sep-24'!K559+'Oct-24'!K559+'Nov-24'!K559+'Dec-24'!K559+'Jan-25'!K559+'Feb-25'!K559+#REF!+#REF!+#REF!+'Dec-25'!K559</f>
        <v>#REF!</v>
      </c>
      <c r="L559" s="35" t="e">
        <f t="shared" si="142"/>
        <v>#REF!</v>
      </c>
      <c r="M559" s="35" t="e">
        <f t="shared" si="141"/>
        <v>#REF!</v>
      </c>
      <c r="N559" s="32"/>
    </row>
    <row r="560" spans="1:24" x14ac:dyDescent="0.25">
      <c r="A560" s="14"/>
      <c r="B560" s="27"/>
      <c r="C560" s="28" t="s">
        <v>16</v>
      </c>
      <c r="D560" s="28"/>
      <c r="E560" s="28"/>
      <c r="F560" s="28"/>
      <c r="G560" s="42" t="e">
        <f>+'Jul-24'!G560+'Aug-24'!G560+'Sep-24'!G560+'Oct-24'!G560+'Nov-24'!G560+'Dec-24'!G560+'Jan-25'!G560+'Feb-25'!G560+#REF!+#REF!+#REF!+'Dec-25'!G560</f>
        <v>#REF!</v>
      </c>
      <c r="H560" s="42" t="e">
        <f>+'Jul-24'!H560+'Aug-24'!H560+'Sep-24'!H560+'Oct-24'!H560+'Nov-24'!H560+'Dec-24'!H560+'Jan-25'!H560+'Feb-25'!H560+#REF!+#REF!+#REF!+'Dec-25'!H560</f>
        <v>#REF!</v>
      </c>
      <c r="I560" s="42" t="e">
        <f>+'Jul-24'!I560+'Aug-24'!I560+'Sep-24'!I560+'Oct-24'!I560+'Nov-24'!I560+'Dec-24'!I560+'Jan-25'!I560+'Feb-25'!I560+#REF!+#REF!+#REF!+'Dec-25'!I560</f>
        <v>#REF!</v>
      </c>
      <c r="J560" s="42" t="e">
        <f>+'Jul-24'!J560+'Aug-24'!J560+'Sep-24'!J560+'Oct-24'!J560+'Nov-24'!J560+'Dec-24'!J560+'Jan-25'!J560+'Feb-25'!J560+#REF!+#REF!+#REF!+'Dec-25'!J560</f>
        <v>#REF!</v>
      </c>
      <c r="K560" s="42" t="e">
        <f>+'Jul-24'!K560+'Aug-24'!K560+'Sep-24'!K560+'Oct-24'!K560+'Nov-24'!K560+'Dec-24'!K560+'Jan-25'!K560+'Feb-25'!K560+#REF!+#REF!+#REF!+'Dec-25'!K560</f>
        <v>#REF!</v>
      </c>
      <c r="L560" s="35" t="e">
        <f t="shared" si="142"/>
        <v>#REF!</v>
      </c>
      <c r="M560" s="35" t="e">
        <f t="shared" si="141"/>
        <v>#REF!</v>
      </c>
      <c r="N560" s="32"/>
    </row>
    <row r="561" spans="1:24" ht="15.75" thickBot="1" x14ac:dyDescent="0.3">
      <c r="A561" s="14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4">
        <f>+A547+1</f>
        <v>35</v>
      </c>
      <c r="B563" s="40"/>
      <c r="C563" s="6" t="s">
        <v>51</v>
      </c>
      <c r="D563" s="7"/>
      <c r="E563" s="8"/>
      <c r="F563" s="8"/>
      <c r="G563" s="10">
        <f>+$G$3</f>
        <v>2024</v>
      </c>
      <c r="H563" s="10">
        <f>+G563</f>
        <v>2024</v>
      </c>
      <c r="I563" s="10">
        <f t="shared" ref="I563:M564" si="143">+H563</f>
        <v>2024</v>
      </c>
      <c r="J563" s="10">
        <f t="shared" si="143"/>
        <v>2024</v>
      </c>
      <c r="K563" s="10">
        <f t="shared" si="143"/>
        <v>2024</v>
      </c>
      <c r="L563" s="10">
        <f t="shared" si="143"/>
        <v>2024</v>
      </c>
      <c r="M563" s="10">
        <f t="shared" si="143"/>
        <v>2024</v>
      </c>
      <c r="N563" s="11"/>
      <c r="P563" s="44"/>
      <c r="S563" s="12" t="str">
        <f>+C563</f>
        <v>Njakeni</v>
      </c>
      <c r="T563" s="13" t="e">
        <f>+L567</f>
        <v>#REF!</v>
      </c>
      <c r="U563" s="13" t="e">
        <f>+L568+L569</f>
        <v>#REF!</v>
      </c>
      <c r="V563" s="13" t="e">
        <f>+L570+L571</f>
        <v>#REF!</v>
      </c>
      <c r="W563" s="13" t="e">
        <f>+L574</f>
        <v>#REF!</v>
      </c>
      <c r="X563" s="13" t="e">
        <f>+L572</f>
        <v>#REF!</v>
      </c>
    </row>
    <row r="564" spans="1:24" x14ac:dyDescent="0.25">
      <c r="A564" s="14"/>
      <c r="B564" s="15"/>
      <c r="C564" s="41" t="str">
        <f>+$C548</f>
        <v>Year to Date 2024/2025</v>
      </c>
      <c r="D564" s="18"/>
      <c r="E564" s="18"/>
      <c r="F564" s="18"/>
      <c r="G564" s="20" t="str">
        <f>+$G$4</f>
        <v>Week</v>
      </c>
      <c r="H564" s="20" t="str">
        <f>+G564</f>
        <v>Week</v>
      </c>
      <c r="I564" s="20" t="str">
        <f t="shared" si="143"/>
        <v>Week</v>
      </c>
      <c r="J564" s="20" t="str">
        <f t="shared" si="143"/>
        <v>Week</v>
      </c>
      <c r="K564" s="20" t="str">
        <f t="shared" si="143"/>
        <v>Week</v>
      </c>
      <c r="L564" s="20" t="str">
        <f t="shared" si="143"/>
        <v>Week</v>
      </c>
      <c r="M564" s="20" t="str">
        <f t="shared" si="143"/>
        <v>Week</v>
      </c>
      <c r="N564" s="21"/>
    </row>
    <row r="565" spans="1:24" ht="15.75" thickBot="1" x14ac:dyDescent="0.3">
      <c r="A565" s="14"/>
      <c r="B565" s="22"/>
      <c r="C565" s="23"/>
      <c r="D565" s="23"/>
      <c r="E565" s="23"/>
      <c r="F565" s="23"/>
      <c r="G565" s="25">
        <f>+$G$5</f>
        <v>1</v>
      </c>
      <c r="H565" s="25">
        <f>+$H$5</f>
        <v>2</v>
      </c>
      <c r="I565" s="25">
        <f>+$I$5</f>
        <v>3</v>
      </c>
      <c r="J565" s="25">
        <f>+$J$5</f>
        <v>4</v>
      </c>
      <c r="K565" s="25">
        <f>+$K$5</f>
        <v>5</v>
      </c>
      <c r="L565" s="25" t="s">
        <v>6</v>
      </c>
      <c r="M565" s="25" t="s">
        <v>7</v>
      </c>
      <c r="N565" s="26"/>
    </row>
    <row r="566" spans="1:24" x14ac:dyDescent="0.25">
      <c r="A566" s="14"/>
      <c r="B566" s="27"/>
      <c r="C566" s="28"/>
      <c r="D566" s="28"/>
      <c r="E566" s="28"/>
      <c r="F566" s="28"/>
      <c r="G566" s="29"/>
      <c r="H566" s="29"/>
      <c r="I566" s="29"/>
      <c r="J566" s="29"/>
      <c r="K566" s="28"/>
      <c r="L566" s="28"/>
      <c r="M566" s="28"/>
      <c r="N566" s="30"/>
    </row>
    <row r="567" spans="1:24" x14ac:dyDescent="0.25">
      <c r="A567" s="14"/>
      <c r="B567" s="27"/>
      <c r="C567" s="28" t="s">
        <v>8</v>
      </c>
      <c r="D567" s="28"/>
      <c r="E567" s="28"/>
      <c r="F567" s="28"/>
      <c r="G567" s="31" t="e">
        <f>SUM(G568:G571)</f>
        <v>#REF!</v>
      </c>
      <c r="H567" s="31" t="e">
        <f t="shared" ref="H567:L567" si="144">SUM(H568:H571)</f>
        <v>#REF!</v>
      </c>
      <c r="I567" s="31" t="e">
        <f t="shared" si="144"/>
        <v>#REF!</v>
      </c>
      <c r="J567" s="31" t="e">
        <f t="shared" si="144"/>
        <v>#REF!</v>
      </c>
      <c r="K567" s="31" t="e">
        <f t="shared" si="144"/>
        <v>#REF!</v>
      </c>
      <c r="L567" s="31" t="e">
        <f t="shared" si="144"/>
        <v>#REF!</v>
      </c>
      <c r="M567" s="31" t="e">
        <f>ROUND((L567/$E$1),0)</f>
        <v>#REF!</v>
      </c>
      <c r="N567" s="32"/>
    </row>
    <row r="568" spans="1:24" x14ac:dyDescent="0.25">
      <c r="A568" s="14"/>
      <c r="B568" s="27"/>
      <c r="C568" s="28"/>
      <c r="D568" s="28" t="s">
        <v>9</v>
      </c>
      <c r="E568" s="28"/>
      <c r="F568" s="28"/>
      <c r="G568" s="42" t="e">
        <f>+'Jul-24'!G568+'Aug-24'!G568+'Sep-24'!G568+'Oct-24'!G568+'Nov-24'!G568+'Dec-24'!G568+'Jan-25'!G568+'Feb-25'!G568+#REF!+#REF!+#REF!+'Dec-25'!G568</f>
        <v>#REF!</v>
      </c>
      <c r="H568" s="42" t="e">
        <f>+'Jul-24'!H568+'Aug-24'!H568+'Sep-24'!H568+'Oct-24'!H568+'Nov-24'!H568+'Dec-24'!H568+'Jan-25'!H568+'Feb-25'!H568+#REF!+#REF!+#REF!+'Dec-25'!H568</f>
        <v>#REF!</v>
      </c>
      <c r="I568" s="42" t="e">
        <f>+'Jul-24'!I568+'Aug-24'!I568+'Sep-24'!I568+'Oct-24'!I568+'Nov-24'!I568+'Dec-24'!I568+'Jan-25'!I568+'Feb-25'!I568+#REF!+#REF!+#REF!+'Dec-25'!I568</f>
        <v>#REF!</v>
      </c>
      <c r="J568" s="42" t="e">
        <f>+'Jul-24'!J568+'Aug-24'!J568+'Sep-24'!J568+'Oct-24'!J568+'Nov-24'!J568+'Dec-24'!J568+'Jan-25'!J568+'Feb-25'!J568+#REF!+#REF!+#REF!+'Dec-25'!J568</f>
        <v>#REF!</v>
      </c>
      <c r="K568" s="42" t="e">
        <f>+'Jul-24'!K568+'Aug-24'!K568+'Sep-24'!K568+'Oct-24'!K568+'Nov-24'!K568+'Dec-24'!K568+'Jan-25'!K568+'Feb-25'!K568+#REF!+#REF!+#REF!+'Dec-25'!K568</f>
        <v>#REF!</v>
      </c>
      <c r="L568" s="35" t="e">
        <f>SUM(G568:K568)</f>
        <v>#REF!</v>
      </c>
      <c r="M568" s="35" t="e">
        <f t="shared" ref="M568:M576" si="145">ROUND((L568/$E$1),0)</f>
        <v>#REF!</v>
      </c>
      <c r="N568" s="32"/>
    </row>
    <row r="569" spans="1:24" x14ac:dyDescent="0.25">
      <c r="A569" s="14"/>
      <c r="B569" s="27"/>
      <c r="C569" s="28"/>
      <c r="D569" s="28" t="s">
        <v>10</v>
      </c>
      <c r="E569" s="28"/>
      <c r="F569" s="28"/>
      <c r="G569" s="42" t="e">
        <f>+'Jul-24'!G569+'Aug-24'!G569+'Sep-24'!G569+'Oct-24'!G569+'Nov-24'!G569+'Dec-24'!G569+'Jan-25'!G569+'Feb-25'!G569+#REF!+#REF!+#REF!+'Dec-25'!G569</f>
        <v>#REF!</v>
      </c>
      <c r="H569" s="42" t="e">
        <f>+'Jul-24'!H569+'Aug-24'!H569+'Sep-24'!H569+'Oct-24'!H569+'Nov-24'!H569+'Dec-24'!H569+'Jan-25'!H569+'Feb-25'!H569+#REF!+#REF!+#REF!+'Dec-25'!H569</f>
        <v>#REF!</v>
      </c>
      <c r="I569" s="42" t="e">
        <f>+'Jul-24'!I569+'Aug-24'!I569+'Sep-24'!I569+'Oct-24'!I569+'Nov-24'!I569+'Dec-24'!I569+'Jan-25'!I569+'Feb-25'!I569+#REF!+#REF!+#REF!+'Dec-25'!I569</f>
        <v>#REF!</v>
      </c>
      <c r="J569" s="42" t="e">
        <f>+'Jul-24'!J569+'Aug-24'!J569+'Sep-24'!J569+'Oct-24'!J569+'Nov-24'!J569+'Dec-24'!J569+'Jan-25'!J569+'Feb-25'!J569+#REF!+#REF!+#REF!+'Dec-25'!J569</f>
        <v>#REF!</v>
      </c>
      <c r="K569" s="42" t="e">
        <f>+'Jul-24'!K569+'Aug-24'!K569+'Sep-24'!K569+'Oct-24'!K569+'Nov-24'!K569+'Dec-24'!K569+'Jan-25'!K569+'Feb-25'!K569+#REF!+#REF!+#REF!+'Dec-25'!K569</f>
        <v>#REF!</v>
      </c>
      <c r="L569" s="35" t="e">
        <f t="shared" ref="L569:L576" si="146">SUM(G569:K569)</f>
        <v>#REF!</v>
      </c>
      <c r="M569" s="35" t="e">
        <f t="shared" si="145"/>
        <v>#REF!</v>
      </c>
      <c r="N569" s="32"/>
    </row>
    <row r="570" spans="1:24" x14ac:dyDescent="0.25">
      <c r="A570" s="14"/>
      <c r="B570" s="27"/>
      <c r="C570" s="28"/>
      <c r="D570" s="28" t="s">
        <v>11</v>
      </c>
      <c r="E570" s="28"/>
      <c r="F570" s="28"/>
      <c r="G570" s="42" t="e">
        <f>+'Jul-24'!G570+'Aug-24'!G570+'Sep-24'!G570+'Oct-24'!G570+'Nov-24'!G570+'Dec-24'!G570+'Jan-25'!G570+'Feb-25'!G570+#REF!+#REF!+#REF!+'Dec-25'!G570</f>
        <v>#REF!</v>
      </c>
      <c r="H570" s="42" t="e">
        <f>+'Jul-24'!H570+'Aug-24'!H570+'Sep-24'!H570+'Oct-24'!H570+'Nov-24'!H570+'Dec-24'!H570+'Jan-25'!H570+'Feb-25'!H570+#REF!+#REF!+#REF!+'Dec-25'!H570</f>
        <v>#REF!</v>
      </c>
      <c r="I570" s="42" t="e">
        <f>+'Jul-24'!I570+'Aug-24'!I570+'Sep-24'!I570+'Oct-24'!I570+'Nov-24'!I570+'Dec-24'!I570+'Jan-25'!I570+'Feb-25'!I570+#REF!+#REF!+#REF!+'Dec-25'!I570</f>
        <v>#REF!</v>
      </c>
      <c r="J570" s="42" t="e">
        <f>+'Jul-24'!J570+'Aug-24'!J570+'Sep-24'!J570+'Oct-24'!J570+'Nov-24'!J570+'Dec-24'!J570+'Jan-25'!J570+'Feb-25'!J570+#REF!+#REF!+#REF!+'Dec-25'!J570</f>
        <v>#REF!</v>
      </c>
      <c r="K570" s="42" t="e">
        <f>+'Jul-24'!K570+'Aug-24'!K570+'Sep-24'!K570+'Oct-24'!K570+'Nov-24'!K570+'Dec-24'!K570+'Jan-25'!K570+'Feb-25'!K570+#REF!+#REF!+#REF!+'Dec-25'!K570</f>
        <v>#REF!</v>
      </c>
      <c r="L570" s="35" t="e">
        <f t="shared" si="146"/>
        <v>#REF!</v>
      </c>
      <c r="M570" s="35" t="e">
        <f t="shared" si="145"/>
        <v>#REF!</v>
      </c>
      <c r="N570" s="32"/>
    </row>
    <row r="571" spans="1:24" x14ac:dyDescent="0.25">
      <c r="A571" s="14"/>
      <c r="B571" s="27"/>
      <c r="C571" s="28"/>
      <c r="D571" s="28" t="s">
        <v>12</v>
      </c>
      <c r="E571" s="28"/>
      <c r="F571" s="28"/>
      <c r="G571" s="43" t="e">
        <f>+'Jul-24'!G571+'Aug-24'!G571+'Sep-24'!G571+'Oct-24'!G571+'Nov-24'!G571+'Dec-24'!G571+'Jan-25'!G571+'Feb-25'!G571+#REF!+#REF!+#REF!+'Dec-25'!G571</f>
        <v>#REF!</v>
      </c>
      <c r="H571" s="43" t="e">
        <f>+'Jul-24'!H571+'Aug-24'!H571+'Sep-24'!H571+'Oct-24'!H571+'Nov-24'!H571+'Dec-24'!H571+'Jan-25'!H571+'Feb-25'!H571+#REF!+#REF!+#REF!+'Dec-25'!H571</f>
        <v>#REF!</v>
      </c>
      <c r="I571" s="43" t="e">
        <f>+'Jul-24'!I571+'Aug-24'!I571+'Sep-24'!I571+'Oct-24'!I571+'Nov-24'!I571+'Dec-24'!I571+'Jan-25'!I571+'Feb-25'!I571+#REF!+#REF!+#REF!+'Dec-25'!I571</f>
        <v>#REF!</v>
      </c>
      <c r="J571" s="43" t="e">
        <f>+'Jul-24'!J571+'Aug-24'!J571+'Sep-24'!J571+'Oct-24'!J571+'Nov-24'!J571+'Dec-24'!J571+'Jan-25'!J571+'Feb-25'!J571+#REF!+#REF!+#REF!+'Dec-25'!J571</f>
        <v>#REF!</v>
      </c>
      <c r="K571" s="43" t="e">
        <f>+'Jul-24'!K571+'Aug-24'!K571+'Sep-24'!K571+'Oct-24'!K571+'Nov-24'!K571+'Dec-24'!K571+'Jan-25'!K571+'Feb-25'!K571+#REF!+#REF!+#REF!+'Dec-25'!K571</f>
        <v>#REF!</v>
      </c>
      <c r="L571" s="31" t="e">
        <f t="shared" si="146"/>
        <v>#REF!</v>
      </c>
      <c r="M571" s="31" t="e">
        <f t="shared" si="145"/>
        <v>#REF!</v>
      </c>
      <c r="N571" s="32"/>
    </row>
    <row r="572" spans="1:24" x14ac:dyDescent="0.25">
      <c r="A572" s="14"/>
      <c r="B572" s="27"/>
      <c r="C572" s="28" t="s">
        <v>13</v>
      </c>
      <c r="D572" s="28"/>
      <c r="E572" s="28"/>
      <c r="F572" s="28"/>
      <c r="G572" s="42" t="e">
        <f>+'Jul-24'!G572+'Aug-24'!G572+'Sep-24'!G572+'Oct-24'!G572+'Nov-24'!G572+'Dec-24'!G572+'Jan-25'!G572+'Feb-25'!G572+#REF!+#REF!+#REF!+'Dec-25'!G572</f>
        <v>#REF!</v>
      </c>
      <c r="H572" s="42" t="e">
        <f>+'Jul-24'!H572+'Aug-24'!H572+'Sep-24'!H572+'Oct-24'!H572+'Nov-24'!H572+'Dec-24'!H572+'Jan-25'!H572+'Feb-25'!H572+#REF!+#REF!+#REF!+'Dec-25'!H572</f>
        <v>#REF!</v>
      </c>
      <c r="I572" s="42" t="e">
        <f>+'Jul-24'!I572+'Aug-24'!I572+'Sep-24'!I572+'Oct-24'!I572+'Nov-24'!I572+'Dec-24'!I572+'Jan-25'!I572+'Feb-25'!I572+#REF!+#REF!+#REF!+'Dec-25'!I572</f>
        <v>#REF!</v>
      </c>
      <c r="J572" s="42" t="e">
        <f>+'Jul-24'!J572+'Aug-24'!J572+'Sep-24'!J572+'Oct-24'!J572+'Nov-24'!J572+'Dec-24'!J572+'Jan-25'!J572+'Feb-25'!J572+#REF!+#REF!+#REF!+'Dec-25'!J572</f>
        <v>#REF!</v>
      </c>
      <c r="K572" s="42" t="e">
        <f>+'Jul-24'!K572+'Aug-24'!K572+'Sep-24'!K572+'Oct-24'!K572+'Nov-24'!K572+'Dec-24'!K572+'Jan-25'!K572+'Feb-25'!K572+#REF!+#REF!+#REF!+'Dec-25'!K572</f>
        <v>#REF!</v>
      </c>
      <c r="L572" s="35" t="e">
        <f t="shared" si="146"/>
        <v>#REF!</v>
      </c>
      <c r="M572" s="35" t="e">
        <f t="shared" si="145"/>
        <v>#REF!</v>
      </c>
      <c r="N572" s="32"/>
    </row>
    <row r="573" spans="1:24" x14ac:dyDescent="0.25">
      <c r="A573" s="14"/>
      <c r="B573" s="27"/>
      <c r="C573" s="28" t="s">
        <v>14</v>
      </c>
      <c r="D573" s="28"/>
      <c r="E573" s="28"/>
      <c r="F573" s="28"/>
      <c r="G573" s="42" t="e">
        <f>+'Jul-24'!G573+'Aug-24'!G573+'Sep-24'!G573+'Oct-24'!G573+'Nov-24'!G573+'Dec-24'!G573+'Jan-25'!G573+'Feb-25'!G573+#REF!+#REF!+#REF!+'Dec-25'!G573</f>
        <v>#REF!</v>
      </c>
      <c r="H573" s="42" t="e">
        <f>+'Jul-24'!H573+'Aug-24'!H573+'Sep-24'!H573+'Oct-24'!H573+'Nov-24'!H573+'Dec-24'!H573+'Jan-25'!H573+'Feb-25'!H573+#REF!+#REF!+#REF!+'Dec-25'!H573</f>
        <v>#REF!</v>
      </c>
      <c r="I573" s="42" t="e">
        <f>+'Jul-24'!I573+'Aug-24'!I573+'Sep-24'!I573+'Oct-24'!I573+'Nov-24'!I573+'Dec-24'!I573+'Jan-25'!I573+'Feb-25'!I573+#REF!+#REF!+#REF!+'Dec-25'!I573</f>
        <v>#REF!</v>
      </c>
      <c r="J573" s="42" t="e">
        <f>+'Jul-24'!J573+'Aug-24'!J573+'Sep-24'!J573+'Oct-24'!J573+'Nov-24'!J573+'Dec-24'!J573+'Jan-25'!J573+'Feb-25'!J573+#REF!+#REF!+#REF!+'Dec-25'!J573</f>
        <v>#REF!</v>
      </c>
      <c r="K573" s="42" t="e">
        <f>+'Jul-24'!K573+'Aug-24'!K573+'Sep-24'!K573+'Oct-24'!K573+'Nov-24'!K573+'Dec-24'!K573+'Jan-25'!K573+'Feb-25'!K573+#REF!+#REF!+#REF!+'Dec-25'!K573</f>
        <v>#REF!</v>
      </c>
      <c r="L573" s="35" t="e">
        <f t="shared" si="146"/>
        <v>#REF!</v>
      </c>
      <c r="M573" s="35" t="e">
        <f t="shared" si="145"/>
        <v>#REF!</v>
      </c>
      <c r="N573" s="32"/>
    </row>
    <row r="574" spans="1:24" x14ac:dyDescent="0.25">
      <c r="A574" s="14"/>
      <c r="B574" s="27"/>
      <c r="C574" s="28" t="s">
        <v>4</v>
      </c>
      <c r="D574" s="28"/>
      <c r="E574" s="28"/>
      <c r="F574" s="28"/>
      <c r="G574" s="42" t="e">
        <f>+'Jul-24'!G574+'Aug-24'!G574+'Sep-24'!G574+'Oct-24'!G574+'Nov-24'!G574+'Dec-24'!G574+'Jan-25'!G574+'Feb-25'!G574+#REF!+#REF!+#REF!+'Dec-25'!G574</f>
        <v>#REF!</v>
      </c>
      <c r="H574" s="42" t="e">
        <f>+'Jul-24'!H574+'Aug-24'!H574+'Sep-24'!H574+'Oct-24'!H574+'Nov-24'!H574+'Dec-24'!H574+'Jan-25'!H574+'Feb-25'!H574+#REF!+#REF!+#REF!+'Dec-25'!H574</f>
        <v>#REF!</v>
      </c>
      <c r="I574" s="42" t="e">
        <f>+'Jul-24'!I574+'Aug-24'!I574+'Sep-24'!I574+'Oct-24'!I574+'Nov-24'!I574+'Dec-24'!I574+'Jan-25'!I574+'Feb-25'!I574+#REF!+#REF!+#REF!+'Dec-25'!I574</f>
        <v>#REF!</v>
      </c>
      <c r="J574" s="42" t="e">
        <f>+'Jul-24'!J574+'Aug-24'!J574+'Sep-24'!J574+'Oct-24'!J574+'Nov-24'!J574+'Dec-24'!J574+'Jan-25'!J574+'Feb-25'!J574+#REF!+#REF!+#REF!+'Dec-25'!J574</f>
        <v>#REF!</v>
      </c>
      <c r="K574" s="42" t="e">
        <f>+'Jul-24'!K574+'Aug-24'!K574+'Sep-24'!K574+'Oct-24'!K574+'Nov-24'!K574+'Dec-24'!K574+'Jan-25'!K574+'Feb-25'!K574+#REF!+#REF!+#REF!+'Dec-25'!K574</f>
        <v>#REF!</v>
      </c>
      <c r="L574" s="35" t="e">
        <f t="shared" si="146"/>
        <v>#REF!</v>
      </c>
      <c r="M574" s="35" t="e">
        <f t="shared" si="145"/>
        <v>#REF!</v>
      </c>
      <c r="N574" s="32"/>
    </row>
    <row r="575" spans="1:24" x14ac:dyDescent="0.25">
      <c r="A575" s="14"/>
      <c r="B575" s="27"/>
      <c r="C575" s="28" t="s">
        <v>15</v>
      </c>
      <c r="D575" s="28"/>
      <c r="E575" s="28"/>
      <c r="F575" s="28"/>
      <c r="G575" s="42" t="e">
        <f>+'Jul-24'!G575+'Aug-24'!G575+'Sep-24'!G575+'Oct-24'!G575+'Nov-24'!G575+'Dec-24'!G575+'Jan-25'!G575+'Feb-25'!G575+#REF!+#REF!+#REF!+'Dec-25'!G575</f>
        <v>#REF!</v>
      </c>
      <c r="H575" s="42" t="e">
        <f>+'Jul-24'!H575+'Aug-24'!H575+'Sep-24'!H575+'Oct-24'!H575+'Nov-24'!H575+'Dec-24'!H575+'Jan-25'!H575+'Feb-25'!H575+#REF!+#REF!+#REF!+'Dec-25'!H575</f>
        <v>#REF!</v>
      </c>
      <c r="I575" s="42" t="e">
        <f>+'Jul-24'!I575+'Aug-24'!I575+'Sep-24'!I575+'Oct-24'!I575+'Nov-24'!I575+'Dec-24'!I575+'Jan-25'!I575+'Feb-25'!I575+#REF!+#REF!+#REF!+'Dec-25'!I575</f>
        <v>#REF!</v>
      </c>
      <c r="J575" s="42" t="e">
        <f>+'Jul-24'!J575+'Aug-24'!J575+'Sep-24'!J575+'Oct-24'!J575+'Nov-24'!J575+'Dec-24'!J575+'Jan-25'!J575+'Feb-25'!J575+#REF!+#REF!+#REF!+'Dec-25'!J575</f>
        <v>#REF!</v>
      </c>
      <c r="K575" s="42" t="e">
        <f>+'Jul-24'!K575+'Aug-24'!K575+'Sep-24'!K575+'Oct-24'!K575+'Nov-24'!K575+'Dec-24'!K575+'Jan-25'!K575+'Feb-25'!K575+#REF!+#REF!+#REF!+'Dec-25'!K575</f>
        <v>#REF!</v>
      </c>
      <c r="L575" s="35" t="e">
        <f t="shared" si="146"/>
        <v>#REF!</v>
      </c>
      <c r="M575" s="35" t="e">
        <f t="shared" si="145"/>
        <v>#REF!</v>
      </c>
      <c r="N575" s="32"/>
    </row>
    <row r="576" spans="1:24" x14ac:dyDescent="0.25">
      <c r="A576" s="14"/>
      <c r="B576" s="27"/>
      <c r="C576" s="28" t="s">
        <v>16</v>
      </c>
      <c r="D576" s="28"/>
      <c r="E576" s="28"/>
      <c r="F576" s="28"/>
      <c r="G576" s="42" t="e">
        <f>+'Jul-24'!G576+'Aug-24'!G576+'Sep-24'!G576+'Oct-24'!G576+'Nov-24'!G576+'Dec-24'!G576+'Jan-25'!G576+'Feb-25'!G576+#REF!+#REF!+#REF!+'Dec-25'!G576</f>
        <v>#REF!</v>
      </c>
      <c r="H576" s="42" t="e">
        <f>+'Jul-24'!H576+'Aug-24'!H576+'Sep-24'!H576+'Oct-24'!H576+'Nov-24'!H576+'Dec-24'!H576+'Jan-25'!H576+'Feb-25'!H576+#REF!+#REF!+#REF!+'Dec-25'!H576</f>
        <v>#REF!</v>
      </c>
      <c r="I576" s="42" t="e">
        <f>+'Jul-24'!I576+'Aug-24'!I576+'Sep-24'!I576+'Oct-24'!I576+'Nov-24'!I576+'Dec-24'!I576+'Jan-25'!I576+'Feb-25'!I576+#REF!+#REF!+#REF!+'Dec-25'!I576</f>
        <v>#REF!</v>
      </c>
      <c r="J576" s="42" t="e">
        <f>+'Jul-24'!J576+'Aug-24'!J576+'Sep-24'!J576+'Oct-24'!J576+'Nov-24'!J576+'Dec-24'!J576+'Jan-25'!J576+'Feb-25'!J576+#REF!+#REF!+#REF!+'Dec-25'!J576</f>
        <v>#REF!</v>
      </c>
      <c r="K576" s="42" t="e">
        <f>+'Jul-24'!K576+'Aug-24'!K576+'Sep-24'!K576+'Oct-24'!K576+'Nov-24'!K576+'Dec-24'!K576+'Jan-25'!K576+'Feb-25'!K576+#REF!+#REF!+#REF!+'Dec-25'!K576</f>
        <v>#REF!</v>
      </c>
      <c r="L576" s="35" t="e">
        <f t="shared" si="146"/>
        <v>#REF!</v>
      </c>
      <c r="M576" s="35" t="e">
        <f t="shared" si="145"/>
        <v>#REF!</v>
      </c>
      <c r="N576" s="32"/>
    </row>
    <row r="577" spans="1:24" ht="15.75" thickBot="1" x14ac:dyDescent="0.3">
      <c r="A577" s="14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14"/>
      <c r="G578" s="33"/>
      <c r="H578" s="33"/>
      <c r="I578" s="33"/>
      <c r="J578" s="33"/>
      <c r="K578" s="33"/>
      <c r="L578" s="33"/>
      <c r="M578" s="33"/>
      <c r="N578" s="33"/>
    </row>
    <row r="579" spans="1:24" x14ac:dyDescent="0.25">
      <c r="A579" s="4">
        <f>+A563+1</f>
        <v>36</v>
      </c>
      <c r="B579" s="5"/>
      <c r="C579" s="6" t="s">
        <v>52</v>
      </c>
      <c r="D579" s="7"/>
      <c r="E579" s="8"/>
      <c r="F579" s="8"/>
      <c r="G579" s="10">
        <f>+$G$3</f>
        <v>2024</v>
      </c>
      <c r="H579" s="10">
        <f>+G579</f>
        <v>2024</v>
      </c>
      <c r="I579" s="10">
        <f t="shared" ref="I579:M580" si="147">+H579</f>
        <v>2024</v>
      </c>
      <c r="J579" s="10">
        <f t="shared" si="147"/>
        <v>2024</v>
      </c>
      <c r="K579" s="10">
        <f t="shared" si="147"/>
        <v>2024</v>
      </c>
      <c r="L579" s="10">
        <f t="shared" si="147"/>
        <v>2024</v>
      </c>
      <c r="M579" s="10">
        <f t="shared" si="147"/>
        <v>2024</v>
      </c>
      <c r="N579" s="11"/>
      <c r="P579" s="44"/>
      <c r="S579" s="12" t="str">
        <f>+C579</f>
        <v>Mantabeni</v>
      </c>
      <c r="T579" s="13" t="e">
        <f>+L583</f>
        <v>#REF!</v>
      </c>
      <c r="U579" s="13" t="e">
        <f>+L584+L585</f>
        <v>#REF!</v>
      </c>
      <c r="V579" s="13" t="e">
        <f>+L586+L587</f>
        <v>#REF!</v>
      </c>
      <c r="W579" s="13" t="e">
        <f>+L590</f>
        <v>#REF!</v>
      </c>
      <c r="X579" s="13" t="e">
        <f>+L588</f>
        <v>#REF!</v>
      </c>
    </row>
    <row r="580" spans="1:24" x14ac:dyDescent="0.25">
      <c r="A580" s="14"/>
      <c r="B580" s="15"/>
      <c r="C580" s="41" t="str">
        <f>+$C564</f>
        <v>Year to Date 2024/2025</v>
      </c>
      <c r="D580" s="18"/>
      <c r="E580" s="18"/>
      <c r="F580" s="18"/>
      <c r="G580" s="20" t="str">
        <f>+$G$4</f>
        <v>Week</v>
      </c>
      <c r="H580" s="20" t="str">
        <f>+G580</f>
        <v>Week</v>
      </c>
      <c r="I580" s="20" t="str">
        <f t="shared" si="147"/>
        <v>Week</v>
      </c>
      <c r="J580" s="20" t="str">
        <f t="shared" si="147"/>
        <v>Week</v>
      </c>
      <c r="K580" s="20" t="str">
        <f t="shared" si="147"/>
        <v>Week</v>
      </c>
      <c r="L580" s="20" t="str">
        <f t="shared" si="147"/>
        <v>Week</v>
      </c>
      <c r="M580" s="20" t="str">
        <f t="shared" si="147"/>
        <v>Week</v>
      </c>
      <c r="N580" s="21"/>
    </row>
    <row r="581" spans="1:24" ht="15.75" thickBot="1" x14ac:dyDescent="0.3">
      <c r="A581" s="14"/>
      <c r="B581" s="22"/>
      <c r="C581" s="23"/>
      <c r="D581" s="23"/>
      <c r="E581" s="23"/>
      <c r="F581" s="23"/>
      <c r="G581" s="25">
        <f>+$G$5</f>
        <v>1</v>
      </c>
      <c r="H581" s="25">
        <f>+$H$5</f>
        <v>2</v>
      </c>
      <c r="I581" s="25">
        <f>+$I$5</f>
        <v>3</v>
      </c>
      <c r="J581" s="25">
        <f>+$J$5</f>
        <v>4</v>
      </c>
      <c r="K581" s="25">
        <f>+$K$5</f>
        <v>5</v>
      </c>
      <c r="L581" s="25" t="s">
        <v>6</v>
      </c>
      <c r="M581" s="25" t="s">
        <v>7</v>
      </c>
      <c r="N581" s="26"/>
    </row>
    <row r="582" spans="1:24" x14ac:dyDescent="0.25">
      <c r="A582" s="14"/>
      <c r="B582" s="27"/>
      <c r="C582" s="28"/>
      <c r="D582" s="28"/>
      <c r="E582" s="28"/>
      <c r="F582" s="28"/>
      <c r="G582" s="29"/>
      <c r="H582" s="29"/>
      <c r="I582" s="29"/>
      <c r="J582" s="29"/>
      <c r="K582" s="28"/>
      <c r="L582" s="28"/>
      <c r="M582" s="28"/>
      <c r="N582" s="30"/>
    </row>
    <row r="583" spans="1:24" x14ac:dyDescent="0.25">
      <c r="A583" s="14"/>
      <c r="B583" s="27"/>
      <c r="C583" s="28" t="s">
        <v>8</v>
      </c>
      <c r="D583" s="28"/>
      <c r="E583" s="28"/>
      <c r="F583" s="28"/>
      <c r="G583" s="31" t="e">
        <f>SUM(G584:G587)</f>
        <v>#REF!</v>
      </c>
      <c r="H583" s="31" t="e">
        <f t="shared" ref="H583:L583" si="148">SUM(H584:H587)</f>
        <v>#REF!</v>
      </c>
      <c r="I583" s="31" t="e">
        <f t="shared" si="148"/>
        <v>#REF!</v>
      </c>
      <c r="J583" s="31" t="e">
        <f t="shared" si="148"/>
        <v>#REF!</v>
      </c>
      <c r="K583" s="31" t="e">
        <f t="shared" si="148"/>
        <v>#REF!</v>
      </c>
      <c r="L583" s="31" t="e">
        <f t="shared" si="148"/>
        <v>#REF!</v>
      </c>
      <c r="M583" s="31" t="e">
        <f>ROUND((L583/$E$1),0)</f>
        <v>#REF!</v>
      </c>
      <c r="N583" s="32"/>
    </row>
    <row r="584" spans="1:24" x14ac:dyDescent="0.25">
      <c r="A584" s="14"/>
      <c r="B584" s="27"/>
      <c r="C584" s="28"/>
      <c r="D584" s="28" t="s">
        <v>9</v>
      </c>
      <c r="E584" s="28"/>
      <c r="F584" s="28"/>
      <c r="G584" s="42" t="e">
        <f>+'Jul-24'!G584+'Aug-24'!G584+'Sep-24'!G584+'Oct-24'!G584+'Nov-24'!G584+'Dec-24'!G584+'Jan-25'!G584+'Feb-25'!G584+#REF!+#REF!+#REF!+'Dec-25'!G584</f>
        <v>#REF!</v>
      </c>
      <c r="H584" s="42" t="e">
        <f>+'Jul-24'!H584+'Aug-24'!H584+'Sep-24'!H584+'Oct-24'!H584+'Nov-24'!H584+'Dec-24'!H584+'Jan-25'!H584+'Feb-25'!H584+#REF!+#REF!+#REF!+'Dec-25'!H584</f>
        <v>#REF!</v>
      </c>
      <c r="I584" s="42" t="e">
        <f>+'Jul-24'!I584+'Aug-24'!I584+'Sep-24'!I584+'Oct-24'!I584+'Nov-24'!I584+'Dec-24'!I584+'Jan-25'!I584+'Feb-25'!I584+#REF!+#REF!+#REF!+'Dec-25'!I584</f>
        <v>#REF!</v>
      </c>
      <c r="J584" s="42" t="e">
        <f>+'Jul-24'!J584+'Aug-24'!J584+'Sep-24'!J584+'Oct-24'!J584+'Nov-24'!J584+'Dec-24'!J584+'Jan-25'!J584+'Feb-25'!J584+#REF!+#REF!+#REF!+'Dec-25'!J584</f>
        <v>#REF!</v>
      </c>
      <c r="K584" s="42" t="e">
        <f>+'Jul-24'!K584+'Aug-24'!K584+'Sep-24'!K584+'Oct-24'!K584+'Nov-24'!K584+'Dec-24'!K584+'Jan-25'!K584+'Feb-25'!K584+#REF!+#REF!+#REF!+'Dec-25'!K584</f>
        <v>#REF!</v>
      </c>
      <c r="L584" s="35" t="e">
        <f>SUM(G584:K584)</f>
        <v>#REF!</v>
      </c>
      <c r="M584" s="35" t="e">
        <f t="shared" ref="M584:M592" si="149">ROUND((L584/$E$1),0)</f>
        <v>#REF!</v>
      </c>
      <c r="N584" s="32"/>
    </row>
    <row r="585" spans="1:24" x14ac:dyDescent="0.25">
      <c r="A585" s="14"/>
      <c r="B585" s="27"/>
      <c r="C585" s="28"/>
      <c r="D585" s="28" t="s">
        <v>10</v>
      </c>
      <c r="E585" s="28"/>
      <c r="F585" s="28"/>
      <c r="G585" s="42" t="e">
        <f>+'Jul-24'!G585+'Aug-24'!G585+'Sep-24'!G585+'Oct-24'!G585+'Nov-24'!G585+'Dec-24'!G585+'Jan-25'!G585+'Feb-25'!G585+#REF!+#REF!+#REF!+'Dec-25'!G585</f>
        <v>#REF!</v>
      </c>
      <c r="H585" s="42" t="e">
        <f>+'Jul-24'!H585+'Aug-24'!H585+'Sep-24'!H585+'Oct-24'!H585+'Nov-24'!H585+'Dec-24'!H585+'Jan-25'!H585+'Feb-25'!H585+#REF!+#REF!+#REF!+'Dec-25'!H585</f>
        <v>#REF!</v>
      </c>
      <c r="I585" s="42" t="e">
        <f>+'Jul-24'!I585+'Aug-24'!I585+'Sep-24'!I585+'Oct-24'!I585+'Nov-24'!I585+'Dec-24'!I585+'Jan-25'!I585+'Feb-25'!I585+#REF!+#REF!+#REF!+'Dec-25'!I585</f>
        <v>#REF!</v>
      </c>
      <c r="J585" s="42" t="e">
        <f>+'Jul-24'!J585+'Aug-24'!J585+'Sep-24'!J585+'Oct-24'!J585+'Nov-24'!J585+'Dec-24'!J585+'Jan-25'!J585+'Feb-25'!J585+#REF!+#REF!+#REF!+'Dec-25'!J585</f>
        <v>#REF!</v>
      </c>
      <c r="K585" s="42" t="e">
        <f>+'Jul-24'!K585+'Aug-24'!K585+'Sep-24'!K585+'Oct-24'!K585+'Nov-24'!K585+'Dec-24'!K585+'Jan-25'!K585+'Feb-25'!K585+#REF!+#REF!+#REF!+'Dec-25'!K585</f>
        <v>#REF!</v>
      </c>
      <c r="L585" s="35" t="e">
        <f t="shared" ref="L585:L592" si="150">SUM(G585:K585)</f>
        <v>#REF!</v>
      </c>
      <c r="M585" s="35" t="e">
        <f t="shared" si="149"/>
        <v>#REF!</v>
      </c>
      <c r="N585" s="32"/>
    </row>
    <row r="586" spans="1:24" x14ac:dyDescent="0.25">
      <c r="A586" s="14"/>
      <c r="B586" s="27"/>
      <c r="C586" s="28"/>
      <c r="D586" s="28" t="s">
        <v>11</v>
      </c>
      <c r="E586" s="28"/>
      <c r="F586" s="28"/>
      <c r="G586" s="42" t="e">
        <f>+'Jul-24'!G586+'Aug-24'!G586+'Sep-24'!G586+'Oct-24'!G586+'Nov-24'!G586+'Dec-24'!G586+'Jan-25'!G586+'Feb-25'!G586+#REF!+#REF!+#REF!+'Dec-25'!G586</f>
        <v>#REF!</v>
      </c>
      <c r="H586" s="42" t="e">
        <f>+'Jul-24'!H586+'Aug-24'!H586+'Sep-24'!H586+'Oct-24'!H586+'Nov-24'!H586+'Dec-24'!H586+'Jan-25'!H586+'Feb-25'!H586+#REF!+#REF!+#REF!+'Dec-25'!H586</f>
        <v>#REF!</v>
      </c>
      <c r="I586" s="42" t="e">
        <f>+'Jul-24'!I586+'Aug-24'!I586+'Sep-24'!I586+'Oct-24'!I586+'Nov-24'!I586+'Dec-24'!I586+'Jan-25'!I586+'Feb-25'!I586+#REF!+#REF!+#REF!+'Dec-25'!I586</f>
        <v>#REF!</v>
      </c>
      <c r="J586" s="42" t="e">
        <f>+'Jul-24'!J586+'Aug-24'!J586+'Sep-24'!J586+'Oct-24'!J586+'Nov-24'!J586+'Dec-24'!J586+'Jan-25'!J586+'Feb-25'!J586+#REF!+#REF!+#REF!+'Dec-25'!J586</f>
        <v>#REF!</v>
      </c>
      <c r="K586" s="42" t="e">
        <f>+'Jul-24'!K586+'Aug-24'!K586+'Sep-24'!K586+'Oct-24'!K586+'Nov-24'!K586+'Dec-24'!K586+'Jan-25'!K586+'Feb-25'!K586+#REF!+#REF!+#REF!+'Dec-25'!K586</f>
        <v>#REF!</v>
      </c>
      <c r="L586" s="35" t="e">
        <f t="shared" si="150"/>
        <v>#REF!</v>
      </c>
      <c r="M586" s="35" t="e">
        <f t="shared" si="149"/>
        <v>#REF!</v>
      </c>
      <c r="N586" s="32"/>
    </row>
    <row r="587" spans="1:24" x14ac:dyDescent="0.25">
      <c r="A587" s="14"/>
      <c r="B587" s="27"/>
      <c r="C587" s="28"/>
      <c r="D587" s="28" t="s">
        <v>12</v>
      </c>
      <c r="E587" s="28"/>
      <c r="F587" s="28"/>
      <c r="G587" s="43" t="e">
        <f>+'Jul-24'!G587+'Aug-24'!G587+'Sep-24'!G587+'Oct-24'!G587+'Nov-24'!G587+'Dec-24'!G587+'Jan-25'!G587+'Feb-25'!G587+#REF!+#REF!+#REF!+'Dec-25'!G587</f>
        <v>#REF!</v>
      </c>
      <c r="H587" s="43" t="e">
        <f>+'Jul-24'!H587+'Aug-24'!H587+'Sep-24'!H587+'Oct-24'!H587+'Nov-24'!H587+'Dec-24'!H587+'Jan-25'!H587+'Feb-25'!H587+#REF!+#REF!+#REF!+'Dec-25'!H587</f>
        <v>#REF!</v>
      </c>
      <c r="I587" s="43" t="e">
        <f>+'Jul-24'!I587+'Aug-24'!I587+'Sep-24'!I587+'Oct-24'!I587+'Nov-24'!I587+'Dec-24'!I587+'Jan-25'!I587+'Feb-25'!I587+#REF!+#REF!+#REF!+'Dec-25'!I587</f>
        <v>#REF!</v>
      </c>
      <c r="J587" s="43" t="e">
        <f>+'Jul-24'!J587+'Aug-24'!J587+'Sep-24'!J587+'Oct-24'!J587+'Nov-24'!J587+'Dec-24'!J587+'Jan-25'!J587+'Feb-25'!J587+#REF!+#REF!+#REF!+'Dec-25'!J587</f>
        <v>#REF!</v>
      </c>
      <c r="K587" s="43" t="e">
        <f>+'Jul-24'!K587+'Aug-24'!K587+'Sep-24'!K587+'Oct-24'!K587+'Nov-24'!K587+'Dec-24'!K587+'Jan-25'!K587+'Feb-25'!K587+#REF!+#REF!+#REF!+'Dec-25'!K587</f>
        <v>#REF!</v>
      </c>
      <c r="L587" s="31" t="e">
        <f t="shared" si="150"/>
        <v>#REF!</v>
      </c>
      <c r="M587" s="31" t="e">
        <f t="shared" si="149"/>
        <v>#REF!</v>
      </c>
      <c r="N587" s="32"/>
    </row>
    <row r="588" spans="1:24" x14ac:dyDescent="0.25">
      <c r="A588" s="14"/>
      <c r="B588" s="27"/>
      <c r="C588" s="28" t="s">
        <v>13</v>
      </c>
      <c r="D588" s="28"/>
      <c r="E588" s="28"/>
      <c r="F588" s="28"/>
      <c r="G588" s="42" t="e">
        <f>+'Jul-24'!G588+'Aug-24'!G588+'Sep-24'!G588+'Oct-24'!G588+'Nov-24'!G588+'Dec-24'!G588+'Jan-25'!G588+'Feb-25'!G588+#REF!+#REF!+#REF!+'Dec-25'!G588</f>
        <v>#REF!</v>
      </c>
      <c r="H588" s="42" t="e">
        <f>+'Jul-24'!H588+'Aug-24'!H588+'Sep-24'!H588+'Oct-24'!H588+'Nov-24'!H588+'Dec-24'!H588+'Jan-25'!H588+'Feb-25'!H588+#REF!+#REF!+#REF!+'Dec-25'!H588</f>
        <v>#REF!</v>
      </c>
      <c r="I588" s="42" t="e">
        <f>+'Jul-24'!I588+'Aug-24'!I588+'Sep-24'!I588+'Oct-24'!I588+'Nov-24'!I588+'Dec-24'!I588+'Jan-25'!I588+'Feb-25'!I588+#REF!+#REF!+#REF!+'Dec-25'!I588</f>
        <v>#REF!</v>
      </c>
      <c r="J588" s="42" t="e">
        <f>+'Jul-24'!J588+'Aug-24'!J588+'Sep-24'!J588+'Oct-24'!J588+'Nov-24'!J588+'Dec-24'!J588+'Jan-25'!J588+'Feb-25'!J588+#REF!+#REF!+#REF!+'Dec-25'!J588</f>
        <v>#REF!</v>
      </c>
      <c r="K588" s="42" t="e">
        <f>+'Jul-24'!K588+'Aug-24'!K588+'Sep-24'!K588+'Oct-24'!K588+'Nov-24'!K588+'Dec-24'!K588+'Jan-25'!K588+'Feb-25'!K588+#REF!+#REF!+#REF!+'Dec-25'!K588</f>
        <v>#REF!</v>
      </c>
      <c r="L588" s="35" t="e">
        <f t="shared" si="150"/>
        <v>#REF!</v>
      </c>
      <c r="M588" s="35" t="e">
        <f t="shared" si="149"/>
        <v>#REF!</v>
      </c>
      <c r="N588" s="32"/>
    </row>
    <row r="589" spans="1:24" x14ac:dyDescent="0.25">
      <c r="A589" s="14"/>
      <c r="B589" s="27"/>
      <c r="C589" s="28" t="s">
        <v>14</v>
      </c>
      <c r="D589" s="28"/>
      <c r="E589" s="28"/>
      <c r="F589" s="28"/>
      <c r="G589" s="42" t="e">
        <f>+'Jul-24'!G589+'Aug-24'!G589+'Sep-24'!G589+'Oct-24'!G589+'Nov-24'!G589+'Dec-24'!G589+'Jan-25'!G589+'Feb-25'!G589+#REF!+#REF!+#REF!+'Dec-25'!G589</f>
        <v>#REF!</v>
      </c>
      <c r="H589" s="42" t="e">
        <f>+'Jul-24'!H589+'Aug-24'!H589+'Sep-24'!H589+'Oct-24'!H589+'Nov-24'!H589+'Dec-24'!H589+'Jan-25'!H589+'Feb-25'!H589+#REF!+#REF!+#REF!+'Dec-25'!H589</f>
        <v>#REF!</v>
      </c>
      <c r="I589" s="42" t="e">
        <f>+'Jul-24'!I589+'Aug-24'!I589+'Sep-24'!I589+'Oct-24'!I589+'Nov-24'!I589+'Dec-24'!I589+'Jan-25'!I589+'Feb-25'!I589+#REF!+#REF!+#REF!+'Dec-25'!I589</f>
        <v>#REF!</v>
      </c>
      <c r="J589" s="42" t="e">
        <f>+'Jul-24'!J589+'Aug-24'!J589+'Sep-24'!J589+'Oct-24'!J589+'Nov-24'!J589+'Dec-24'!J589+'Jan-25'!J589+'Feb-25'!J589+#REF!+#REF!+#REF!+'Dec-25'!J589</f>
        <v>#REF!</v>
      </c>
      <c r="K589" s="42" t="e">
        <f>+'Jul-24'!K589+'Aug-24'!K589+'Sep-24'!K589+'Oct-24'!K589+'Nov-24'!K589+'Dec-24'!K589+'Jan-25'!K589+'Feb-25'!K589+#REF!+#REF!+#REF!+'Dec-25'!K589</f>
        <v>#REF!</v>
      </c>
      <c r="L589" s="35" t="e">
        <f t="shared" si="150"/>
        <v>#REF!</v>
      </c>
      <c r="M589" s="35" t="e">
        <f t="shared" si="149"/>
        <v>#REF!</v>
      </c>
      <c r="N589" s="32"/>
    </row>
    <row r="590" spans="1:24" x14ac:dyDescent="0.25">
      <c r="A590" s="14"/>
      <c r="B590" s="27"/>
      <c r="C590" s="28" t="s">
        <v>4</v>
      </c>
      <c r="D590" s="28"/>
      <c r="E590" s="28"/>
      <c r="F590" s="28"/>
      <c r="G590" s="42" t="e">
        <f>+'Jul-24'!G590+'Aug-24'!G590+'Sep-24'!G590+'Oct-24'!G590+'Nov-24'!G590+'Dec-24'!G590+'Jan-25'!G590+'Feb-25'!G590+#REF!+#REF!+#REF!+'Dec-25'!G590</f>
        <v>#REF!</v>
      </c>
      <c r="H590" s="42" t="e">
        <f>+'Jul-24'!H590+'Aug-24'!H590+'Sep-24'!H590+'Oct-24'!H590+'Nov-24'!H590+'Dec-24'!H590+'Jan-25'!H590+'Feb-25'!H590+#REF!+#REF!+#REF!+'Dec-25'!H590</f>
        <v>#REF!</v>
      </c>
      <c r="I590" s="42" t="e">
        <f>+'Jul-24'!I590+'Aug-24'!I590+'Sep-24'!I590+'Oct-24'!I590+'Nov-24'!I590+'Dec-24'!I590+'Jan-25'!I590+'Feb-25'!I590+#REF!+#REF!+#REF!+'Dec-25'!I590</f>
        <v>#REF!</v>
      </c>
      <c r="J590" s="42" t="e">
        <f>+'Jul-24'!J590+'Aug-24'!J590+'Sep-24'!J590+'Oct-24'!J590+'Nov-24'!J590+'Dec-24'!J590+'Jan-25'!J590+'Feb-25'!J590+#REF!+#REF!+#REF!+'Dec-25'!J590</f>
        <v>#REF!</v>
      </c>
      <c r="K590" s="42" t="e">
        <f>+'Jul-24'!K590+'Aug-24'!K590+'Sep-24'!K590+'Oct-24'!K590+'Nov-24'!K590+'Dec-24'!K590+'Jan-25'!K590+'Feb-25'!K590+#REF!+#REF!+#REF!+'Dec-25'!K590</f>
        <v>#REF!</v>
      </c>
      <c r="L590" s="35" t="e">
        <f t="shared" si="150"/>
        <v>#REF!</v>
      </c>
      <c r="M590" s="35" t="e">
        <f t="shared" si="149"/>
        <v>#REF!</v>
      </c>
      <c r="N590" s="32"/>
    </row>
    <row r="591" spans="1:24" x14ac:dyDescent="0.25">
      <c r="A591" s="14"/>
      <c r="B591" s="27"/>
      <c r="C591" s="28" t="s">
        <v>15</v>
      </c>
      <c r="D591" s="28"/>
      <c r="E591" s="28"/>
      <c r="F591" s="28"/>
      <c r="G591" s="42" t="e">
        <f>+'Jul-24'!G591+'Aug-24'!G591+'Sep-24'!G591+'Oct-24'!G591+'Nov-24'!G591+'Dec-24'!G591+'Jan-25'!G591+'Feb-25'!G591+#REF!+#REF!+#REF!+'Dec-25'!G591</f>
        <v>#REF!</v>
      </c>
      <c r="H591" s="42" t="e">
        <f>+'Jul-24'!H591+'Aug-24'!H591+'Sep-24'!H591+'Oct-24'!H591+'Nov-24'!H591+'Dec-24'!H591+'Jan-25'!H591+'Feb-25'!H591+#REF!+#REF!+#REF!+'Dec-25'!H591</f>
        <v>#REF!</v>
      </c>
      <c r="I591" s="42" t="e">
        <f>+'Jul-24'!I591+'Aug-24'!I591+'Sep-24'!I591+'Oct-24'!I591+'Nov-24'!I591+'Dec-24'!I591+'Jan-25'!I591+'Feb-25'!I591+#REF!+#REF!+#REF!+'Dec-25'!I591</f>
        <v>#REF!</v>
      </c>
      <c r="J591" s="42" t="e">
        <f>+'Jul-24'!J591+'Aug-24'!J591+'Sep-24'!J591+'Oct-24'!J591+'Nov-24'!J591+'Dec-24'!J591+'Jan-25'!J591+'Feb-25'!J591+#REF!+#REF!+#REF!+'Dec-25'!J591</f>
        <v>#REF!</v>
      </c>
      <c r="K591" s="42" t="e">
        <f>+'Jul-24'!K591+'Aug-24'!K591+'Sep-24'!K591+'Oct-24'!K591+'Nov-24'!K591+'Dec-24'!K591+'Jan-25'!K591+'Feb-25'!K591+#REF!+#REF!+#REF!+'Dec-25'!K591</f>
        <v>#REF!</v>
      </c>
      <c r="L591" s="35" t="e">
        <f t="shared" si="150"/>
        <v>#REF!</v>
      </c>
      <c r="M591" s="35" t="e">
        <f t="shared" si="149"/>
        <v>#REF!</v>
      </c>
      <c r="N591" s="32"/>
    </row>
    <row r="592" spans="1:24" x14ac:dyDescent="0.25">
      <c r="A592" s="14"/>
      <c r="B592" s="27"/>
      <c r="C592" s="28" t="s">
        <v>16</v>
      </c>
      <c r="D592" s="28"/>
      <c r="E592" s="28"/>
      <c r="F592" s="28"/>
      <c r="G592" s="42" t="e">
        <f>+'Jul-24'!G592+'Aug-24'!G592+'Sep-24'!G592+'Oct-24'!G592+'Nov-24'!G592+'Dec-24'!G592+'Jan-25'!G592+'Feb-25'!G592+#REF!+#REF!+#REF!+'Dec-25'!G592</f>
        <v>#REF!</v>
      </c>
      <c r="H592" s="42" t="e">
        <f>+'Jul-24'!H592+'Aug-24'!H592+'Sep-24'!H592+'Oct-24'!H592+'Nov-24'!H592+'Dec-24'!H592+'Jan-25'!H592+'Feb-25'!H592+#REF!+#REF!+#REF!+'Dec-25'!H592</f>
        <v>#REF!</v>
      </c>
      <c r="I592" s="42" t="e">
        <f>+'Jul-24'!I592+'Aug-24'!I592+'Sep-24'!I592+'Oct-24'!I592+'Nov-24'!I592+'Dec-24'!I592+'Jan-25'!I592+'Feb-25'!I592+#REF!+#REF!+#REF!+'Dec-25'!I592</f>
        <v>#REF!</v>
      </c>
      <c r="J592" s="42" t="e">
        <f>+'Jul-24'!J592+'Aug-24'!J592+'Sep-24'!J592+'Oct-24'!J592+'Nov-24'!J592+'Dec-24'!J592+'Jan-25'!J592+'Feb-25'!J592+#REF!+#REF!+#REF!+'Dec-25'!J592</f>
        <v>#REF!</v>
      </c>
      <c r="K592" s="42" t="e">
        <f>+'Jul-24'!K592+'Aug-24'!K592+'Sep-24'!K592+'Oct-24'!K592+'Nov-24'!K592+'Dec-24'!K592+'Jan-25'!K592+'Feb-25'!K592+#REF!+#REF!+#REF!+'Dec-25'!K592</f>
        <v>#REF!</v>
      </c>
      <c r="L592" s="35" t="e">
        <f t="shared" si="150"/>
        <v>#REF!</v>
      </c>
      <c r="M592" s="35" t="e">
        <f t="shared" si="149"/>
        <v>#REF!</v>
      </c>
      <c r="N592" s="32"/>
    </row>
    <row r="593" spans="1:24" ht="15.75" thickBot="1" x14ac:dyDescent="0.3">
      <c r="A593" s="14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14"/>
      <c r="G594" s="33"/>
      <c r="H594" s="33"/>
      <c r="I594" s="33"/>
      <c r="J594" s="33"/>
      <c r="K594" s="33"/>
      <c r="L594" s="33"/>
      <c r="M594" s="33"/>
      <c r="N594" s="33"/>
    </row>
    <row r="595" spans="1:24" x14ac:dyDescent="0.25">
      <c r="A595" s="4">
        <f>+A579+1</f>
        <v>37</v>
      </c>
      <c r="B595" s="40"/>
      <c r="C595" s="6" t="s">
        <v>53</v>
      </c>
      <c r="D595" s="7"/>
      <c r="E595" s="8"/>
      <c r="F595" s="8"/>
      <c r="G595" s="10">
        <f>+$G$3</f>
        <v>2024</v>
      </c>
      <c r="H595" s="10">
        <f>+G595</f>
        <v>2024</v>
      </c>
      <c r="I595" s="10">
        <f t="shared" ref="I595:M596" si="151">+H595</f>
        <v>2024</v>
      </c>
      <c r="J595" s="10">
        <f t="shared" si="151"/>
        <v>2024</v>
      </c>
      <c r="K595" s="10">
        <f t="shared" si="151"/>
        <v>2024</v>
      </c>
      <c r="L595" s="10">
        <f t="shared" si="151"/>
        <v>2024</v>
      </c>
      <c r="M595" s="10">
        <f t="shared" si="151"/>
        <v>2024</v>
      </c>
      <c r="N595" s="11"/>
      <c r="S595" s="12" t="str">
        <f>+C595</f>
        <v>Makhungutja</v>
      </c>
      <c r="T595" s="13" t="e">
        <f>+L599</f>
        <v>#REF!</v>
      </c>
      <c r="U595" s="13" t="e">
        <f>+L600+L601</f>
        <v>#REF!</v>
      </c>
      <c r="V595" s="13" t="e">
        <f>+L602+L603</f>
        <v>#REF!</v>
      </c>
      <c r="W595" s="13" t="e">
        <f>+L606</f>
        <v>#REF!</v>
      </c>
      <c r="X595" s="13" t="e">
        <f>+L604</f>
        <v>#REF!</v>
      </c>
    </row>
    <row r="596" spans="1:24" x14ac:dyDescent="0.25">
      <c r="A596" s="14"/>
      <c r="B596" s="15"/>
      <c r="C596" s="41" t="str">
        <f>+$C580</f>
        <v>Year to Date 2024/2025</v>
      </c>
      <c r="D596" s="18"/>
      <c r="E596" s="18"/>
      <c r="F596" s="18"/>
      <c r="G596" s="20" t="str">
        <f>+$G$4</f>
        <v>Week</v>
      </c>
      <c r="H596" s="20" t="str">
        <f>+G596</f>
        <v>Week</v>
      </c>
      <c r="I596" s="20" t="str">
        <f t="shared" si="151"/>
        <v>Week</v>
      </c>
      <c r="J596" s="20" t="str">
        <f t="shared" si="151"/>
        <v>Week</v>
      </c>
      <c r="K596" s="20" t="str">
        <f t="shared" si="151"/>
        <v>Week</v>
      </c>
      <c r="L596" s="20" t="str">
        <f t="shared" si="151"/>
        <v>Week</v>
      </c>
      <c r="M596" s="20" t="str">
        <f t="shared" si="151"/>
        <v>Week</v>
      </c>
      <c r="N596" s="21"/>
    </row>
    <row r="597" spans="1:24" ht="15.75" thickBot="1" x14ac:dyDescent="0.3">
      <c r="A597" s="14"/>
      <c r="B597" s="22"/>
      <c r="C597" s="23"/>
      <c r="D597" s="23"/>
      <c r="E597" s="23"/>
      <c r="F597" s="23"/>
      <c r="G597" s="25">
        <f>+$G$5</f>
        <v>1</v>
      </c>
      <c r="H597" s="25">
        <f>+$H$5</f>
        <v>2</v>
      </c>
      <c r="I597" s="25">
        <f>+$I$5</f>
        <v>3</v>
      </c>
      <c r="J597" s="25">
        <f>+$J$5</f>
        <v>4</v>
      </c>
      <c r="K597" s="25">
        <f>+$K$5</f>
        <v>5</v>
      </c>
      <c r="L597" s="25" t="s">
        <v>6</v>
      </c>
      <c r="M597" s="25" t="s">
        <v>7</v>
      </c>
      <c r="N597" s="26"/>
    </row>
    <row r="598" spans="1:24" x14ac:dyDescent="0.25">
      <c r="A598" s="14"/>
      <c r="B598" s="27"/>
      <c r="C598" s="28"/>
      <c r="D598" s="28"/>
      <c r="E598" s="28"/>
      <c r="F598" s="28"/>
      <c r="G598" s="29"/>
      <c r="H598" s="29"/>
      <c r="I598" s="29"/>
      <c r="J598" s="29"/>
      <c r="K598" s="28"/>
      <c r="L598" s="28"/>
      <c r="M598" s="28"/>
      <c r="N598" s="30"/>
    </row>
    <row r="599" spans="1:24" x14ac:dyDescent="0.25">
      <c r="A599" s="14"/>
      <c r="B599" s="27"/>
      <c r="C599" s="28" t="s">
        <v>8</v>
      </c>
      <c r="D599" s="28"/>
      <c r="E599" s="28"/>
      <c r="F599" s="28"/>
      <c r="G599" s="31" t="e">
        <f>SUM(G600:G603)</f>
        <v>#REF!</v>
      </c>
      <c r="H599" s="31" t="e">
        <f t="shared" ref="H599:L599" si="152">SUM(H600:H603)</f>
        <v>#REF!</v>
      </c>
      <c r="I599" s="31" t="e">
        <f t="shared" si="152"/>
        <v>#REF!</v>
      </c>
      <c r="J599" s="31" t="e">
        <f t="shared" si="152"/>
        <v>#REF!</v>
      </c>
      <c r="K599" s="31" t="e">
        <f t="shared" si="152"/>
        <v>#REF!</v>
      </c>
      <c r="L599" s="31" t="e">
        <f t="shared" si="152"/>
        <v>#REF!</v>
      </c>
      <c r="M599" s="31" t="e">
        <f>ROUND((L599/$E$1),0)</f>
        <v>#REF!</v>
      </c>
      <c r="N599" s="32"/>
    </row>
    <row r="600" spans="1:24" x14ac:dyDescent="0.25">
      <c r="A600" s="14"/>
      <c r="B600" s="27"/>
      <c r="C600" s="28"/>
      <c r="D600" s="28" t="s">
        <v>9</v>
      </c>
      <c r="E600" s="28"/>
      <c r="F600" s="28"/>
      <c r="G600" s="42" t="e">
        <f>+'Jul-24'!G600+'Aug-24'!G600+'Sep-24'!G600+'Oct-24'!G600+'Nov-24'!G600+'Dec-24'!G600+'Jan-25'!G600+'Feb-25'!G600+#REF!+#REF!+#REF!+'Dec-25'!G600</f>
        <v>#REF!</v>
      </c>
      <c r="H600" s="42" t="e">
        <f>+'Jul-24'!H600+'Aug-24'!H600+'Sep-24'!H600+'Oct-24'!H600+'Nov-24'!H600+'Dec-24'!H600+'Jan-25'!H600+'Feb-25'!H600+#REF!+#REF!+#REF!+'Dec-25'!H600</f>
        <v>#REF!</v>
      </c>
      <c r="I600" s="42" t="e">
        <f>+'Jul-24'!I600+'Aug-24'!I600+'Sep-24'!I600+'Oct-24'!I600+'Nov-24'!I600+'Dec-24'!I600+'Jan-25'!I600+'Feb-25'!I600+#REF!+#REF!+#REF!+'Dec-25'!I600</f>
        <v>#REF!</v>
      </c>
      <c r="J600" s="42" t="e">
        <f>+'Jul-24'!J600+'Aug-24'!J600+'Sep-24'!J600+'Oct-24'!J600+'Nov-24'!J600+'Dec-24'!J600+'Jan-25'!J600+'Feb-25'!J600+#REF!+#REF!+#REF!+'Dec-25'!J600</f>
        <v>#REF!</v>
      </c>
      <c r="K600" s="42" t="e">
        <f>+'Jul-24'!K600+'Aug-24'!K600+'Sep-24'!K600+'Oct-24'!K600+'Nov-24'!K600+'Dec-24'!K600+'Jan-25'!K600+'Feb-25'!K600+#REF!+#REF!+#REF!+'Dec-25'!K600</f>
        <v>#REF!</v>
      </c>
      <c r="L600" s="35" t="e">
        <f>SUM(G600:K600)</f>
        <v>#REF!</v>
      </c>
      <c r="M600" s="35" t="e">
        <f t="shared" ref="M600:M608" si="153">ROUND((L600/$E$1),0)</f>
        <v>#REF!</v>
      </c>
      <c r="N600" s="32"/>
    </row>
    <row r="601" spans="1:24" x14ac:dyDescent="0.25">
      <c r="A601" s="14"/>
      <c r="B601" s="27"/>
      <c r="C601" s="28"/>
      <c r="D601" s="28" t="s">
        <v>10</v>
      </c>
      <c r="E601" s="28"/>
      <c r="F601" s="28"/>
      <c r="G601" s="42" t="e">
        <f>+'Jul-24'!G601+'Aug-24'!G601+'Sep-24'!G601+'Oct-24'!G601+'Nov-24'!G601+'Dec-24'!G601+'Jan-25'!G601+'Feb-25'!G601+#REF!+#REF!+#REF!+'Dec-25'!G601</f>
        <v>#REF!</v>
      </c>
      <c r="H601" s="42" t="e">
        <f>+'Jul-24'!H601+'Aug-24'!H601+'Sep-24'!H601+'Oct-24'!H601+'Nov-24'!H601+'Dec-24'!H601+'Jan-25'!H601+'Feb-25'!H601+#REF!+#REF!+#REF!+'Dec-25'!H601</f>
        <v>#REF!</v>
      </c>
      <c r="I601" s="42" t="e">
        <f>+'Jul-24'!I601+'Aug-24'!I601+'Sep-24'!I601+'Oct-24'!I601+'Nov-24'!I601+'Dec-24'!I601+'Jan-25'!I601+'Feb-25'!I601+#REF!+#REF!+#REF!+'Dec-25'!I601</f>
        <v>#REF!</v>
      </c>
      <c r="J601" s="42" t="e">
        <f>+'Jul-24'!J601+'Aug-24'!J601+'Sep-24'!J601+'Oct-24'!J601+'Nov-24'!J601+'Dec-24'!J601+'Jan-25'!J601+'Feb-25'!J601+#REF!+#REF!+#REF!+'Dec-25'!J601</f>
        <v>#REF!</v>
      </c>
      <c r="K601" s="42" t="e">
        <f>+'Jul-24'!K601+'Aug-24'!K601+'Sep-24'!K601+'Oct-24'!K601+'Nov-24'!K601+'Dec-24'!K601+'Jan-25'!K601+'Feb-25'!K601+#REF!+#REF!+#REF!+'Dec-25'!K601</f>
        <v>#REF!</v>
      </c>
      <c r="L601" s="35" t="e">
        <f t="shared" ref="L601:L608" si="154">SUM(G601:K601)</f>
        <v>#REF!</v>
      </c>
      <c r="M601" s="35" t="e">
        <f t="shared" si="153"/>
        <v>#REF!</v>
      </c>
      <c r="N601" s="32"/>
    </row>
    <row r="602" spans="1:24" x14ac:dyDescent="0.25">
      <c r="A602" s="14"/>
      <c r="B602" s="27"/>
      <c r="C602" s="28"/>
      <c r="D602" s="28" t="s">
        <v>11</v>
      </c>
      <c r="E602" s="28"/>
      <c r="F602" s="28"/>
      <c r="G602" s="42" t="e">
        <f>+'Jul-24'!G602+'Aug-24'!G602+'Sep-24'!G602+'Oct-24'!G602+'Nov-24'!G602+'Dec-24'!G602+'Jan-25'!G602+'Feb-25'!G602+#REF!+#REF!+#REF!+'Dec-25'!G602</f>
        <v>#REF!</v>
      </c>
      <c r="H602" s="42" t="e">
        <f>+'Jul-24'!H602+'Aug-24'!H602+'Sep-24'!H602+'Oct-24'!H602+'Nov-24'!H602+'Dec-24'!H602+'Jan-25'!H602+'Feb-25'!H602+#REF!+#REF!+#REF!+'Dec-25'!H602</f>
        <v>#REF!</v>
      </c>
      <c r="I602" s="42" t="e">
        <f>+'Jul-24'!I602+'Aug-24'!I602+'Sep-24'!I602+'Oct-24'!I602+'Nov-24'!I602+'Dec-24'!I602+'Jan-25'!I602+'Feb-25'!I602+#REF!+#REF!+#REF!+'Dec-25'!I602</f>
        <v>#REF!</v>
      </c>
      <c r="J602" s="42" t="e">
        <f>+'Jul-24'!J602+'Aug-24'!J602+'Sep-24'!J602+'Oct-24'!J602+'Nov-24'!J602+'Dec-24'!J602+'Jan-25'!J602+'Feb-25'!J602+#REF!+#REF!+#REF!+'Dec-25'!J602</f>
        <v>#REF!</v>
      </c>
      <c r="K602" s="42" t="e">
        <f>+'Jul-24'!K602+'Aug-24'!K602+'Sep-24'!K602+'Oct-24'!K602+'Nov-24'!K602+'Dec-24'!K602+'Jan-25'!K602+'Feb-25'!K602+#REF!+#REF!+#REF!+'Dec-25'!K602</f>
        <v>#REF!</v>
      </c>
      <c r="L602" s="35" t="e">
        <f t="shared" si="154"/>
        <v>#REF!</v>
      </c>
      <c r="M602" s="35" t="e">
        <f t="shared" si="153"/>
        <v>#REF!</v>
      </c>
      <c r="N602" s="32"/>
    </row>
    <row r="603" spans="1:24" x14ac:dyDescent="0.25">
      <c r="A603" s="14"/>
      <c r="B603" s="27"/>
      <c r="C603" s="28"/>
      <c r="D603" s="28" t="s">
        <v>12</v>
      </c>
      <c r="E603" s="28"/>
      <c r="F603" s="28"/>
      <c r="G603" s="43" t="e">
        <f>+'Jul-24'!G603+'Aug-24'!G603+'Sep-24'!G603+'Oct-24'!G603+'Nov-24'!G603+'Dec-24'!G603+'Jan-25'!G603+'Feb-25'!G603+#REF!+#REF!+#REF!+'Dec-25'!G603</f>
        <v>#REF!</v>
      </c>
      <c r="H603" s="43" t="e">
        <f>+'Jul-24'!H603+'Aug-24'!H603+'Sep-24'!H603+'Oct-24'!H603+'Nov-24'!H603+'Dec-24'!H603+'Jan-25'!H603+'Feb-25'!H603+#REF!+#REF!+#REF!+'Dec-25'!H603</f>
        <v>#REF!</v>
      </c>
      <c r="I603" s="43" t="e">
        <f>+'Jul-24'!I603+'Aug-24'!I603+'Sep-24'!I603+'Oct-24'!I603+'Nov-24'!I603+'Dec-24'!I603+'Jan-25'!I603+'Feb-25'!I603+#REF!+#REF!+#REF!+'Dec-25'!I603</f>
        <v>#REF!</v>
      </c>
      <c r="J603" s="43" t="e">
        <f>+'Jul-24'!J603+'Aug-24'!J603+'Sep-24'!J603+'Oct-24'!J603+'Nov-24'!J603+'Dec-24'!J603+'Jan-25'!J603+'Feb-25'!J603+#REF!+#REF!+#REF!+'Dec-25'!J603</f>
        <v>#REF!</v>
      </c>
      <c r="K603" s="43" t="e">
        <f>+'Jul-24'!K603+'Aug-24'!K603+'Sep-24'!K603+'Oct-24'!K603+'Nov-24'!K603+'Dec-24'!K603+'Jan-25'!K603+'Feb-25'!K603+#REF!+#REF!+#REF!+'Dec-25'!K603</f>
        <v>#REF!</v>
      </c>
      <c r="L603" s="31" t="e">
        <f t="shared" si="154"/>
        <v>#REF!</v>
      </c>
      <c r="M603" s="31" t="e">
        <f t="shared" si="153"/>
        <v>#REF!</v>
      </c>
      <c r="N603" s="32"/>
    </row>
    <row r="604" spans="1:24" x14ac:dyDescent="0.25">
      <c r="A604" s="14"/>
      <c r="B604" s="27"/>
      <c r="C604" s="28" t="s">
        <v>13</v>
      </c>
      <c r="D604" s="28"/>
      <c r="E604" s="28"/>
      <c r="F604" s="28"/>
      <c r="G604" s="42" t="e">
        <f>+'Jul-24'!G604+'Aug-24'!G604+'Sep-24'!G604+'Oct-24'!G604+'Nov-24'!G604+'Dec-24'!G604+'Jan-25'!G604+'Feb-25'!G604+#REF!+#REF!+#REF!+'Dec-25'!G604</f>
        <v>#REF!</v>
      </c>
      <c r="H604" s="42" t="e">
        <f>+'Jul-24'!H604+'Aug-24'!H604+'Sep-24'!H604+'Oct-24'!H604+'Nov-24'!H604+'Dec-24'!H604+'Jan-25'!H604+'Feb-25'!H604+#REF!+#REF!+#REF!+'Dec-25'!H604</f>
        <v>#REF!</v>
      </c>
      <c r="I604" s="42" t="e">
        <f>+'Jul-24'!I604+'Aug-24'!I604+'Sep-24'!I604+'Oct-24'!I604+'Nov-24'!I604+'Dec-24'!I604+'Jan-25'!I604+'Feb-25'!I604+#REF!+#REF!+#REF!+'Dec-25'!I604</f>
        <v>#REF!</v>
      </c>
      <c r="J604" s="42" t="e">
        <f>+'Jul-24'!J604+'Aug-24'!J604+'Sep-24'!J604+'Oct-24'!J604+'Nov-24'!J604+'Dec-24'!J604+'Jan-25'!J604+'Feb-25'!J604+#REF!+#REF!+#REF!+'Dec-25'!J604</f>
        <v>#REF!</v>
      </c>
      <c r="K604" s="42" t="e">
        <f>+'Jul-24'!K604+'Aug-24'!K604+'Sep-24'!K604+'Oct-24'!K604+'Nov-24'!K604+'Dec-24'!K604+'Jan-25'!K604+'Feb-25'!K604+#REF!+#REF!+#REF!+'Dec-25'!K604</f>
        <v>#REF!</v>
      </c>
      <c r="L604" s="35" t="e">
        <f t="shared" si="154"/>
        <v>#REF!</v>
      </c>
      <c r="M604" s="35" t="e">
        <f t="shared" si="153"/>
        <v>#REF!</v>
      </c>
      <c r="N604" s="32"/>
    </row>
    <row r="605" spans="1:24" x14ac:dyDescent="0.25">
      <c r="A605" s="14"/>
      <c r="B605" s="27"/>
      <c r="C605" s="28" t="s">
        <v>14</v>
      </c>
      <c r="D605" s="28"/>
      <c r="E605" s="28"/>
      <c r="F605" s="28"/>
      <c r="G605" s="42" t="e">
        <f>+'Jul-24'!G605+'Aug-24'!G605+'Sep-24'!G605+'Oct-24'!G605+'Nov-24'!G605+'Dec-24'!G605+'Jan-25'!G605+'Feb-25'!G605+#REF!+#REF!+#REF!+'Dec-25'!G605</f>
        <v>#REF!</v>
      </c>
      <c r="H605" s="42" t="e">
        <f>+'Jul-24'!H605+'Aug-24'!H605+'Sep-24'!H605+'Oct-24'!H605+'Nov-24'!H605+'Dec-24'!H605+'Jan-25'!H605+'Feb-25'!H605+#REF!+#REF!+#REF!+'Dec-25'!H605</f>
        <v>#REF!</v>
      </c>
      <c r="I605" s="42" t="e">
        <f>+'Jul-24'!I605+'Aug-24'!I605+'Sep-24'!I605+'Oct-24'!I605+'Nov-24'!I605+'Dec-24'!I605+'Jan-25'!I605+'Feb-25'!I605+#REF!+#REF!+#REF!+'Dec-25'!I605</f>
        <v>#REF!</v>
      </c>
      <c r="J605" s="42" t="e">
        <f>+'Jul-24'!J605+'Aug-24'!J605+'Sep-24'!J605+'Oct-24'!J605+'Nov-24'!J605+'Dec-24'!J605+'Jan-25'!J605+'Feb-25'!J605+#REF!+#REF!+#REF!+'Dec-25'!J605</f>
        <v>#REF!</v>
      </c>
      <c r="K605" s="42" t="e">
        <f>+'Jul-24'!K605+'Aug-24'!K605+'Sep-24'!K605+'Oct-24'!K605+'Nov-24'!K605+'Dec-24'!K605+'Jan-25'!K605+'Feb-25'!K605+#REF!+#REF!+#REF!+'Dec-25'!K605</f>
        <v>#REF!</v>
      </c>
      <c r="L605" s="35" t="e">
        <f t="shared" si="154"/>
        <v>#REF!</v>
      </c>
      <c r="M605" s="35" t="e">
        <f t="shared" si="153"/>
        <v>#REF!</v>
      </c>
      <c r="N605" s="32"/>
    </row>
    <row r="606" spans="1:24" x14ac:dyDescent="0.25">
      <c r="A606" s="14"/>
      <c r="B606" s="27"/>
      <c r="C606" s="28" t="s">
        <v>4</v>
      </c>
      <c r="D606" s="28"/>
      <c r="E606" s="28"/>
      <c r="F606" s="28"/>
      <c r="G606" s="42" t="e">
        <f>+'Jul-24'!G606+'Aug-24'!G606+'Sep-24'!G606+'Oct-24'!G606+'Nov-24'!G606+'Dec-24'!G606+'Jan-25'!G606+'Feb-25'!G606+#REF!+#REF!+#REF!+'Dec-25'!G606</f>
        <v>#REF!</v>
      </c>
      <c r="H606" s="42" t="e">
        <f>+'Jul-24'!H606+'Aug-24'!H606+'Sep-24'!H606+'Oct-24'!H606+'Nov-24'!H606+'Dec-24'!H606+'Jan-25'!H606+'Feb-25'!H606+#REF!+#REF!+#REF!+'Dec-25'!H606</f>
        <v>#REF!</v>
      </c>
      <c r="I606" s="42" t="e">
        <f>+'Jul-24'!I606+'Aug-24'!I606+'Sep-24'!I606+'Oct-24'!I606+'Nov-24'!I606+'Dec-24'!I606+'Jan-25'!I606+'Feb-25'!I606+#REF!+#REF!+#REF!+'Dec-25'!I606</f>
        <v>#REF!</v>
      </c>
      <c r="J606" s="42" t="e">
        <f>+'Jul-24'!J606+'Aug-24'!J606+'Sep-24'!J606+'Oct-24'!J606+'Nov-24'!J606+'Dec-24'!J606+'Jan-25'!J606+'Feb-25'!J606+#REF!+#REF!+#REF!+'Dec-25'!J606</f>
        <v>#REF!</v>
      </c>
      <c r="K606" s="42" t="e">
        <f>+'Jul-24'!K606+'Aug-24'!K606+'Sep-24'!K606+'Oct-24'!K606+'Nov-24'!K606+'Dec-24'!K606+'Jan-25'!K606+'Feb-25'!K606+#REF!+#REF!+#REF!+'Dec-25'!K606</f>
        <v>#REF!</v>
      </c>
      <c r="L606" s="35" t="e">
        <f t="shared" si="154"/>
        <v>#REF!</v>
      </c>
      <c r="M606" s="35" t="e">
        <f t="shared" si="153"/>
        <v>#REF!</v>
      </c>
      <c r="N606" s="32"/>
    </row>
    <row r="607" spans="1:24" x14ac:dyDescent="0.25">
      <c r="A607" s="14"/>
      <c r="B607" s="27"/>
      <c r="C607" s="28" t="s">
        <v>15</v>
      </c>
      <c r="D607" s="28"/>
      <c r="E607" s="28"/>
      <c r="F607" s="28"/>
      <c r="G607" s="42" t="e">
        <f>+'Jul-24'!G607+'Aug-24'!G607+'Sep-24'!G607+'Oct-24'!G607+'Nov-24'!G607+'Dec-24'!G607+'Jan-25'!G607+'Feb-25'!G607+#REF!+#REF!+#REF!+'Dec-25'!G607</f>
        <v>#REF!</v>
      </c>
      <c r="H607" s="42" t="e">
        <f>+'Jul-24'!H607+'Aug-24'!H607+'Sep-24'!H607+'Oct-24'!H607+'Nov-24'!H607+'Dec-24'!H607+'Jan-25'!H607+'Feb-25'!H607+#REF!+#REF!+#REF!+'Dec-25'!H607</f>
        <v>#REF!</v>
      </c>
      <c r="I607" s="42" t="e">
        <f>+'Jul-24'!I607+'Aug-24'!I607+'Sep-24'!I607+'Oct-24'!I607+'Nov-24'!I607+'Dec-24'!I607+'Jan-25'!I607+'Feb-25'!I607+#REF!+#REF!+#REF!+'Dec-25'!I607</f>
        <v>#REF!</v>
      </c>
      <c r="J607" s="42" t="e">
        <f>+'Jul-24'!J607+'Aug-24'!J607+'Sep-24'!J607+'Oct-24'!J607+'Nov-24'!J607+'Dec-24'!J607+'Jan-25'!J607+'Feb-25'!J607+#REF!+#REF!+#REF!+'Dec-25'!J607</f>
        <v>#REF!</v>
      </c>
      <c r="K607" s="42" t="e">
        <f>+'Jul-24'!K607+'Aug-24'!K607+'Sep-24'!K607+'Oct-24'!K607+'Nov-24'!K607+'Dec-24'!K607+'Jan-25'!K607+'Feb-25'!K607+#REF!+#REF!+#REF!+'Dec-25'!K607</f>
        <v>#REF!</v>
      </c>
      <c r="L607" s="35" t="e">
        <f t="shared" si="154"/>
        <v>#REF!</v>
      </c>
      <c r="M607" s="35" t="e">
        <f t="shared" si="153"/>
        <v>#REF!</v>
      </c>
      <c r="N607" s="32"/>
    </row>
    <row r="608" spans="1:24" x14ac:dyDescent="0.25">
      <c r="A608" s="14"/>
      <c r="B608" s="27"/>
      <c r="C608" s="28" t="s">
        <v>16</v>
      </c>
      <c r="D608" s="28"/>
      <c r="E608" s="28"/>
      <c r="F608" s="28"/>
      <c r="G608" s="42" t="e">
        <f>+'Jul-24'!G608+'Aug-24'!G608+'Sep-24'!G608+'Oct-24'!G608+'Nov-24'!G608+'Dec-24'!G608+'Jan-25'!G608+'Feb-25'!G608+#REF!+#REF!+#REF!+'Dec-25'!G608</f>
        <v>#REF!</v>
      </c>
      <c r="H608" s="42" t="e">
        <f>+'Jul-24'!H608+'Aug-24'!H608+'Sep-24'!H608+'Oct-24'!H608+'Nov-24'!H608+'Dec-24'!H608+'Jan-25'!H608+'Feb-25'!H608+#REF!+#REF!+#REF!+'Dec-25'!H608</f>
        <v>#REF!</v>
      </c>
      <c r="I608" s="42" t="e">
        <f>+'Jul-24'!I608+'Aug-24'!I608+'Sep-24'!I608+'Oct-24'!I608+'Nov-24'!I608+'Dec-24'!I608+'Jan-25'!I608+'Feb-25'!I608+#REF!+#REF!+#REF!+'Dec-25'!I608</f>
        <v>#REF!</v>
      </c>
      <c r="J608" s="42" t="e">
        <f>+'Jul-24'!J608+'Aug-24'!J608+'Sep-24'!J608+'Oct-24'!J608+'Nov-24'!J608+'Dec-24'!J608+'Jan-25'!J608+'Feb-25'!J608+#REF!+#REF!+#REF!+'Dec-25'!J608</f>
        <v>#REF!</v>
      </c>
      <c r="K608" s="42" t="e">
        <f>+'Jul-24'!K608+'Aug-24'!K608+'Sep-24'!K608+'Oct-24'!K608+'Nov-24'!K608+'Dec-24'!K608+'Jan-25'!K608+'Feb-25'!K608+#REF!+#REF!+#REF!+'Dec-25'!K608</f>
        <v>#REF!</v>
      </c>
      <c r="L608" s="35" t="e">
        <f t="shared" si="154"/>
        <v>#REF!</v>
      </c>
      <c r="M608" s="35" t="e">
        <f t="shared" si="153"/>
        <v>#REF!</v>
      </c>
      <c r="N608" s="32"/>
    </row>
    <row r="609" spans="1:24" ht="15.75" thickBot="1" x14ac:dyDescent="0.3">
      <c r="A609" s="14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4">
        <f>+A595+1</f>
        <v>38</v>
      </c>
      <c r="B611" s="5"/>
      <c r="C611" s="6" t="s">
        <v>60</v>
      </c>
      <c r="D611" s="7"/>
      <c r="E611" s="8"/>
      <c r="F611" s="8"/>
      <c r="G611" s="10">
        <f>+$G$3</f>
        <v>2024</v>
      </c>
      <c r="H611" s="10">
        <f>+G611</f>
        <v>2024</v>
      </c>
      <c r="I611" s="10">
        <f t="shared" ref="I611:M612" si="155">+H611</f>
        <v>2024</v>
      </c>
      <c r="J611" s="10">
        <f t="shared" si="155"/>
        <v>2024</v>
      </c>
      <c r="K611" s="10">
        <f t="shared" si="155"/>
        <v>2024</v>
      </c>
      <c r="L611" s="10">
        <f t="shared" si="155"/>
        <v>2024</v>
      </c>
      <c r="M611" s="10">
        <f t="shared" si="155"/>
        <v>2024</v>
      </c>
      <c r="N611" s="11"/>
      <c r="S611" s="12" t="str">
        <f>+C611</f>
        <v>Moneni</v>
      </c>
      <c r="T611" s="13" t="e">
        <f>+L615</f>
        <v>#REF!</v>
      </c>
      <c r="U611" s="13" t="e">
        <f>+L616+L617</f>
        <v>#REF!</v>
      </c>
      <c r="V611" s="13" t="e">
        <f>+L618+L619</f>
        <v>#REF!</v>
      </c>
      <c r="W611" s="13" t="e">
        <f>+L622</f>
        <v>#REF!</v>
      </c>
      <c r="X611" s="13" t="e">
        <f>+L620</f>
        <v>#REF!</v>
      </c>
    </row>
    <row r="612" spans="1:24" x14ac:dyDescent="0.25">
      <c r="A612" s="14"/>
      <c r="B612" s="15"/>
      <c r="C612" s="41" t="str">
        <f>+$C596</f>
        <v>Year to Date 2024/2025</v>
      </c>
      <c r="D612" s="18"/>
      <c r="E612" s="18"/>
      <c r="F612" s="18"/>
      <c r="G612" s="20" t="str">
        <f>+$G$4</f>
        <v>Week</v>
      </c>
      <c r="H612" s="20" t="str">
        <f>+G612</f>
        <v>Week</v>
      </c>
      <c r="I612" s="20" t="str">
        <f t="shared" si="155"/>
        <v>Week</v>
      </c>
      <c r="J612" s="20" t="str">
        <f t="shared" si="155"/>
        <v>Week</v>
      </c>
      <c r="K612" s="20" t="str">
        <f t="shared" si="155"/>
        <v>Week</v>
      </c>
      <c r="L612" s="20" t="str">
        <f t="shared" si="155"/>
        <v>Week</v>
      </c>
      <c r="M612" s="20" t="str">
        <f t="shared" si="155"/>
        <v>Week</v>
      </c>
      <c r="N612" s="21"/>
    </row>
    <row r="613" spans="1:24" ht="15.75" thickBot="1" x14ac:dyDescent="0.3">
      <c r="A613" s="14"/>
      <c r="B613" s="22"/>
      <c r="C613" s="23"/>
      <c r="D613" s="23"/>
      <c r="E613" s="23"/>
      <c r="F613" s="23"/>
      <c r="G613" s="25">
        <f>+$G$5</f>
        <v>1</v>
      </c>
      <c r="H613" s="25">
        <f>+$H$5</f>
        <v>2</v>
      </c>
      <c r="I613" s="25">
        <f>+$I$5</f>
        <v>3</v>
      </c>
      <c r="J613" s="25">
        <f>+$J$5</f>
        <v>4</v>
      </c>
      <c r="K613" s="25">
        <f>+$K$5</f>
        <v>5</v>
      </c>
      <c r="L613" s="25" t="s">
        <v>6</v>
      </c>
      <c r="M613" s="25" t="s">
        <v>7</v>
      </c>
      <c r="N613" s="26"/>
    </row>
    <row r="614" spans="1:24" x14ac:dyDescent="0.25">
      <c r="A614" s="14"/>
      <c r="B614" s="27"/>
      <c r="C614" s="28"/>
      <c r="D614" s="28"/>
      <c r="E614" s="28"/>
      <c r="F614" s="28"/>
      <c r="G614" s="29"/>
      <c r="H614" s="29"/>
      <c r="I614" s="29"/>
      <c r="J614" s="29"/>
      <c r="K614" s="28"/>
      <c r="L614" s="28"/>
      <c r="M614" s="28"/>
      <c r="N614" s="30"/>
    </row>
    <row r="615" spans="1:24" x14ac:dyDescent="0.25">
      <c r="A615" s="14"/>
      <c r="B615" s="27"/>
      <c r="C615" s="28" t="s">
        <v>8</v>
      </c>
      <c r="D615" s="28"/>
      <c r="E615" s="28"/>
      <c r="F615" s="28"/>
      <c r="G615" s="31" t="e">
        <f>SUM(G616:G619)</f>
        <v>#REF!</v>
      </c>
      <c r="H615" s="31" t="e">
        <f t="shared" ref="H615:L615" si="156">SUM(H616:H619)</f>
        <v>#REF!</v>
      </c>
      <c r="I615" s="31" t="e">
        <f t="shared" si="156"/>
        <v>#REF!</v>
      </c>
      <c r="J615" s="31" t="e">
        <f t="shared" si="156"/>
        <v>#REF!</v>
      </c>
      <c r="K615" s="31" t="e">
        <f t="shared" si="156"/>
        <v>#REF!</v>
      </c>
      <c r="L615" s="31" t="e">
        <f t="shared" si="156"/>
        <v>#REF!</v>
      </c>
      <c r="M615" s="31" t="e">
        <f>ROUND((L615/$E$1),0)</f>
        <v>#REF!</v>
      </c>
      <c r="N615" s="32"/>
    </row>
    <row r="616" spans="1:24" x14ac:dyDescent="0.25">
      <c r="A616" s="14"/>
      <c r="B616" s="27"/>
      <c r="C616" s="28"/>
      <c r="D616" s="28" t="s">
        <v>9</v>
      </c>
      <c r="E616" s="28"/>
      <c r="F616" s="28"/>
      <c r="G616" s="42" t="e">
        <f>+'Jul-24'!G616+'Aug-24'!G616+'Sep-24'!G616+'Oct-24'!G616+'Nov-24'!G616+'Dec-24'!G616+'Jan-25'!G616+'Feb-25'!G616+#REF!+#REF!+#REF!+'Dec-25'!G616</f>
        <v>#REF!</v>
      </c>
      <c r="H616" s="42" t="e">
        <f>+'Jul-24'!H616+'Aug-24'!H616+'Sep-24'!H616+'Oct-24'!H616+'Nov-24'!H616+'Dec-24'!H616+'Jan-25'!H616+'Feb-25'!H616+#REF!+#REF!+#REF!+'Dec-25'!H616</f>
        <v>#REF!</v>
      </c>
      <c r="I616" s="42" t="e">
        <f>+'Jul-24'!I616+'Aug-24'!I616+'Sep-24'!I616+'Oct-24'!I616+'Nov-24'!I616+'Dec-24'!I616+'Jan-25'!I616+'Feb-25'!I616+#REF!+#REF!+#REF!+'Dec-25'!I616</f>
        <v>#REF!</v>
      </c>
      <c r="J616" s="42" t="e">
        <f>+'Jul-24'!J616+'Aug-24'!J616+'Sep-24'!J616+'Oct-24'!J616+'Nov-24'!J616+'Dec-24'!J616+'Jan-25'!J616+'Feb-25'!J616+#REF!+#REF!+#REF!+'Dec-25'!J616</f>
        <v>#REF!</v>
      </c>
      <c r="K616" s="42" t="e">
        <f>+'Jul-24'!K616+'Aug-24'!K616+'Sep-24'!K616+'Oct-24'!K616+'Nov-24'!K616+'Dec-24'!K616+'Jan-25'!K616+'Feb-25'!K616+#REF!+#REF!+#REF!+'Dec-25'!K616</f>
        <v>#REF!</v>
      </c>
      <c r="L616" s="35" t="e">
        <f>SUM(G616:K616)</f>
        <v>#REF!</v>
      </c>
      <c r="M616" s="35" t="e">
        <f t="shared" ref="M616:M624" si="157">ROUND((L616/$E$1),0)</f>
        <v>#REF!</v>
      </c>
      <c r="N616" s="32"/>
      <c r="P616" s="28"/>
    </row>
    <row r="617" spans="1:24" x14ac:dyDescent="0.25">
      <c r="A617" s="14"/>
      <c r="B617" s="27"/>
      <c r="C617" s="28"/>
      <c r="D617" s="28" t="s">
        <v>10</v>
      </c>
      <c r="E617" s="28"/>
      <c r="F617" s="28"/>
      <c r="G617" s="42" t="e">
        <f>+'Jul-24'!G617+'Aug-24'!G617+'Sep-24'!G617+'Oct-24'!G617+'Nov-24'!G617+'Dec-24'!G617+'Jan-25'!G617+'Feb-25'!G617+#REF!+#REF!+#REF!+'Dec-25'!G617</f>
        <v>#REF!</v>
      </c>
      <c r="H617" s="42" t="e">
        <f>+'Jul-24'!H617+'Aug-24'!H617+'Sep-24'!H617+'Oct-24'!H617+'Nov-24'!H617+'Dec-24'!H617+'Jan-25'!H617+'Feb-25'!H617+#REF!+#REF!+#REF!+'Dec-25'!H617</f>
        <v>#REF!</v>
      </c>
      <c r="I617" s="42" t="e">
        <f>+'Jul-24'!I617+'Aug-24'!I617+'Sep-24'!I617+'Oct-24'!I617+'Nov-24'!I617+'Dec-24'!I617+'Jan-25'!I617+'Feb-25'!I617+#REF!+#REF!+#REF!+'Dec-25'!I617</f>
        <v>#REF!</v>
      </c>
      <c r="J617" s="42" t="e">
        <f>+'Jul-24'!J617+'Aug-24'!J617+'Sep-24'!J617+'Oct-24'!J617+'Nov-24'!J617+'Dec-24'!J617+'Jan-25'!J617+'Feb-25'!J617+#REF!+#REF!+#REF!+'Dec-25'!J617</f>
        <v>#REF!</v>
      </c>
      <c r="K617" s="42" t="e">
        <f>+'Jul-24'!K617+'Aug-24'!K617+'Sep-24'!K617+'Oct-24'!K617+'Nov-24'!K617+'Dec-24'!K617+'Jan-25'!K617+'Feb-25'!K617+#REF!+#REF!+#REF!+'Dec-25'!K617</f>
        <v>#REF!</v>
      </c>
      <c r="L617" s="35" t="e">
        <f t="shared" ref="L617:L624" si="158">SUM(G617:K617)</f>
        <v>#REF!</v>
      </c>
      <c r="M617" s="35" t="e">
        <f t="shared" si="157"/>
        <v>#REF!</v>
      </c>
      <c r="N617" s="32"/>
    </row>
    <row r="618" spans="1:24" x14ac:dyDescent="0.25">
      <c r="A618" s="14"/>
      <c r="B618" s="27"/>
      <c r="C618" s="28"/>
      <c r="D618" s="28" t="s">
        <v>11</v>
      </c>
      <c r="E618" s="28"/>
      <c r="F618" s="28"/>
      <c r="G618" s="42" t="e">
        <f>+'Jul-24'!G618+'Aug-24'!G618+'Sep-24'!G618+'Oct-24'!G618+'Nov-24'!G618+'Dec-24'!G618+'Jan-25'!G618+'Feb-25'!G618+#REF!+#REF!+#REF!+'Dec-25'!G618</f>
        <v>#REF!</v>
      </c>
      <c r="H618" s="42" t="e">
        <f>+'Jul-24'!H618+'Aug-24'!H618+'Sep-24'!H618+'Oct-24'!H618+'Nov-24'!H618+'Dec-24'!H618+'Jan-25'!H618+'Feb-25'!H618+#REF!+#REF!+#REF!+'Dec-25'!H618</f>
        <v>#REF!</v>
      </c>
      <c r="I618" s="42" t="e">
        <f>+'Jul-24'!I618+'Aug-24'!I618+'Sep-24'!I618+'Oct-24'!I618+'Nov-24'!I618+'Dec-24'!I618+'Jan-25'!I618+'Feb-25'!I618+#REF!+#REF!+#REF!+'Dec-25'!I618</f>
        <v>#REF!</v>
      </c>
      <c r="J618" s="42" t="e">
        <f>+'Jul-24'!J618+'Aug-24'!J618+'Sep-24'!J618+'Oct-24'!J618+'Nov-24'!J618+'Dec-24'!J618+'Jan-25'!J618+'Feb-25'!J618+#REF!+#REF!+#REF!+'Dec-25'!J618</f>
        <v>#REF!</v>
      </c>
      <c r="K618" s="42" t="e">
        <f>+'Jul-24'!K618+'Aug-24'!K618+'Sep-24'!K618+'Oct-24'!K618+'Nov-24'!K618+'Dec-24'!K618+'Jan-25'!K618+'Feb-25'!K618+#REF!+#REF!+#REF!+'Dec-25'!K618</f>
        <v>#REF!</v>
      </c>
      <c r="L618" s="35" t="e">
        <f t="shared" si="158"/>
        <v>#REF!</v>
      </c>
      <c r="M618" s="35" t="e">
        <f t="shared" si="157"/>
        <v>#REF!</v>
      </c>
      <c r="N618" s="32"/>
    </row>
    <row r="619" spans="1:24" x14ac:dyDescent="0.25">
      <c r="A619" s="14"/>
      <c r="B619" s="27"/>
      <c r="C619" s="28"/>
      <c r="D619" s="28" t="s">
        <v>12</v>
      </c>
      <c r="E619" s="28"/>
      <c r="F619" s="28"/>
      <c r="G619" s="43" t="e">
        <f>+'Jul-24'!G619+'Aug-24'!G619+'Sep-24'!G619+'Oct-24'!G619+'Nov-24'!G619+'Dec-24'!G619+'Jan-25'!G619+'Feb-25'!G619+#REF!+#REF!+#REF!+'Dec-25'!G619</f>
        <v>#REF!</v>
      </c>
      <c r="H619" s="43" t="e">
        <f>+'Jul-24'!H619+'Aug-24'!H619+'Sep-24'!H619+'Oct-24'!H619+'Nov-24'!H619+'Dec-24'!H619+'Jan-25'!H619+'Feb-25'!H619+#REF!+#REF!+#REF!+'Dec-25'!H619</f>
        <v>#REF!</v>
      </c>
      <c r="I619" s="43" t="e">
        <f>+'Jul-24'!I619+'Aug-24'!I619+'Sep-24'!I619+'Oct-24'!I619+'Nov-24'!I619+'Dec-24'!I619+'Jan-25'!I619+'Feb-25'!I619+#REF!+#REF!+#REF!+'Dec-25'!I619</f>
        <v>#REF!</v>
      </c>
      <c r="J619" s="43" t="e">
        <f>+'Jul-24'!J619+'Aug-24'!J619+'Sep-24'!J619+'Oct-24'!J619+'Nov-24'!J619+'Dec-24'!J619+'Jan-25'!J619+'Feb-25'!J619+#REF!+#REF!+#REF!+'Dec-25'!J619</f>
        <v>#REF!</v>
      </c>
      <c r="K619" s="43" t="e">
        <f>+'Jul-24'!K619+'Aug-24'!K619+'Sep-24'!K619+'Oct-24'!K619+'Nov-24'!K619+'Dec-24'!K619+'Jan-25'!K619+'Feb-25'!K619+#REF!+#REF!+#REF!+'Dec-25'!K619</f>
        <v>#REF!</v>
      </c>
      <c r="L619" s="31" t="e">
        <f t="shared" si="158"/>
        <v>#REF!</v>
      </c>
      <c r="M619" s="31" t="e">
        <f t="shared" si="157"/>
        <v>#REF!</v>
      </c>
      <c r="N619" s="32"/>
    </row>
    <row r="620" spans="1:24" x14ac:dyDescent="0.25">
      <c r="A620" s="14"/>
      <c r="B620" s="27"/>
      <c r="C620" s="28" t="s">
        <v>13</v>
      </c>
      <c r="D620" s="28"/>
      <c r="E620" s="28"/>
      <c r="F620" s="28"/>
      <c r="G620" s="42" t="e">
        <f>+'Jul-24'!G620+'Aug-24'!G620+'Sep-24'!G620+'Oct-24'!G620+'Nov-24'!G620+'Dec-24'!G620+'Jan-25'!G620+'Feb-25'!G620+#REF!+#REF!+#REF!+'Dec-25'!G620</f>
        <v>#REF!</v>
      </c>
      <c r="H620" s="42" t="e">
        <f>+'Jul-24'!H620+'Aug-24'!H620+'Sep-24'!H620+'Oct-24'!H620+'Nov-24'!H620+'Dec-24'!H620+'Jan-25'!H620+'Feb-25'!H620+#REF!+#REF!+#REF!+'Dec-25'!H620</f>
        <v>#REF!</v>
      </c>
      <c r="I620" s="42" t="e">
        <f>+'Jul-24'!I620+'Aug-24'!I620+'Sep-24'!I620+'Oct-24'!I620+'Nov-24'!I620+'Dec-24'!I620+'Jan-25'!I620+'Feb-25'!I620+#REF!+#REF!+#REF!+'Dec-25'!I620</f>
        <v>#REF!</v>
      </c>
      <c r="J620" s="42" t="e">
        <f>+'Jul-24'!J620+'Aug-24'!J620+'Sep-24'!J620+'Oct-24'!J620+'Nov-24'!J620+'Dec-24'!J620+'Jan-25'!J620+'Feb-25'!J620+#REF!+#REF!+#REF!+'Dec-25'!J620</f>
        <v>#REF!</v>
      </c>
      <c r="K620" s="42" t="e">
        <f>+'Jul-24'!K620+'Aug-24'!K620+'Sep-24'!K620+'Oct-24'!K620+'Nov-24'!K620+'Dec-24'!K620+'Jan-25'!K620+'Feb-25'!K620+#REF!+#REF!+#REF!+'Dec-25'!K620</f>
        <v>#REF!</v>
      </c>
      <c r="L620" s="35" t="e">
        <f t="shared" si="158"/>
        <v>#REF!</v>
      </c>
      <c r="M620" s="35" t="e">
        <f t="shared" si="157"/>
        <v>#REF!</v>
      </c>
      <c r="N620" s="32"/>
    </row>
    <row r="621" spans="1:24" x14ac:dyDescent="0.25">
      <c r="A621" s="14"/>
      <c r="B621" s="27"/>
      <c r="C621" s="28" t="s">
        <v>14</v>
      </c>
      <c r="D621" s="28"/>
      <c r="E621" s="28"/>
      <c r="F621" s="28"/>
      <c r="G621" s="42" t="e">
        <f>+'Jul-24'!G621+'Aug-24'!G621+'Sep-24'!G621+'Oct-24'!G621+'Nov-24'!G621+'Dec-24'!G621+'Jan-25'!G621+'Feb-25'!G621+#REF!+#REF!+#REF!+'Dec-25'!G621</f>
        <v>#REF!</v>
      </c>
      <c r="H621" s="42" t="e">
        <f>+'Jul-24'!H621+'Aug-24'!H621+'Sep-24'!H621+'Oct-24'!H621+'Nov-24'!H621+'Dec-24'!H621+'Jan-25'!H621+'Feb-25'!H621+#REF!+#REF!+#REF!+'Dec-25'!H621</f>
        <v>#REF!</v>
      </c>
      <c r="I621" s="42" t="e">
        <f>+'Jul-24'!I621+'Aug-24'!I621+'Sep-24'!I621+'Oct-24'!I621+'Nov-24'!I621+'Dec-24'!I621+'Jan-25'!I621+'Feb-25'!I621+#REF!+#REF!+#REF!+'Dec-25'!I621</f>
        <v>#REF!</v>
      </c>
      <c r="J621" s="42" t="e">
        <f>+'Jul-24'!J621+'Aug-24'!J621+'Sep-24'!J621+'Oct-24'!J621+'Nov-24'!J621+'Dec-24'!J621+'Jan-25'!J621+'Feb-25'!J621+#REF!+#REF!+#REF!+'Dec-25'!J621</f>
        <v>#REF!</v>
      </c>
      <c r="K621" s="42" t="e">
        <f>+'Jul-24'!K621+'Aug-24'!K621+'Sep-24'!K621+'Oct-24'!K621+'Nov-24'!K621+'Dec-24'!K621+'Jan-25'!K621+'Feb-25'!K621+#REF!+#REF!+#REF!+'Dec-25'!K621</f>
        <v>#REF!</v>
      </c>
      <c r="L621" s="35" t="e">
        <f t="shared" si="158"/>
        <v>#REF!</v>
      </c>
      <c r="M621" s="35" t="e">
        <f t="shared" si="157"/>
        <v>#REF!</v>
      </c>
      <c r="N621" s="32"/>
    </row>
    <row r="622" spans="1:24" x14ac:dyDescent="0.25">
      <c r="A622" s="14"/>
      <c r="B622" s="27"/>
      <c r="C622" s="28" t="s">
        <v>4</v>
      </c>
      <c r="D622" s="28"/>
      <c r="E622" s="28"/>
      <c r="F622" s="28"/>
      <c r="G622" s="42" t="e">
        <f>+'Jul-24'!G622+'Aug-24'!G622+'Sep-24'!G622+'Oct-24'!G622+'Nov-24'!G622+'Dec-24'!G622+'Jan-25'!G622+'Feb-25'!G622+#REF!+#REF!+#REF!+'Dec-25'!G622</f>
        <v>#REF!</v>
      </c>
      <c r="H622" s="42" t="e">
        <f>+'Jul-24'!H622+'Aug-24'!H622+'Sep-24'!H622+'Oct-24'!H622+'Nov-24'!H622+'Dec-24'!H622+'Jan-25'!H622+'Feb-25'!H622+#REF!+#REF!+#REF!+'Dec-25'!H622</f>
        <v>#REF!</v>
      </c>
      <c r="I622" s="42" t="e">
        <f>+'Jul-24'!I622+'Aug-24'!I622+'Sep-24'!I622+'Oct-24'!I622+'Nov-24'!I622+'Dec-24'!I622+'Jan-25'!I622+'Feb-25'!I622+#REF!+#REF!+#REF!+'Dec-25'!I622</f>
        <v>#REF!</v>
      </c>
      <c r="J622" s="42" t="e">
        <f>+'Jul-24'!J622+'Aug-24'!J622+'Sep-24'!J622+'Oct-24'!J622+'Nov-24'!J622+'Dec-24'!J622+'Jan-25'!J622+'Feb-25'!J622+#REF!+#REF!+#REF!+'Dec-25'!J622</f>
        <v>#REF!</v>
      </c>
      <c r="K622" s="42" t="e">
        <f>+'Jul-24'!K622+'Aug-24'!K622+'Sep-24'!K622+'Oct-24'!K622+'Nov-24'!K622+'Dec-24'!K622+'Jan-25'!K622+'Feb-25'!K622+#REF!+#REF!+#REF!+'Dec-25'!K622</f>
        <v>#REF!</v>
      </c>
      <c r="L622" s="35" t="e">
        <f t="shared" si="158"/>
        <v>#REF!</v>
      </c>
      <c r="M622" s="35" t="e">
        <f t="shared" si="157"/>
        <v>#REF!</v>
      </c>
      <c r="N622" s="32"/>
    </row>
    <row r="623" spans="1:24" x14ac:dyDescent="0.25">
      <c r="A623" s="14"/>
      <c r="B623" s="27"/>
      <c r="C623" s="28" t="s">
        <v>15</v>
      </c>
      <c r="D623" s="28"/>
      <c r="E623" s="28"/>
      <c r="F623" s="28"/>
      <c r="G623" s="42" t="e">
        <f>+'Jul-24'!G623+'Aug-24'!G623+'Sep-24'!G623+'Oct-24'!G623+'Nov-24'!G623+'Dec-24'!G623+'Jan-25'!G623+'Feb-25'!G623+#REF!+#REF!+#REF!+'Dec-25'!G623</f>
        <v>#REF!</v>
      </c>
      <c r="H623" s="42" t="e">
        <f>+'Jul-24'!H623+'Aug-24'!H623+'Sep-24'!H623+'Oct-24'!H623+'Nov-24'!H623+'Dec-24'!H623+'Jan-25'!H623+'Feb-25'!H623+#REF!+#REF!+#REF!+'Dec-25'!H623</f>
        <v>#REF!</v>
      </c>
      <c r="I623" s="42" t="e">
        <f>+'Jul-24'!I623+'Aug-24'!I623+'Sep-24'!I623+'Oct-24'!I623+'Nov-24'!I623+'Dec-24'!I623+'Jan-25'!I623+'Feb-25'!I623+#REF!+#REF!+#REF!+'Dec-25'!I623</f>
        <v>#REF!</v>
      </c>
      <c r="J623" s="42" t="e">
        <f>+'Jul-24'!J623+'Aug-24'!J623+'Sep-24'!J623+'Oct-24'!J623+'Nov-24'!J623+'Dec-24'!J623+'Jan-25'!J623+'Feb-25'!J623+#REF!+#REF!+#REF!+'Dec-25'!J623</f>
        <v>#REF!</v>
      </c>
      <c r="K623" s="42" t="e">
        <f>+'Jul-24'!K623+'Aug-24'!K623+'Sep-24'!K623+'Oct-24'!K623+'Nov-24'!K623+'Dec-24'!K623+'Jan-25'!K623+'Feb-25'!K623+#REF!+#REF!+#REF!+'Dec-25'!K623</f>
        <v>#REF!</v>
      </c>
      <c r="L623" s="35" t="e">
        <f t="shared" si="158"/>
        <v>#REF!</v>
      </c>
      <c r="M623" s="35" t="e">
        <f t="shared" si="157"/>
        <v>#REF!</v>
      </c>
      <c r="N623" s="32"/>
    </row>
    <row r="624" spans="1:24" x14ac:dyDescent="0.25">
      <c r="A624" s="14"/>
      <c r="B624" s="27"/>
      <c r="C624" s="28" t="s">
        <v>16</v>
      </c>
      <c r="D624" s="28"/>
      <c r="E624" s="28"/>
      <c r="F624" s="28"/>
      <c r="G624" s="42" t="e">
        <f>+'Jul-24'!G624+'Aug-24'!G624+'Sep-24'!G624+'Oct-24'!G624+'Nov-24'!G624+'Dec-24'!G624+'Jan-25'!G624+'Feb-25'!G624+#REF!+#REF!+#REF!+'Dec-25'!G624</f>
        <v>#REF!</v>
      </c>
      <c r="H624" s="42" t="e">
        <f>+'Jul-24'!H624+'Aug-24'!H624+'Sep-24'!H624+'Oct-24'!H624+'Nov-24'!H624+'Dec-24'!H624+'Jan-25'!H624+'Feb-25'!H624+#REF!+#REF!+#REF!+'Dec-25'!H624</f>
        <v>#REF!</v>
      </c>
      <c r="I624" s="42" t="e">
        <f>+'Jul-24'!I624+'Aug-24'!I624+'Sep-24'!I624+'Oct-24'!I624+'Nov-24'!I624+'Dec-24'!I624+'Jan-25'!I624+'Feb-25'!I624+#REF!+#REF!+#REF!+'Dec-25'!I624</f>
        <v>#REF!</v>
      </c>
      <c r="J624" s="42" t="e">
        <f>+'Jul-24'!J624+'Aug-24'!J624+'Sep-24'!J624+'Oct-24'!J624+'Nov-24'!J624+'Dec-24'!J624+'Jan-25'!J624+'Feb-25'!J624+#REF!+#REF!+#REF!+'Dec-25'!J624</f>
        <v>#REF!</v>
      </c>
      <c r="K624" s="42" t="e">
        <f>+'Jul-24'!K624+'Aug-24'!K624+'Sep-24'!K624+'Oct-24'!K624+'Nov-24'!K624+'Dec-24'!K624+'Jan-25'!K624+'Feb-25'!K624+#REF!+#REF!+#REF!+'Dec-25'!K624</f>
        <v>#REF!</v>
      </c>
      <c r="L624" s="35" t="e">
        <f t="shared" si="158"/>
        <v>#REF!</v>
      </c>
      <c r="M624" s="35" t="e">
        <f t="shared" si="157"/>
        <v>#REF!</v>
      </c>
      <c r="N624" s="32"/>
    </row>
    <row r="625" spans="1:24" ht="15.75" thickBot="1" x14ac:dyDescent="0.3">
      <c r="A625" s="14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14"/>
      <c r="G626" s="33"/>
      <c r="H626" s="33"/>
      <c r="I626" s="33"/>
      <c r="J626" s="33"/>
      <c r="K626" s="33"/>
      <c r="L626" s="33"/>
      <c r="M626" s="33"/>
      <c r="N626" s="33"/>
    </row>
    <row r="627" spans="1:24" x14ac:dyDescent="0.25">
      <c r="A627" s="4">
        <f>+A611+1</f>
        <v>39</v>
      </c>
      <c r="B627" s="40"/>
      <c r="C627" s="6" t="s">
        <v>61</v>
      </c>
      <c r="D627" s="7"/>
      <c r="E627" s="8"/>
      <c r="F627" s="8"/>
      <c r="G627" s="10">
        <f>+$G$3</f>
        <v>2024</v>
      </c>
      <c r="H627" s="10">
        <f>+G627</f>
        <v>2024</v>
      </c>
      <c r="I627" s="10">
        <f t="shared" ref="I627:M628" si="159">+H627</f>
        <v>2024</v>
      </c>
      <c r="J627" s="10">
        <f t="shared" si="159"/>
        <v>2024</v>
      </c>
      <c r="K627" s="10">
        <f t="shared" si="159"/>
        <v>2024</v>
      </c>
      <c r="L627" s="10">
        <f t="shared" si="159"/>
        <v>2024</v>
      </c>
      <c r="M627" s="10">
        <f t="shared" si="159"/>
        <v>2024</v>
      </c>
      <c r="N627" s="11"/>
      <c r="S627" s="12" t="str">
        <f>+C627</f>
        <v>Mabhukwini</v>
      </c>
      <c r="T627" s="13" t="e">
        <f>+L631</f>
        <v>#REF!</v>
      </c>
      <c r="U627" s="13" t="e">
        <f>+L632+L633</f>
        <v>#REF!</v>
      </c>
      <c r="V627" s="13" t="e">
        <f>+L634+L635</f>
        <v>#REF!</v>
      </c>
      <c r="W627" s="13" t="e">
        <f>+L638</f>
        <v>#REF!</v>
      </c>
      <c r="X627" s="13" t="e">
        <f>+L636</f>
        <v>#REF!</v>
      </c>
    </row>
    <row r="628" spans="1:24" x14ac:dyDescent="0.25">
      <c r="A628" s="14"/>
      <c r="B628" s="15"/>
      <c r="C628" s="41" t="str">
        <f>+$C612</f>
        <v>Year to Date 2024/2025</v>
      </c>
      <c r="D628" s="18"/>
      <c r="E628" s="18"/>
      <c r="F628" s="18"/>
      <c r="G628" s="20" t="str">
        <f>+$G$4</f>
        <v>Week</v>
      </c>
      <c r="H628" s="20" t="str">
        <f>+G628</f>
        <v>Week</v>
      </c>
      <c r="I628" s="20" t="str">
        <f t="shared" si="159"/>
        <v>Week</v>
      </c>
      <c r="J628" s="20" t="str">
        <f t="shared" si="159"/>
        <v>Week</v>
      </c>
      <c r="K628" s="20" t="str">
        <f t="shared" si="159"/>
        <v>Week</v>
      </c>
      <c r="L628" s="20" t="str">
        <f t="shared" si="159"/>
        <v>Week</v>
      </c>
      <c r="M628" s="20" t="str">
        <f t="shared" si="159"/>
        <v>Week</v>
      </c>
      <c r="N628" s="21"/>
    </row>
    <row r="629" spans="1:24" ht="15.75" thickBot="1" x14ac:dyDescent="0.3">
      <c r="A629" s="14"/>
      <c r="B629" s="22"/>
      <c r="C629" s="23"/>
      <c r="D629" s="23"/>
      <c r="E629" s="23"/>
      <c r="F629" s="23"/>
      <c r="G629" s="25">
        <f>+$G$5</f>
        <v>1</v>
      </c>
      <c r="H629" s="25">
        <f>+$H$5</f>
        <v>2</v>
      </c>
      <c r="I629" s="25">
        <f>+$I$5</f>
        <v>3</v>
      </c>
      <c r="J629" s="25">
        <f>+$J$5</f>
        <v>4</v>
      </c>
      <c r="K629" s="25">
        <f>+$K$5</f>
        <v>5</v>
      </c>
      <c r="L629" s="25" t="s">
        <v>6</v>
      </c>
      <c r="M629" s="25" t="s">
        <v>7</v>
      </c>
      <c r="N629" s="26"/>
    </row>
    <row r="630" spans="1:24" x14ac:dyDescent="0.25">
      <c r="A630" s="14"/>
      <c r="B630" s="27"/>
      <c r="C630" s="28"/>
      <c r="D630" s="28"/>
      <c r="E630" s="28"/>
      <c r="F630" s="28"/>
      <c r="G630" s="29"/>
      <c r="H630" s="29"/>
      <c r="I630" s="29"/>
      <c r="J630" s="29"/>
      <c r="K630" s="28"/>
      <c r="L630" s="28"/>
      <c r="M630" s="28"/>
      <c r="N630" s="30"/>
    </row>
    <row r="631" spans="1:24" x14ac:dyDescent="0.25">
      <c r="A631" s="14"/>
      <c r="B631" s="27"/>
      <c r="C631" s="28" t="s">
        <v>8</v>
      </c>
      <c r="D631" s="28"/>
      <c r="E631" s="28"/>
      <c r="F631" s="28"/>
      <c r="G631" s="31" t="e">
        <f>SUM(G632:G635)</f>
        <v>#REF!</v>
      </c>
      <c r="H631" s="31" t="e">
        <f t="shared" ref="H631:L631" si="160">SUM(H632:H635)</f>
        <v>#REF!</v>
      </c>
      <c r="I631" s="31" t="e">
        <f t="shared" si="160"/>
        <v>#REF!</v>
      </c>
      <c r="J631" s="31" t="e">
        <f t="shared" si="160"/>
        <v>#REF!</v>
      </c>
      <c r="K631" s="31" t="e">
        <f t="shared" si="160"/>
        <v>#REF!</v>
      </c>
      <c r="L631" s="31" t="e">
        <f t="shared" si="160"/>
        <v>#REF!</v>
      </c>
      <c r="M631" s="31" t="e">
        <f>ROUND((L631/$E$1),0)</f>
        <v>#REF!</v>
      </c>
      <c r="N631" s="32"/>
    </row>
    <row r="632" spans="1:24" x14ac:dyDescent="0.25">
      <c r="A632" s="14"/>
      <c r="B632" s="27"/>
      <c r="C632" s="28"/>
      <c r="D632" s="28" t="s">
        <v>9</v>
      </c>
      <c r="E632" s="28"/>
      <c r="F632" s="28"/>
      <c r="G632" s="42" t="e">
        <f>+'Jul-24'!G632+'Aug-24'!G632+'Sep-24'!G632+'Oct-24'!G632+'Nov-24'!G632+'Dec-24'!G632+'Jan-25'!G632+'Feb-25'!G632+#REF!+#REF!+#REF!+'Dec-25'!G632</f>
        <v>#REF!</v>
      </c>
      <c r="H632" s="42" t="e">
        <f>+'Jul-24'!H632+'Aug-24'!H632+'Sep-24'!H632+'Oct-24'!H632+'Nov-24'!H632+'Dec-24'!H632+'Jan-25'!H632+'Feb-25'!H632+#REF!+#REF!+#REF!+'Dec-25'!H632</f>
        <v>#REF!</v>
      </c>
      <c r="I632" s="42" t="e">
        <f>+'Jul-24'!I632+'Aug-24'!I632+'Sep-24'!I632+'Oct-24'!I632+'Nov-24'!I632+'Dec-24'!I632+'Jan-25'!I632+'Feb-25'!I632+#REF!+#REF!+#REF!+'Dec-25'!I632</f>
        <v>#REF!</v>
      </c>
      <c r="J632" s="42" t="e">
        <f>+'Jul-24'!J632+'Aug-24'!J632+'Sep-24'!J632+'Oct-24'!J632+'Nov-24'!J632+'Dec-24'!J632+'Jan-25'!J632+'Feb-25'!J632+#REF!+#REF!+#REF!+'Dec-25'!J632</f>
        <v>#REF!</v>
      </c>
      <c r="K632" s="42" t="e">
        <f>+'Jul-24'!K632+'Aug-24'!K632+'Sep-24'!K632+'Oct-24'!K632+'Nov-24'!K632+'Dec-24'!K632+'Jan-25'!K632+'Feb-25'!K632+#REF!+#REF!+#REF!+'Dec-25'!K632</f>
        <v>#REF!</v>
      </c>
      <c r="L632" s="35" t="e">
        <f>SUM(G632:K632)</f>
        <v>#REF!</v>
      </c>
      <c r="M632" s="35" t="e">
        <f t="shared" ref="M632:M640" si="161">ROUND((L632/$E$1),0)</f>
        <v>#REF!</v>
      </c>
      <c r="N632" s="32"/>
    </row>
    <row r="633" spans="1:24" x14ac:dyDescent="0.25">
      <c r="A633" s="14"/>
      <c r="B633" s="27"/>
      <c r="C633" s="28"/>
      <c r="D633" s="28" t="s">
        <v>10</v>
      </c>
      <c r="E633" s="28"/>
      <c r="F633" s="28"/>
      <c r="G633" s="42" t="e">
        <f>+'Jul-24'!G633+'Aug-24'!G633+'Sep-24'!G633+'Oct-24'!G633+'Nov-24'!G633+'Dec-24'!G633+'Jan-25'!G633+'Feb-25'!G633+#REF!+#REF!+#REF!+'Dec-25'!G633</f>
        <v>#REF!</v>
      </c>
      <c r="H633" s="42" t="e">
        <f>+'Jul-24'!H633+'Aug-24'!H633+'Sep-24'!H633+'Oct-24'!H633+'Nov-24'!H633+'Dec-24'!H633+'Jan-25'!H633+'Feb-25'!H633+#REF!+#REF!+#REF!+'Dec-25'!H633</f>
        <v>#REF!</v>
      </c>
      <c r="I633" s="42" t="e">
        <f>+'Jul-24'!I633+'Aug-24'!I633+'Sep-24'!I633+'Oct-24'!I633+'Nov-24'!I633+'Dec-24'!I633+'Jan-25'!I633+'Feb-25'!I633+#REF!+#REF!+#REF!+'Dec-25'!I633</f>
        <v>#REF!</v>
      </c>
      <c r="J633" s="42" t="e">
        <f>+'Jul-24'!J633+'Aug-24'!J633+'Sep-24'!J633+'Oct-24'!J633+'Nov-24'!J633+'Dec-24'!J633+'Jan-25'!J633+'Feb-25'!J633+#REF!+#REF!+#REF!+'Dec-25'!J633</f>
        <v>#REF!</v>
      </c>
      <c r="K633" s="42" t="e">
        <f>+'Jul-24'!K633+'Aug-24'!K633+'Sep-24'!K633+'Oct-24'!K633+'Nov-24'!K633+'Dec-24'!K633+'Jan-25'!K633+'Feb-25'!K633+#REF!+#REF!+#REF!+'Dec-25'!K633</f>
        <v>#REF!</v>
      </c>
      <c r="L633" s="35" t="e">
        <f t="shared" ref="L633:L640" si="162">SUM(G633:K633)</f>
        <v>#REF!</v>
      </c>
      <c r="M633" s="35" t="e">
        <f t="shared" si="161"/>
        <v>#REF!</v>
      </c>
      <c r="N633" s="32"/>
    </row>
    <row r="634" spans="1:24" x14ac:dyDescent="0.25">
      <c r="A634" s="14"/>
      <c r="B634" s="27"/>
      <c r="C634" s="28"/>
      <c r="D634" s="28" t="s">
        <v>11</v>
      </c>
      <c r="E634" s="28"/>
      <c r="F634" s="28"/>
      <c r="G634" s="42" t="e">
        <f>+'Jul-24'!G634+'Aug-24'!G634+'Sep-24'!G634+'Oct-24'!G634+'Nov-24'!G634+'Dec-24'!G634+'Jan-25'!G634+'Feb-25'!G634+#REF!+#REF!+#REF!+'Dec-25'!G634</f>
        <v>#REF!</v>
      </c>
      <c r="H634" s="42" t="e">
        <f>+'Jul-24'!H634+'Aug-24'!H634+'Sep-24'!H634+'Oct-24'!H634+'Nov-24'!H634+'Dec-24'!H634+'Jan-25'!H634+'Feb-25'!H634+#REF!+#REF!+#REF!+'Dec-25'!H634</f>
        <v>#REF!</v>
      </c>
      <c r="I634" s="42" t="e">
        <f>+'Jul-24'!I634+'Aug-24'!I634+'Sep-24'!I634+'Oct-24'!I634+'Nov-24'!I634+'Dec-24'!I634+'Jan-25'!I634+'Feb-25'!I634+#REF!+#REF!+#REF!+'Dec-25'!I634</f>
        <v>#REF!</v>
      </c>
      <c r="J634" s="42" t="e">
        <f>+'Jul-24'!J634+'Aug-24'!J634+'Sep-24'!J634+'Oct-24'!J634+'Nov-24'!J634+'Dec-24'!J634+'Jan-25'!J634+'Feb-25'!J634+#REF!+#REF!+#REF!+'Dec-25'!J634</f>
        <v>#REF!</v>
      </c>
      <c r="K634" s="42" t="e">
        <f>+'Jul-24'!K634+'Aug-24'!K634+'Sep-24'!K634+'Oct-24'!K634+'Nov-24'!K634+'Dec-24'!K634+'Jan-25'!K634+'Feb-25'!K634+#REF!+#REF!+#REF!+'Dec-25'!K634</f>
        <v>#REF!</v>
      </c>
      <c r="L634" s="35" t="e">
        <f t="shared" si="162"/>
        <v>#REF!</v>
      </c>
      <c r="M634" s="35" t="e">
        <f t="shared" si="161"/>
        <v>#REF!</v>
      </c>
      <c r="N634" s="32"/>
    </row>
    <row r="635" spans="1:24" x14ac:dyDescent="0.25">
      <c r="A635" s="14"/>
      <c r="B635" s="27"/>
      <c r="C635" s="28"/>
      <c r="D635" s="28" t="s">
        <v>12</v>
      </c>
      <c r="E635" s="28"/>
      <c r="F635" s="28"/>
      <c r="G635" s="43" t="e">
        <f>+'Jul-24'!G635+'Aug-24'!G635+'Sep-24'!G635+'Oct-24'!G635+'Nov-24'!G635+'Dec-24'!G635+'Jan-25'!G635+'Feb-25'!G635+#REF!+#REF!+#REF!+'Dec-25'!G635</f>
        <v>#REF!</v>
      </c>
      <c r="H635" s="43" t="e">
        <f>+'Jul-24'!H635+'Aug-24'!H635+'Sep-24'!H635+'Oct-24'!H635+'Nov-24'!H635+'Dec-24'!H635+'Jan-25'!H635+'Feb-25'!H635+#REF!+#REF!+#REF!+'Dec-25'!H635</f>
        <v>#REF!</v>
      </c>
      <c r="I635" s="43" t="e">
        <f>+'Jul-24'!I635+'Aug-24'!I635+'Sep-24'!I635+'Oct-24'!I635+'Nov-24'!I635+'Dec-24'!I635+'Jan-25'!I635+'Feb-25'!I635+#REF!+#REF!+#REF!+'Dec-25'!I635</f>
        <v>#REF!</v>
      </c>
      <c r="J635" s="43" t="e">
        <f>+'Jul-24'!J635+'Aug-24'!J635+'Sep-24'!J635+'Oct-24'!J635+'Nov-24'!J635+'Dec-24'!J635+'Jan-25'!J635+'Feb-25'!J635+#REF!+#REF!+#REF!+'Dec-25'!J635</f>
        <v>#REF!</v>
      </c>
      <c r="K635" s="43" t="e">
        <f>+'Jul-24'!K635+'Aug-24'!K635+'Sep-24'!K635+'Oct-24'!K635+'Nov-24'!K635+'Dec-24'!K635+'Jan-25'!K635+'Feb-25'!K635+#REF!+#REF!+#REF!+'Dec-25'!K635</f>
        <v>#REF!</v>
      </c>
      <c r="L635" s="31" t="e">
        <f t="shared" si="162"/>
        <v>#REF!</v>
      </c>
      <c r="M635" s="31" t="e">
        <f t="shared" si="161"/>
        <v>#REF!</v>
      </c>
      <c r="N635" s="32"/>
    </row>
    <row r="636" spans="1:24" x14ac:dyDescent="0.25">
      <c r="A636" s="14"/>
      <c r="B636" s="27"/>
      <c r="C636" s="28" t="s">
        <v>13</v>
      </c>
      <c r="D636" s="28"/>
      <c r="E636" s="28"/>
      <c r="F636" s="28"/>
      <c r="G636" s="42" t="e">
        <f>+'Jul-24'!G636+'Aug-24'!G636+'Sep-24'!G636+'Oct-24'!G636+'Nov-24'!G636+'Dec-24'!G636+'Jan-25'!G636+'Feb-25'!G636+#REF!+#REF!+#REF!+'Dec-25'!G636</f>
        <v>#REF!</v>
      </c>
      <c r="H636" s="42" t="e">
        <f>+'Jul-24'!H636+'Aug-24'!H636+'Sep-24'!H636+'Oct-24'!H636+'Nov-24'!H636+'Dec-24'!H636+'Jan-25'!H636+'Feb-25'!H636+#REF!+#REF!+#REF!+'Dec-25'!H636</f>
        <v>#REF!</v>
      </c>
      <c r="I636" s="42" t="e">
        <f>+'Jul-24'!I636+'Aug-24'!I636+'Sep-24'!I636+'Oct-24'!I636+'Nov-24'!I636+'Dec-24'!I636+'Jan-25'!I636+'Feb-25'!I636+#REF!+#REF!+#REF!+'Dec-25'!I636</f>
        <v>#REF!</v>
      </c>
      <c r="J636" s="42" t="e">
        <f>+'Jul-24'!J636+'Aug-24'!J636+'Sep-24'!J636+'Oct-24'!J636+'Nov-24'!J636+'Dec-24'!J636+'Jan-25'!J636+'Feb-25'!J636+#REF!+#REF!+#REF!+'Dec-25'!J636</f>
        <v>#REF!</v>
      </c>
      <c r="K636" s="42" t="e">
        <f>+'Jul-24'!K636+'Aug-24'!K636+'Sep-24'!K636+'Oct-24'!K636+'Nov-24'!K636+'Dec-24'!K636+'Jan-25'!K636+'Feb-25'!K636+#REF!+#REF!+#REF!+'Dec-25'!K636</f>
        <v>#REF!</v>
      </c>
      <c r="L636" s="35" t="e">
        <f t="shared" si="162"/>
        <v>#REF!</v>
      </c>
      <c r="M636" s="35" t="e">
        <f t="shared" si="161"/>
        <v>#REF!</v>
      </c>
      <c r="N636" s="32"/>
    </row>
    <row r="637" spans="1:24" x14ac:dyDescent="0.25">
      <c r="A637" s="14"/>
      <c r="B637" s="27"/>
      <c r="C637" s="28" t="s">
        <v>14</v>
      </c>
      <c r="D637" s="28"/>
      <c r="E637" s="28"/>
      <c r="F637" s="28"/>
      <c r="G637" s="42" t="e">
        <f>+'Jul-24'!G637+'Aug-24'!G637+'Sep-24'!G637+'Oct-24'!G637+'Nov-24'!G637+'Dec-24'!G637+'Jan-25'!G637+'Feb-25'!G637+#REF!+#REF!+#REF!+'Dec-25'!G637</f>
        <v>#REF!</v>
      </c>
      <c r="H637" s="42" t="e">
        <f>+'Jul-24'!H637+'Aug-24'!H637+'Sep-24'!H637+'Oct-24'!H637+'Nov-24'!H637+'Dec-24'!H637+'Jan-25'!H637+'Feb-25'!H637+#REF!+#REF!+#REF!+'Dec-25'!H637</f>
        <v>#REF!</v>
      </c>
      <c r="I637" s="42" t="e">
        <f>+'Jul-24'!I637+'Aug-24'!I637+'Sep-24'!I637+'Oct-24'!I637+'Nov-24'!I637+'Dec-24'!I637+'Jan-25'!I637+'Feb-25'!I637+#REF!+#REF!+#REF!+'Dec-25'!I637</f>
        <v>#REF!</v>
      </c>
      <c r="J637" s="42" t="e">
        <f>+'Jul-24'!J637+'Aug-24'!J637+'Sep-24'!J637+'Oct-24'!J637+'Nov-24'!J637+'Dec-24'!J637+'Jan-25'!J637+'Feb-25'!J637+#REF!+#REF!+#REF!+'Dec-25'!J637</f>
        <v>#REF!</v>
      </c>
      <c r="K637" s="42" t="e">
        <f>+'Jul-24'!K637+'Aug-24'!K637+'Sep-24'!K637+'Oct-24'!K637+'Nov-24'!K637+'Dec-24'!K637+'Jan-25'!K637+'Feb-25'!K637+#REF!+#REF!+#REF!+'Dec-25'!K637</f>
        <v>#REF!</v>
      </c>
      <c r="L637" s="35" t="e">
        <f t="shared" si="162"/>
        <v>#REF!</v>
      </c>
      <c r="M637" s="35" t="e">
        <f t="shared" si="161"/>
        <v>#REF!</v>
      </c>
      <c r="N637" s="32"/>
    </row>
    <row r="638" spans="1:24" x14ac:dyDescent="0.25">
      <c r="A638" s="14"/>
      <c r="B638" s="27"/>
      <c r="C638" s="28" t="s">
        <v>4</v>
      </c>
      <c r="D638" s="28"/>
      <c r="E638" s="28"/>
      <c r="F638" s="28"/>
      <c r="G638" s="42" t="e">
        <f>+'Jul-24'!G638+'Aug-24'!G638+'Sep-24'!G638+'Oct-24'!G638+'Nov-24'!G638+'Dec-24'!G638+'Jan-25'!G638+'Feb-25'!G638+#REF!+#REF!+#REF!+'Dec-25'!G638</f>
        <v>#REF!</v>
      </c>
      <c r="H638" s="42" t="e">
        <f>+'Jul-24'!H638+'Aug-24'!H638+'Sep-24'!H638+'Oct-24'!H638+'Nov-24'!H638+'Dec-24'!H638+'Jan-25'!H638+'Feb-25'!H638+#REF!+#REF!+#REF!+'Dec-25'!H638</f>
        <v>#REF!</v>
      </c>
      <c r="I638" s="42" t="e">
        <f>+'Jul-24'!I638+'Aug-24'!I638+'Sep-24'!I638+'Oct-24'!I638+'Nov-24'!I638+'Dec-24'!I638+'Jan-25'!I638+'Feb-25'!I638+#REF!+#REF!+#REF!+'Dec-25'!I638</f>
        <v>#REF!</v>
      </c>
      <c r="J638" s="42" t="e">
        <f>+'Jul-24'!J638+'Aug-24'!J638+'Sep-24'!J638+'Oct-24'!J638+'Nov-24'!J638+'Dec-24'!J638+'Jan-25'!J638+'Feb-25'!J638+#REF!+#REF!+#REF!+'Dec-25'!J638</f>
        <v>#REF!</v>
      </c>
      <c r="K638" s="42" t="e">
        <f>+'Jul-24'!K638+'Aug-24'!K638+'Sep-24'!K638+'Oct-24'!K638+'Nov-24'!K638+'Dec-24'!K638+'Jan-25'!K638+'Feb-25'!K638+#REF!+#REF!+#REF!+'Dec-25'!K638</f>
        <v>#REF!</v>
      </c>
      <c r="L638" s="35" t="e">
        <f t="shared" si="162"/>
        <v>#REF!</v>
      </c>
      <c r="M638" s="35" t="e">
        <f t="shared" si="161"/>
        <v>#REF!</v>
      </c>
      <c r="N638" s="32"/>
    </row>
    <row r="639" spans="1:24" x14ac:dyDescent="0.25">
      <c r="A639" s="14"/>
      <c r="B639" s="27"/>
      <c r="C639" s="28" t="s">
        <v>15</v>
      </c>
      <c r="D639" s="28"/>
      <c r="E639" s="28"/>
      <c r="F639" s="28"/>
      <c r="G639" s="42" t="e">
        <f>+'Jul-24'!G639+'Aug-24'!G639+'Sep-24'!G639+'Oct-24'!G639+'Nov-24'!G639+'Dec-24'!G639+'Jan-25'!G639+'Feb-25'!G639+#REF!+#REF!+#REF!+'Dec-25'!G639</f>
        <v>#REF!</v>
      </c>
      <c r="H639" s="42" t="e">
        <f>+'Jul-24'!H639+'Aug-24'!H639+'Sep-24'!H639+'Oct-24'!H639+'Nov-24'!H639+'Dec-24'!H639+'Jan-25'!H639+'Feb-25'!H639+#REF!+#REF!+#REF!+'Dec-25'!H639</f>
        <v>#REF!</v>
      </c>
      <c r="I639" s="42" t="e">
        <f>+'Jul-24'!I639+'Aug-24'!I639+'Sep-24'!I639+'Oct-24'!I639+'Nov-24'!I639+'Dec-24'!I639+'Jan-25'!I639+'Feb-25'!I639+#REF!+#REF!+#REF!+'Dec-25'!I639</f>
        <v>#REF!</v>
      </c>
      <c r="J639" s="42" t="e">
        <f>+'Jul-24'!J639+'Aug-24'!J639+'Sep-24'!J639+'Oct-24'!J639+'Nov-24'!J639+'Dec-24'!J639+'Jan-25'!J639+'Feb-25'!J639+#REF!+#REF!+#REF!+'Dec-25'!J639</f>
        <v>#REF!</v>
      </c>
      <c r="K639" s="42" t="e">
        <f>+'Jul-24'!K639+'Aug-24'!K639+'Sep-24'!K639+'Oct-24'!K639+'Nov-24'!K639+'Dec-24'!K639+'Jan-25'!K639+'Feb-25'!K639+#REF!+#REF!+#REF!+'Dec-25'!K639</f>
        <v>#REF!</v>
      </c>
      <c r="L639" s="35" t="e">
        <f t="shared" si="162"/>
        <v>#REF!</v>
      </c>
      <c r="M639" s="35" t="e">
        <f t="shared" si="161"/>
        <v>#REF!</v>
      </c>
      <c r="N639" s="32"/>
    </row>
    <row r="640" spans="1:24" x14ac:dyDescent="0.25">
      <c r="A640" s="14"/>
      <c r="B640" s="27"/>
      <c r="C640" s="28" t="s">
        <v>16</v>
      </c>
      <c r="D640" s="28"/>
      <c r="E640" s="28"/>
      <c r="F640" s="28"/>
      <c r="G640" s="42" t="e">
        <f>+'Jul-24'!G640+'Aug-24'!G640+'Sep-24'!G640+'Oct-24'!G640+'Nov-24'!G640+'Dec-24'!G640+'Jan-25'!G640+'Feb-25'!G640+#REF!+#REF!+#REF!+'Dec-25'!G640</f>
        <v>#REF!</v>
      </c>
      <c r="H640" s="42" t="e">
        <f>+'Jul-24'!H640+'Aug-24'!H640+'Sep-24'!H640+'Oct-24'!H640+'Nov-24'!H640+'Dec-24'!H640+'Jan-25'!H640+'Feb-25'!H640+#REF!+#REF!+#REF!+'Dec-25'!H640</f>
        <v>#REF!</v>
      </c>
      <c r="I640" s="42" t="e">
        <f>+'Jul-24'!I640+'Aug-24'!I640+'Sep-24'!I640+'Oct-24'!I640+'Nov-24'!I640+'Dec-24'!I640+'Jan-25'!I640+'Feb-25'!I640+#REF!+#REF!+#REF!+'Dec-25'!I640</f>
        <v>#REF!</v>
      </c>
      <c r="J640" s="42" t="e">
        <f>+'Jul-24'!J640+'Aug-24'!J640+'Sep-24'!J640+'Oct-24'!J640+'Nov-24'!J640+'Dec-24'!J640+'Jan-25'!J640+'Feb-25'!J640+#REF!+#REF!+#REF!+'Dec-25'!J640</f>
        <v>#REF!</v>
      </c>
      <c r="K640" s="42" t="e">
        <f>+'Jul-24'!K640+'Aug-24'!K640+'Sep-24'!K640+'Oct-24'!K640+'Nov-24'!K640+'Dec-24'!K640+'Jan-25'!K640+'Feb-25'!K640+#REF!+#REF!+#REF!+'Dec-25'!K640</f>
        <v>#REF!</v>
      </c>
      <c r="L640" s="35" t="e">
        <f t="shared" si="162"/>
        <v>#REF!</v>
      </c>
      <c r="M640" s="35" t="e">
        <f t="shared" si="161"/>
        <v>#REF!</v>
      </c>
      <c r="N640" s="32"/>
    </row>
    <row r="641" spans="1:24" ht="15.75" thickBot="1" x14ac:dyDescent="0.3">
      <c r="A641" s="14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4">
        <f>+A627+1</f>
        <v>40</v>
      </c>
      <c r="B643" s="40"/>
      <c r="C643" s="6" t="s">
        <v>98</v>
      </c>
      <c r="D643" s="7"/>
      <c r="E643" s="8"/>
      <c r="F643" s="8"/>
      <c r="G643" s="10">
        <f>+$G$3</f>
        <v>2024</v>
      </c>
      <c r="H643" s="10">
        <f>+G643</f>
        <v>2024</v>
      </c>
      <c r="I643" s="10">
        <f t="shared" ref="I643:M644" si="163">+H643</f>
        <v>2024</v>
      </c>
      <c r="J643" s="10">
        <f t="shared" si="163"/>
        <v>2024</v>
      </c>
      <c r="K643" s="10">
        <f t="shared" si="163"/>
        <v>2024</v>
      </c>
      <c r="L643" s="10">
        <f t="shared" si="163"/>
        <v>2024</v>
      </c>
      <c r="M643" s="10">
        <f t="shared" si="163"/>
        <v>2024</v>
      </c>
      <c r="N643" s="11"/>
      <c r="S643" s="12" t="str">
        <f>+C643</f>
        <v>Phuzweni</v>
      </c>
      <c r="T643" s="13" t="e">
        <f>+L647</f>
        <v>#REF!</v>
      </c>
      <c r="U643" s="13" t="e">
        <f>+L648+L649</f>
        <v>#REF!</v>
      </c>
      <c r="V643" s="13" t="e">
        <f>+L650+L651</f>
        <v>#REF!</v>
      </c>
      <c r="W643" s="13" t="e">
        <f>+L654</f>
        <v>#REF!</v>
      </c>
      <c r="X643" s="13" t="e">
        <f>+L652</f>
        <v>#REF!</v>
      </c>
    </row>
    <row r="644" spans="1:24" x14ac:dyDescent="0.25">
      <c r="A644" s="14"/>
      <c r="B644" s="15"/>
      <c r="C644" s="41" t="str">
        <f>+$C628</f>
        <v>Year to Date 2024/2025</v>
      </c>
      <c r="D644" s="18"/>
      <c r="E644" s="18"/>
      <c r="F644" s="18"/>
      <c r="G644" s="20" t="str">
        <f>+$G$4</f>
        <v>Week</v>
      </c>
      <c r="H644" s="20" t="str">
        <f>+G644</f>
        <v>Week</v>
      </c>
      <c r="I644" s="20" t="str">
        <f t="shared" si="163"/>
        <v>Week</v>
      </c>
      <c r="J644" s="20" t="str">
        <f t="shared" si="163"/>
        <v>Week</v>
      </c>
      <c r="K644" s="20" t="str">
        <f t="shared" si="163"/>
        <v>Week</v>
      </c>
      <c r="L644" s="20" t="str">
        <f t="shared" si="163"/>
        <v>Week</v>
      </c>
      <c r="M644" s="20" t="str">
        <f t="shared" si="163"/>
        <v>Week</v>
      </c>
      <c r="N644" s="21"/>
    </row>
    <row r="645" spans="1:24" ht="15.75" thickBot="1" x14ac:dyDescent="0.3">
      <c r="A645" s="14"/>
      <c r="B645" s="22"/>
      <c r="C645" s="23"/>
      <c r="D645" s="23"/>
      <c r="E645" s="23"/>
      <c r="F645" s="23"/>
      <c r="G645" s="25">
        <f>+$G$5</f>
        <v>1</v>
      </c>
      <c r="H645" s="25">
        <f>+$H$5</f>
        <v>2</v>
      </c>
      <c r="I645" s="25">
        <f>+$I$5</f>
        <v>3</v>
      </c>
      <c r="J645" s="25">
        <f>+$J$5</f>
        <v>4</v>
      </c>
      <c r="K645" s="25">
        <f>+$K$5</f>
        <v>5</v>
      </c>
      <c r="L645" s="25" t="s">
        <v>6</v>
      </c>
      <c r="M645" s="25" t="s">
        <v>7</v>
      </c>
      <c r="N645" s="26"/>
    </row>
    <row r="646" spans="1:24" x14ac:dyDescent="0.25">
      <c r="A646" s="14"/>
      <c r="B646" s="27"/>
      <c r="C646" s="28"/>
      <c r="D646" s="28"/>
      <c r="E646" s="28"/>
      <c r="F646" s="28"/>
      <c r="G646" s="29"/>
      <c r="H646" s="29"/>
      <c r="I646" s="29"/>
      <c r="J646" s="29"/>
      <c r="K646" s="28"/>
      <c r="L646" s="28"/>
      <c r="M646" s="28"/>
      <c r="N646" s="30"/>
    </row>
    <row r="647" spans="1:24" x14ac:dyDescent="0.25">
      <c r="A647" s="14"/>
      <c r="B647" s="27"/>
      <c r="C647" s="28" t="s">
        <v>8</v>
      </c>
      <c r="D647" s="28"/>
      <c r="E647" s="28"/>
      <c r="F647" s="28"/>
      <c r="G647" s="31" t="e">
        <f>SUM(G648:G651)</f>
        <v>#REF!</v>
      </c>
      <c r="H647" s="31" t="e">
        <f t="shared" ref="H647:L647" si="164">SUM(H648:H651)</f>
        <v>#REF!</v>
      </c>
      <c r="I647" s="31" t="e">
        <f t="shared" si="164"/>
        <v>#REF!</v>
      </c>
      <c r="J647" s="31" t="e">
        <f t="shared" si="164"/>
        <v>#REF!</v>
      </c>
      <c r="K647" s="31" t="e">
        <f t="shared" si="164"/>
        <v>#REF!</v>
      </c>
      <c r="L647" s="31" t="e">
        <f t="shared" si="164"/>
        <v>#REF!</v>
      </c>
      <c r="M647" s="31" t="e">
        <f>ROUND((L647/$E$1),0)</f>
        <v>#REF!</v>
      </c>
      <c r="N647" s="32"/>
    </row>
    <row r="648" spans="1:24" x14ac:dyDescent="0.25">
      <c r="A648" s="14"/>
      <c r="B648" s="27"/>
      <c r="C648" s="28"/>
      <c r="D648" s="28" t="s">
        <v>9</v>
      </c>
      <c r="E648" s="28"/>
      <c r="F648" s="28"/>
      <c r="G648" s="42" t="e">
        <f>+'Jul-24'!G648+'Aug-24'!G648+'Sep-24'!G648+'Oct-24'!G648+'Nov-24'!G648+'Dec-24'!G648+'Jan-25'!G648+'Feb-25'!G648+#REF!+#REF!+#REF!+'Dec-25'!G648</f>
        <v>#REF!</v>
      </c>
      <c r="H648" s="42" t="e">
        <f>+'Jul-24'!H648+'Aug-24'!H648+'Sep-24'!H648+'Oct-24'!H648+'Nov-24'!H648+'Dec-24'!H648+'Jan-25'!H648+'Feb-25'!H648+#REF!+#REF!+#REF!+'Dec-25'!H648</f>
        <v>#REF!</v>
      </c>
      <c r="I648" s="42" t="e">
        <f>+'Jul-24'!I648+'Aug-24'!I648+'Sep-24'!I648+'Oct-24'!I648+'Nov-24'!I648+'Dec-24'!I648+'Jan-25'!I648+'Feb-25'!I648+#REF!+#REF!+#REF!+'Dec-25'!I648</f>
        <v>#REF!</v>
      </c>
      <c r="J648" s="42" t="e">
        <f>+'Jul-24'!J648+'Aug-24'!J648+'Sep-24'!J648+'Oct-24'!J648+'Nov-24'!J648+'Dec-24'!J648+'Jan-25'!J648+'Feb-25'!J648+#REF!+#REF!+#REF!+'Dec-25'!J648</f>
        <v>#REF!</v>
      </c>
      <c r="K648" s="42" t="e">
        <f>+'Jul-24'!K648+'Aug-24'!K648+'Sep-24'!K648+'Oct-24'!K648+'Nov-24'!K648+'Dec-24'!K648+'Jan-25'!K648+'Feb-25'!K648+#REF!+#REF!+#REF!+'Dec-25'!K648</f>
        <v>#REF!</v>
      </c>
      <c r="L648" s="35" t="e">
        <f>SUM(G648:K648)</f>
        <v>#REF!</v>
      </c>
      <c r="M648" s="35" t="e">
        <f t="shared" ref="M648:M656" si="165">ROUND((L648/$E$1),0)</f>
        <v>#REF!</v>
      </c>
      <c r="N648" s="32"/>
    </row>
    <row r="649" spans="1:24" x14ac:dyDescent="0.25">
      <c r="A649" s="14"/>
      <c r="B649" s="27"/>
      <c r="C649" s="28"/>
      <c r="D649" s="28" t="s">
        <v>10</v>
      </c>
      <c r="E649" s="28"/>
      <c r="F649" s="28"/>
      <c r="G649" s="42" t="e">
        <f>+'Jul-24'!G649+'Aug-24'!G649+'Sep-24'!G649+'Oct-24'!G649+'Nov-24'!G649+'Dec-24'!G649+'Jan-25'!G649+'Feb-25'!G649+#REF!+#REF!+#REF!+'Dec-25'!G649</f>
        <v>#REF!</v>
      </c>
      <c r="H649" s="42" t="e">
        <f>+'Jul-24'!H649+'Aug-24'!H649+'Sep-24'!H649+'Oct-24'!H649+'Nov-24'!H649+'Dec-24'!H649+'Jan-25'!H649+'Feb-25'!H649+#REF!+#REF!+#REF!+'Dec-25'!H649</f>
        <v>#REF!</v>
      </c>
      <c r="I649" s="42" t="e">
        <f>+'Jul-24'!I649+'Aug-24'!I649+'Sep-24'!I649+'Oct-24'!I649+'Nov-24'!I649+'Dec-24'!I649+'Jan-25'!I649+'Feb-25'!I649+#REF!+#REF!+#REF!+'Dec-25'!I649</f>
        <v>#REF!</v>
      </c>
      <c r="J649" s="42" t="e">
        <f>+'Jul-24'!J649+'Aug-24'!J649+'Sep-24'!J649+'Oct-24'!J649+'Nov-24'!J649+'Dec-24'!J649+'Jan-25'!J649+'Feb-25'!J649+#REF!+#REF!+#REF!+'Dec-25'!J649</f>
        <v>#REF!</v>
      </c>
      <c r="K649" s="42" t="e">
        <f>+'Jul-24'!K649+'Aug-24'!K649+'Sep-24'!K649+'Oct-24'!K649+'Nov-24'!K649+'Dec-24'!K649+'Jan-25'!K649+'Feb-25'!K649+#REF!+#REF!+#REF!+'Dec-25'!K649</f>
        <v>#REF!</v>
      </c>
      <c r="L649" s="35" t="e">
        <f t="shared" ref="L649:L656" si="166">SUM(G649:K649)</f>
        <v>#REF!</v>
      </c>
      <c r="M649" s="35" t="e">
        <f t="shared" si="165"/>
        <v>#REF!</v>
      </c>
      <c r="N649" s="32"/>
    </row>
    <row r="650" spans="1:24" x14ac:dyDescent="0.25">
      <c r="A650" s="14"/>
      <c r="B650" s="27"/>
      <c r="C650" s="28"/>
      <c r="D650" s="28" t="s">
        <v>11</v>
      </c>
      <c r="E650" s="28"/>
      <c r="F650" s="28"/>
      <c r="G650" s="42" t="e">
        <f>+'Jul-24'!G650+'Aug-24'!G650+'Sep-24'!G650+'Oct-24'!G650+'Nov-24'!G650+'Dec-24'!G650+'Jan-25'!G650+'Feb-25'!G650+#REF!+#REF!+#REF!+'Dec-25'!G650</f>
        <v>#REF!</v>
      </c>
      <c r="H650" s="42" t="e">
        <f>+'Jul-24'!H650+'Aug-24'!H650+'Sep-24'!H650+'Oct-24'!H650+'Nov-24'!H650+'Dec-24'!H650+'Jan-25'!H650+'Feb-25'!H650+#REF!+#REF!+#REF!+'Dec-25'!H650</f>
        <v>#REF!</v>
      </c>
      <c r="I650" s="42" t="e">
        <f>+'Jul-24'!I650+'Aug-24'!I650+'Sep-24'!I650+'Oct-24'!I650+'Nov-24'!I650+'Dec-24'!I650+'Jan-25'!I650+'Feb-25'!I650+#REF!+#REF!+#REF!+'Dec-25'!I650</f>
        <v>#REF!</v>
      </c>
      <c r="J650" s="42" t="e">
        <f>+'Jul-24'!J650+'Aug-24'!J650+'Sep-24'!J650+'Oct-24'!J650+'Nov-24'!J650+'Dec-24'!J650+'Jan-25'!J650+'Feb-25'!J650+#REF!+#REF!+#REF!+'Dec-25'!J650</f>
        <v>#REF!</v>
      </c>
      <c r="K650" s="42" t="e">
        <f>+'Jul-24'!K650+'Aug-24'!K650+'Sep-24'!K650+'Oct-24'!K650+'Nov-24'!K650+'Dec-24'!K650+'Jan-25'!K650+'Feb-25'!K650+#REF!+#REF!+#REF!+'Dec-25'!K650</f>
        <v>#REF!</v>
      </c>
      <c r="L650" s="35" t="e">
        <f t="shared" si="166"/>
        <v>#REF!</v>
      </c>
      <c r="M650" s="35" t="e">
        <f t="shared" si="165"/>
        <v>#REF!</v>
      </c>
      <c r="N650" s="32"/>
    </row>
    <row r="651" spans="1:24" x14ac:dyDescent="0.25">
      <c r="A651" s="14"/>
      <c r="B651" s="27"/>
      <c r="C651" s="28"/>
      <c r="D651" s="28" t="s">
        <v>12</v>
      </c>
      <c r="E651" s="28"/>
      <c r="F651" s="28"/>
      <c r="G651" s="43" t="e">
        <f>+'Jul-24'!G651+'Aug-24'!G651+'Sep-24'!G651+'Oct-24'!G651+'Nov-24'!G651+'Dec-24'!G651+'Jan-25'!G651+'Feb-25'!G651+#REF!+#REF!+#REF!+'Dec-25'!G651</f>
        <v>#REF!</v>
      </c>
      <c r="H651" s="43" t="e">
        <f>+'Jul-24'!H651+'Aug-24'!H651+'Sep-24'!H651+'Oct-24'!H651+'Nov-24'!H651+'Dec-24'!H651+'Jan-25'!H651+'Feb-25'!H651+#REF!+#REF!+#REF!+'Dec-25'!H651</f>
        <v>#REF!</v>
      </c>
      <c r="I651" s="43" t="e">
        <f>+'Jul-24'!I651+'Aug-24'!I651+'Sep-24'!I651+'Oct-24'!I651+'Nov-24'!I651+'Dec-24'!I651+'Jan-25'!I651+'Feb-25'!I651+#REF!+#REF!+#REF!+'Dec-25'!I651</f>
        <v>#REF!</v>
      </c>
      <c r="J651" s="43" t="e">
        <f>+'Jul-24'!J651+'Aug-24'!J651+'Sep-24'!J651+'Oct-24'!J651+'Nov-24'!J651+'Dec-24'!J651+'Jan-25'!J651+'Feb-25'!J651+#REF!+#REF!+#REF!+'Dec-25'!J651</f>
        <v>#REF!</v>
      </c>
      <c r="K651" s="43" t="e">
        <f>+'Jul-24'!K651+'Aug-24'!K651+'Sep-24'!K651+'Oct-24'!K651+'Nov-24'!K651+'Dec-24'!K651+'Jan-25'!K651+'Feb-25'!K651+#REF!+#REF!+#REF!+'Dec-25'!K651</f>
        <v>#REF!</v>
      </c>
      <c r="L651" s="31" t="e">
        <f t="shared" si="166"/>
        <v>#REF!</v>
      </c>
      <c r="M651" s="31" t="e">
        <f t="shared" si="165"/>
        <v>#REF!</v>
      </c>
      <c r="N651" s="32"/>
    </row>
    <row r="652" spans="1:24" x14ac:dyDescent="0.25">
      <c r="A652" s="14"/>
      <c r="B652" s="27"/>
      <c r="C652" s="28" t="s">
        <v>13</v>
      </c>
      <c r="D652" s="28"/>
      <c r="E652" s="28"/>
      <c r="F652" s="28"/>
      <c r="G652" s="42" t="e">
        <f>+'Jul-24'!G652+'Aug-24'!G652+'Sep-24'!G652+'Oct-24'!G652+'Nov-24'!G652+'Dec-24'!G652+'Jan-25'!G652+'Feb-25'!G652+#REF!+#REF!+#REF!+'Dec-25'!G652</f>
        <v>#REF!</v>
      </c>
      <c r="H652" s="42" t="e">
        <f>+'Jul-24'!H652+'Aug-24'!H652+'Sep-24'!H652+'Oct-24'!H652+'Nov-24'!H652+'Dec-24'!H652+'Jan-25'!H652+'Feb-25'!H652+#REF!+#REF!+#REF!+'Dec-25'!H652</f>
        <v>#REF!</v>
      </c>
      <c r="I652" s="42" t="e">
        <f>+'Jul-24'!I652+'Aug-24'!I652+'Sep-24'!I652+'Oct-24'!I652+'Nov-24'!I652+'Dec-24'!I652+'Jan-25'!I652+'Feb-25'!I652+#REF!+#REF!+#REF!+'Dec-25'!I652</f>
        <v>#REF!</v>
      </c>
      <c r="J652" s="42" t="e">
        <f>+'Jul-24'!J652+'Aug-24'!J652+'Sep-24'!J652+'Oct-24'!J652+'Nov-24'!J652+'Dec-24'!J652+'Jan-25'!J652+'Feb-25'!J652+#REF!+#REF!+#REF!+'Dec-25'!J652</f>
        <v>#REF!</v>
      </c>
      <c r="K652" s="42" t="e">
        <f>+'Jul-24'!K652+'Aug-24'!K652+'Sep-24'!K652+'Oct-24'!K652+'Nov-24'!K652+'Dec-24'!K652+'Jan-25'!K652+'Feb-25'!K652+#REF!+#REF!+#REF!+'Dec-25'!K652</f>
        <v>#REF!</v>
      </c>
      <c r="L652" s="35" t="e">
        <f t="shared" si="166"/>
        <v>#REF!</v>
      </c>
      <c r="M652" s="35" t="e">
        <f t="shared" si="165"/>
        <v>#REF!</v>
      </c>
      <c r="N652" s="32"/>
    </row>
    <row r="653" spans="1:24" x14ac:dyDescent="0.25">
      <c r="A653" s="14"/>
      <c r="B653" s="27"/>
      <c r="C653" s="28" t="s">
        <v>14</v>
      </c>
      <c r="D653" s="28"/>
      <c r="E653" s="28"/>
      <c r="F653" s="28"/>
      <c r="G653" s="42" t="e">
        <f>+'Jul-24'!G653+'Aug-24'!G653+'Sep-24'!G653+'Oct-24'!G653+'Nov-24'!G653+'Dec-24'!G653+'Jan-25'!G653+'Feb-25'!G653+#REF!+#REF!+#REF!+'Dec-25'!G653</f>
        <v>#REF!</v>
      </c>
      <c r="H653" s="42" t="e">
        <f>+'Jul-24'!H653+'Aug-24'!H653+'Sep-24'!H653+'Oct-24'!H653+'Nov-24'!H653+'Dec-24'!H653+'Jan-25'!H653+'Feb-25'!H653+#REF!+#REF!+#REF!+'Dec-25'!H653</f>
        <v>#REF!</v>
      </c>
      <c r="I653" s="42" t="e">
        <f>+'Jul-24'!I653+'Aug-24'!I653+'Sep-24'!I653+'Oct-24'!I653+'Nov-24'!I653+'Dec-24'!I653+'Jan-25'!I653+'Feb-25'!I653+#REF!+#REF!+#REF!+'Dec-25'!I653</f>
        <v>#REF!</v>
      </c>
      <c r="J653" s="42" t="e">
        <f>+'Jul-24'!J653+'Aug-24'!J653+'Sep-24'!J653+'Oct-24'!J653+'Nov-24'!J653+'Dec-24'!J653+'Jan-25'!J653+'Feb-25'!J653+#REF!+#REF!+#REF!+'Dec-25'!J653</f>
        <v>#REF!</v>
      </c>
      <c r="K653" s="42" t="e">
        <f>+'Jul-24'!K653+'Aug-24'!K653+'Sep-24'!K653+'Oct-24'!K653+'Nov-24'!K653+'Dec-24'!K653+'Jan-25'!K653+'Feb-25'!K653+#REF!+#REF!+#REF!+'Dec-25'!K653</f>
        <v>#REF!</v>
      </c>
      <c r="L653" s="35" t="e">
        <f t="shared" si="166"/>
        <v>#REF!</v>
      </c>
      <c r="M653" s="35" t="e">
        <f t="shared" si="165"/>
        <v>#REF!</v>
      </c>
      <c r="N653" s="32"/>
    </row>
    <row r="654" spans="1:24" x14ac:dyDescent="0.25">
      <c r="A654" s="14"/>
      <c r="B654" s="27"/>
      <c r="C654" s="28" t="s">
        <v>4</v>
      </c>
      <c r="D654" s="28"/>
      <c r="E654" s="28"/>
      <c r="F654" s="28"/>
      <c r="G654" s="42" t="e">
        <f>+'Jul-24'!G654+'Aug-24'!G654+'Sep-24'!G654+'Oct-24'!G654+'Nov-24'!G654+'Dec-24'!G654+'Jan-25'!G654+'Feb-25'!G654+#REF!+#REF!+#REF!+'Dec-25'!G654</f>
        <v>#REF!</v>
      </c>
      <c r="H654" s="42" t="e">
        <f>+'Jul-24'!H654+'Aug-24'!H654+'Sep-24'!H654+'Oct-24'!H654+'Nov-24'!H654+'Dec-24'!H654+'Jan-25'!H654+'Feb-25'!H654+#REF!+#REF!+#REF!+'Dec-25'!H654</f>
        <v>#REF!</v>
      </c>
      <c r="I654" s="42" t="e">
        <f>+'Jul-24'!I654+'Aug-24'!I654+'Sep-24'!I654+'Oct-24'!I654+'Nov-24'!I654+'Dec-24'!I654+'Jan-25'!I654+'Feb-25'!I654+#REF!+#REF!+#REF!+'Dec-25'!I654</f>
        <v>#REF!</v>
      </c>
      <c r="J654" s="42" t="e">
        <f>+'Jul-24'!J654+'Aug-24'!J654+'Sep-24'!J654+'Oct-24'!J654+'Nov-24'!J654+'Dec-24'!J654+'Jan-25'!J654+'Feb-25'!J654+#REF!+#REF!+#REF!+'Dec-25'!J654</f>
        <v>#REF!</v>
      </c>
      <c r="K654" s="42" t="e">
        <f>+'Jul-24'!K654+'Aug-24'!K654+'Sep-24'!K654+'Oct-24'!K654+'Nov-24'!K654+'Dec-24'!K654+'Jan-25'!K654+'Feb-25'!K654+#REF!+#REF!+#REF!+'Dec-25'!K654</f>
        <v>#REF!</v>
      </c>
      <c r="L654" s="35" t="e">
        <f t="shared" si="166"/>
        <v>#REF!</v>
      </c>
      <c r="M654" s="35" t="e">
        <f t="shared" si="165"/>
        <v>#REF!</v>
      </c>
      <c r="N654" s="32"/>
    </row>
    <row r="655" spans="1:24" x14ac:dyDescent="0.25">
      <c r="A655" s="14"/>
      <c r="B655" s="27"/>
      <c r="C655" s="28" t="s">
        <v>15</v>
      </c>
      <c r="D655" s="28"/>
      <c r="E655" s="28"/>
      <c r="F655" s="28"/>
      <c r="G655" s="42" t="e">
        <f>+'Jul-24'!G655+'Aug-24'!G655+'Sep-24'!G655+'Oct-24'!G655+'Nov-24'!G655+'Dec-24'!G655+'Jan-25'!G655+'Feb-25'!G655+#REF!+#REF!+#REF!+'Dec-25'!G655</f>
        <v>#REF!</v>
      </c>
      <c r="H655" s="42" t="e">
        <f>+'Jul-24'!H655+'Aug-24'!H655+'Sep-24'!H655+'Oct-24'!H655+'Nov-24'!H655+'Dec-24'!H655+'Jan-25'!H655+'Feb-25'!H655+#REF!+#REF!+#REF!+'Dec-25'!H655</f>
        <v>#REF!</v>
      </c>
      <c r="I655" s="42" t="e">
        <f>+'Jul-24'!I655+'Aug-24'!I655+'Sep-24'!I655+'Oct-24'!I655+'Nov-24'!I655+'Dec-24'!I655+'Jan-25'!I655+'Feb-25'!I655+#REF!+#REF!+#REF!+'Dec-25'!I655</f>
        <v>#REF!</v>
      </c>
      <c r="J655" s="42" t="e">
        <f>+'Jul-24'!J655+'Aug-24'!J655+'Sep-24'!J655+'Oct-24'!J655+'Nov-24'!J655+'Dec-24'!J655+'Jan-25'!J655+'Feb-25'!J655+#REF!+#REF!+#REF!+'Dec-25'!J655</f>
        <v>#REF!</v>
      </c>
      <c r="K655" s="42" t="e">
        <f>+'Jul-24'!K655+'Aug-24'!K655+'Sep-24'!K655+'Oct-24'!K655+'Nov-24'!K655+'Dec-24'!K655+'Jan-25'!K655+'Feb-25'!K655+#REF!+#REF!+#REF!+'Dec-25'!K655</f>
        <v>#REF!</v>
      </c>
      <c r="L655" s="35" t="e">
        <f t="shared" si="166"/>
        <v>#REF!</v>
      </c>
      <c r="M655" s="35" t="e">
        <f t="shared" si="165"/>
        <v>#REF!</v>
      </c>
      <c r="N655" s="32"/>
    </row>
    <row r="656" spans="1:24" x14ac:dyDescent="0.25">
      <c r="A656" s="14"/>
      <c r="B656" s="27"/>
      <c r="C656" s="28" t="s">
        <v>16</v>
      </c>
      <c r="D656" s="28"/>
      <c r="E656" s="28"/>
      <c r="F656" s="28"/>
      <c r="G656" s="42" t="e">
        <f>+'Jul-24'!G656+'Aug-24'!G656+'Sep-24'!G656+'Oct-24'!G656+'Nov-24'!G656+'Dec-24'!G656+'Jan-25'!G656+'Feb-25'!G656+#REF!+#REF!+#REF!+'Dec-25'!G656</f>
        <v>#REF!</v>
      </c>
      <c r="H656" s="42" t="e">
        <f>+'Jul-24'!H656+'Aug-24'!H656+'Sep-24'!H656+'Oct-24'!H656+'Nov-24'!H656+'Dec-24'!H656+'Jan-25'!H656+'Feb-25'!H656+#REF!+#REF!+#REF!+'Dec-25'!H656</f>
        <v>#REF!</v>
      </c>
      <c r="I656" s="42" t="e">
        <f>+'Jul-24'!I656+'Aug-24'!I656+'Sep-24'!I656+'Oct-24'!I656+'Nov-24'!I656+'Dec-24'!I656+'Jan-25'!I656+'Feb-25'!I656+#REF!+#REF!+#REF!+'Dec-25'!I656</f>
        <v>#REF!</v>
      </c>
      <c r="J656" s="42" t="e">
        <f>+'Jul-24'!J656+'Aug-24'!J656+'Sep-24'!J656+'Oct-24'!J656+'Nov-24'!J656+'Dec-24'!J656+'Jan-25'!J656+'Feb-25'!J656+#REF!+#REF!+#REF!+'Dec-25'!J656</f>
        <v>#REF!</v>
      </c>
      <c r="K656" s="42" t="e">
        <f>+'Jul-24'!K656+'Aug-24'!K656+'Sep-24'!K656+'Oct-24'!K656+'Nov-24'!K656+'Dec-24'!K656+'Jan-25'!K656+'Feb-25'!K656+#REF!+#REF!+#REF!+'Dec-25'!K656</f>
        <v>#REF!</v>
      </c>
      <c r="L656" s="35" t="e">
        <f t="shared" si="166"/>
        <v>#REF!</v>
      </c>
      <c r="M656" s="35" t="e">
        <f t="shared" si="165"/>
        <v>#REF!</v>
      </c>
      <c r="N656" s="32"/>
    </row>
    <row r="657" spans="1:24" ht="15.75" thickBot="1" x14ac:dyDescent="0.3">
      <c r="A657" s="14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  <row r="658" spans="1:24" ht="15.75" thickBot="1" x14ac:dyDescent="0.3">
      <c r="P658" s="50"/>
    </row>
    <row r="659" spans="1:24" x14ac:dyDescent="0.25">
      <c r="A659" s="4">
        <f>+A643+1</f>
        <v>41</v>
      </c>
      <c r="B659" s="40"/>
      <c r="C659" s="6" t="s">
        <v>54</v>
      </c>
      <c r="D659" s="7"/>
      <c r="E659" s="8"/>
      <c r="F659" s="8"/>
      <c r="G659" s="10">
        <f>+$G$3</f>
        <v>2024</v>
      </c>
      <c r="H659" s="10">
        <f>+G659</f>
        <v>2024</v>
      </c>
      <c r="I659" s="10">
        <f t="shared" ref="I659:M660" si="167">+H659</f>
        <v>2024</v>
      </c>
      <c r="J659" s="10">
        <f t="shared" si="167"/>
        <v>2024</v>
      </c>
      <c r="K659" s="10">
        <f t="shared" si="167"/>
        <v>2024</v>
      </c>
      <c r="L659" s="10">
        <f t="shared" si="167"/>
        <v>2024</v>
      </c>
      <c r="M659" s="10">
        <f t="shared" si="167"/>
        <v>2024</v>
      </c>
      <c r="N659" s="11"/>
      <c r="P659" s="50"/>
      <c r="S659" s="12" t="str">
        <f>+C659</f>
        <v>ICBC Details</v>
      </c>
      <c r="T659" s="13" t="e">
        <f>+L663</f>
        <v>#REF!</v>
      </c>
      <c r="U659" s="13" t="e">
        <f>+L664+L665</f>
        <v>#REF!</v>
      </c>
      <c r="V659" s="13" t="e">
        <f>+L666+L667</f>
        <v>#REF!</v>
      </c>
      <c r="W659" s="13" t="e">
        <f>+L670</f>
        <v>#REF!</v>
      </c>
      <c r="X659" s="13" t="e">
        <f>+L668</f>
        <v>#REF!</v>
      </c>
    </row>
    <row r="660" spans="1:24" x14ac:dyDescent="0.25">
      <c r="A660" s="14"/>
      <c r="B660" s="15"/>
      <c r="C660" s="41" t="str">
        <f>+$C644</f>
        <v>Year to Date 2024/2025</v>
      </c>
      <c r="D660" s="18"/>
      <c r="E660" s="18"/>
      <c r="F660" s="18"/>
      <c r="G660" s="20" t="str">
        <f>+$G$4</f>
        <v>Week</v>
      </c>
      <c r="H660" s="20" t="str">
        <f>+G660</f>
        <v>Week</v>
      </c>
      <c r="I660" s="20" t="str">
        <f t="shared" si="167"/>
        <v>Week</v>
      </c>
      <c r="J660" s="20" t="str">
        <f t="shared" si="167"/>
        <v>Week</v>
      </c>
      <c r="K660" s="20" t="str">
        <f t="shared" si="167"/>
        <v>Week</v>
      </c>
      <c r="L660" s="20" t="str">
        <f t="shared" si="167"/>
        <v>Week</v>
      </c>
      <c r="M660" s="20" t="str">
        <f t="shared" si="167"/>
        <v>Week</v>
      </c>
      <c r="N660" s="21"/>
      <c r="P660" s="50"/>
    </row>
    <row r="661" spans="1:24" ht="15.75" thickBot="1" x14ac:dyDescent="0.3">
      <c r="A661" s="14"/>
      <c r="B661" s="22"/>
      <c r="C661" s="23"/>
      <c r="D661" s="23"/>
      <c r="E661" s="23"/>
      <c r="F661" s="23"/>
      <c r="G661" s="25">
        <f>+$G$5</f>
        <v>1</v>
      </c>
      <c r="H661" s="25">
        <f>+$H$5</f>
        <v>2</v>
      </c>
      <c r="I661" s="25">
        <f>+$I$5</f>
        <v>3</v>
      </c>
      <c r="J661" s="25">
        <f>+$J$5</f>
        <v>4</v>
      </c>
      <c r="K661" s="25">
        <f>+$K$5</f>
        <v>5</v>
      </c>
      <c r="L661" s="25" t="s">
        <v>6</v>
      </c>
      <c r="M661" s="25" t="s">
        <v>7</v>
      </c>
      <c r="N661" s="26"/>
      <c r="P661" s="50"/>
    </row>
    <row r="662" spans="1:24" x14ac:dyDescent="0.25">
      <c r="A662" s="14"/>
      <c r="B662" s="27"/>
      <c r="C662" s="28"/>
      <c r="D662" s="28"/>
      <c r="E662" s="28"/>
      <c r="F662" s="28"/>
      <c r="G662" s="29"/>
      <c r="H662" s="29"/>
      <c r="I662" s="29"/>
      <c r="J662" s="29"/>
      <c r="K662" s="28"/>
      <c r="L662" s="28"/>
      <c r="M662" s="28"/>
      <c r="N662" s="30"/>
      <c r="P662" s="50"/>
    </row>
    <row r="663" spans="1:24" x14ac:dyDescent="0.25">
      <c r="A663" s="14"/>
      <c r="B663" s="27"/>
      <c r="C663" s="28" t="s">
        <v>8</v>
      </c>
      <c r="D663" s="28"/>
      <c r="E663" s="28"/>
      <c r="F663" s="28"/>
      <c r="G663" s="31" t="e">
        <f>SUM(G664:G667)</f>
        <v>#REF!</v>
      </c>
      <c r="H663" s="31" t="e">
        <f t="shared" ref="H663:L663" si="168">SUM(H664:H667)</f>
        <v>#REF!</v>
      </c>
      <c r="I663" s="31" t="e">
        <f t="shared" si="168"/>
        <v>#REF!</v>
      </c>
      <c r="J663" s="31" t="e">
        <f t="shared" si="168"/>
        <v>#REF!</v>
      </c>
      <c r="K663" s="31" t="e">
        <f t="shared" si="168"/>
        <v>#REF!</v>
      </c>
      <c r="L663" s="31" t="e">
        <f t="shared" si="168"/>
        <v>#REF!</v>
      </c>
      <c r="M663" s="31" t="e">
        <f>ROUND((L663/$E$1),0)</f>
        <v>#REF!</v>
      </c>
      <c r="N663" s="32"/>
      <c r="P663" s="50"/>
      <c r="Q663" s="49"/>
    </row>
    <row r="664" spans="1:24" x14ac:dyDescent="0.25">
      <c r="A664" s="14"/>
      <c r="B664" s="27"/>
      <c r="C664" s="28"/>
      <c r="D664" s="28" t="s">
        <v>9</v>
      </c>
      <c r="E664" s="28"/>
      <c r="F664" s="28"/>
      <c r="G664" s="42" t="e">
        <f>+'Jul-24'!G664+'Aug-24'!G664+'Sep-24'!G664+'Oct-24'!G664+'Nov-24'!G664+'Dec-24'!G664+'Jan-25'!G664+'Feb-25'!G664+#REF!+#REF!+#REF!+'Dec-25'!G664</f>
        <v>#REF!</v>
      </c>
      <c r="H664" s="42" t="e">
        <f>+'Jul-24'!H664+'Aug-24'!H664+'Sep-24'!H664+'Oct-24'!H664+'Nov-24'!H664+'Dec-24'!H664+'Jan-25'!H664+'Feb-25'!H664+#REF!+#REF!+#REF!+'Dec-25'!H664</f>
        <v>#REF!</v>
      </c>
      <c r="I664" s="42" t="e">
        <f>+'Jul-24'!I664+'Aug-24'!I664+'Sep-24'!I664+'Oct-24'!I664+'Nov-24'!I664+'Dec-24'!I664+'Jan-25'!I664+'Feb-25'!I664+#REF!+#REF!+#REF!+'Dec-25'!I664</f>
        <v>#REF!</v>
      </c>
      <c r="J664" s="42" t="e">
        <f>+'Jul-24'!J664+'Aug-24'!J664+'Sep-24'!J664+'Oct-24'!J664+'Nov-24'!J664+'Dec-24'!J664+'Jan-25'!J664+'Feb-25'!J664+#REF!+#REF!+#REF!+'Dec-25'!J664</f>
        <v>#REF!</v>
      </c>
      <c r="K664" s="42" t="e">
        <f>+'Jul-24'!K664+'Aug-24'!K664+'Sep-24'!K664+'Oct-24'!K664+'Nov-24'!K664+'Dec-24'!K664+'Jan-25'!K664+'Feb-25'!K664+#REF!+#REF!+#REF!+'Dec-25'!K664</f>
        <v>#REF!</v>
      </c>
      <c r="L664" s="35" t="e">
        <f>SUM(G664:K664)</f>
        <v>#REF!</v>
      </c>
      <c r="M664" s="35" t="e">
        <f t="shared" ref="M664:M672" si="169">ROUND((L664/$E$1),0)</f>
        <v>#REF!</v>
      </c>
      <c r="N664" s="32"/>
      <c r="P664" s="50"/>
    </row>
    <row r="665" spans="1:24" x14ac:dyDescent="0.25">
      <c r="A665" s="14"/>
      <c r="B665" s="27"/>
      <c r="C665" s="28"/>
      <c r="D665" s="28" t="s">
        <v>10</v>
      </c>
      <c r="E665" s="28"/>
      <c r="F665" s="28"/>
      <c r="G665" s="42" t="e">
        <f>+'Jul-24'!G665+'Aug-24'!G665+'Sep-24'!G665+'Oct-24'!G665+'Nov-24'!G665+'Dec-24'!G665+'Jan-25'!G665+'Feb-25'!G665+#REF!+#REF!+#REF!+'Dec-25'!G665</f>
        <v>#REF!</v>
      </c>
      <c r="H665" s="42" t="e">
        <f>+'Jul-24'!H665+'Aug-24'!H665+'Sep-24'!H665+'Oct-24'!H665+'Nov-24'!H665+'Dec-24'!H665+'Jan-25'!H665+'Feb-25'!H665+#REF!+#REF!+#REF!+'Dec-25'!H665</f>
        <v>#REF!</v>
      </c>
      <c r="I665" s="42" t="e">
        <f>+'Jul-24'!I665+'Aug-24'!I665+'Sep-24'!I665+'Oct-24'!I665+'Nov-24'!I665+'Dec-24'!I665+'Jan-25'!I665+'Feb-25'!I665+#REF!+#REF!+#REF!+'Dec-25'!I665</f>
        <v>#REF!</v>
      </c>
      <c r="J665" s="42" t="e">
        <f>+'Jul-24'!J665+'Aug-24'!J665+'Sep-24'!J665+'Oct-24'!J665+'Nov-24'!J665+'Dec-24'!J665+'Jan-25'!J665+'Feb-25'!J665+#REF!+#REF!+#REF!+'Dec-25'!J665</f>
        <v>#REF!</v>
      </c>
      <c r="K665" s="42" t="e">
        <f>+'Jul-24'!K665+'Aug-24'!K665+'Sep-24'!K665+'Oct-24'!K665+'Nov-24'!K665+'Dec-24'!K665+'Jan-25'!K665+'Feb-25'!K665+#REF!+#REF!+#REF!+'Dec-25'!K665</f>
        <v>#REF!</v>
      </c>
      <c r="L665" s="35" t="e">
        <f t="shared" ref="L665:L672" si="170">SUM(G665:K665)</f>
        <v>#REF!</v>
      </c>
      <c r="M665" s="35" t="e">
        <f t="shared" si="169"/>
        <v>#REF!</v>
      </c>
      <c r="N665" s="32"/>
      <c r="P665" s="50"/>
    </row>
    <row r="666" spans="1:24" x14ac:dyDescent="0.25">
      <c r="A666" s="14"/>
      <c r="B666" s="27"/>
      <c r="C666" s="28"/>
      <c r="D666" s="28" t="s">
        <v>11</v>
      </c>
      <c r="E666" s="28"/>
      <c r="F666" s="28"/>
      <c r="G666" s="42" t="e">
        <f>+'Jul-24'!G666+'Aug-24'!G666+'Sep-24'!G666+'Oct-24'!G666+'Nov-24'!G666+'Dec-24'!G666+'Jan-25'!G666+'Feb-25'!G666+#REF!+#REF!+#REF!+'Dec-25'!G666</f>
        <v>#REF!</v>
      </c>
      <c r="H666" s="42" t="e">
        <f>+'Jul-24'!H666+'Aug-24'!H666+'Sep-24'!H666+'Oct-24'!H666+'Nov-24'!H666+'Dec-24'!H666+'Jan-25'!H666+'Feb-25'!H666+#REF!+#REF!+#REF!+'Dec-25'!H666</f>
        <v>#REF!</v>
      </c>
      <c r="I666" s="42" t="e">
        <f>+'Jul-24'!I666+'Aug-24'!I666+'Sep-24'!I666+'Oct-24'!I666+'Nov-24'!I666+'Dec-24'!I666+'Jan-25'!I666+'Feb-25'!I666+#REF!+#REF!+#REF!+'Dec-25'!I666</f>
        <v>#REF!</v>
      </c>
      <c r="J666" s="42" t="e">
        <f>+'Jul-24'!J666+'Aug-24'!J666+'Sep-24'!J666+'Oct-24'!J666+'Nov-24'!J666+'Dec-24'!J666+'Jan-25'!J666+'Feb-25'!J666+#REF!+#REF!+#REF!+'Dec-25'!J666</f>
        <v>#REF!</v>
      </c>
      <c r="K666" s="42" t="e">
        <f>+'Jul-24'!K666+'Aug-24'!K666+'Sep-24'!K666+'Oct-24'!K666+'Nov-24'!K666+'Dec-24'!K666+'Jan-25'!K666+'Feb-25'!K666+#REF!+#REF!+#REF!+'Dec-25'!K666</f>
        <v>#REF!</v>
      </c>
      <c r="L666" s="35" t="e">
        <f t="shared" si="170"/>
        <v>#REF!</v>
      </c>
      <c r="M666" s="35" t="e">
        <f t="shared" si="169"/>
        <v>#REF!</v>
      </c>
      <c r="N666" s="32"/>
      <c r="P666" s="50"/>
    </row>
    <row r="667" spans="1:24" x14ac:dyDescent="0.25">
      <c r="A667" s="14"/>
      <c r="B667" s="27"/>
      <c r="C667" s="28"/>
      <c r="D667" s="28" t="s">
        <v>12</v>
      </c>
      <c r="E667" s="28"/>
      <c r="F667" s="28"/>
      <c r="G667" s="43" t="e">
        <f>+'Jul-24'!G667+'Aug-24'!G667+'Sep-24'!G667+'Oct-24'!G667+'Nov-24'!G667+'Dec-24'!G667+'Jan-25'!G667+'Feb-25'!G667+#REF!+#REF!+#REF!+'Dec-25'!G667</f>
        <v>#REF!</v>
      </c>
      <c r="H667" s="43" t="e">
        <f>+'Jul-24'!H667+'Aug-24'!H667+'Sep-24'!H667+'Oct-24'!H667+'Nov-24'!H667+'Dec-24'!H667+'Jan-25'!H667+'Feb-25'!H667+#REF!+#REF!+#REF!+'Dec-25'!H667</f>
        <v>#REF!</v>
      </c>
      <c r="I667" s="43" t="e">
        <f>+'Jul-24'!I667+'Aug-24'!I667+'Sep-24'!I667+'Oct-24'!I667+'Nov-24'!I667+'Dec-24'!I667+'Jan-25'!I667+'Feb-25'!I667+#REF!+#REF!+#REF!+'Dec-25'!I667</f>
        <v>#REF!</v>
      </c>
      <c r="J667" s="43" t="e">
        <f>+'Jul-24'!J667+'Aug-24'!J667+'Sep-24'!J667+'Oct-24'!J667+'Nov-24'!J667+'Dec-24'!J667+'Jan-25'!J667+'Feb-25'!J667+#REF!+#REF!+#REF!+'Dec-25'!J667</f>
        <v>#REF!</v>
      </c>
      <c r="K667" s="43" t="e">
        <f>+'Jul-24'!K667+'Aug-24'!K667+'Sep-24'!K667+'Oct-24'!K667+'Nov-24'!K667+'Dec-24'!K667+'Jan-25'!K667+'Feb-25'!K667+#REF!+#REF!+#REF!+'Dec-25'!K667</f>
        <v>#REF!</v>
      </c>
      <c r="L667" s="31" t="e">
        <f t="shared" si="170"/>
        <v>#REF!</v>
      </c>
      <c r="M667" s="31" t="e">
        <f t="shared" si="169"/>
        <v>#REF!</v>
      </c>
      <c r="N667" s="32"/>
      <c r="P667" s="50"/>
    </row>
    <row r="668" spans="1:24" x14ac:dyDescent="0.25">
      <c r="A668" s="14"/>
      <c r="B668" s="27"/>
      <c r="C668" s="28" t="s">
        <v>13</v>
      </c>
      <c r="D668" s="28"/>
      <c r="E668" s="28"/>
      <c r="F668" s="28"/>
      <c r="G668" s="42" t="e">
        <f>+'Jul-24'!G668+'Aug-24'!G668+'Sep-24'!G668+'Oct-24'!G668+'Nov-24'!G668+'Dec-24'!G668+'Jan-25'!G668+'Feb-25'!G668+#REF!+#REF!+#REF!+'Dec-25'!G668</f>
        <v>#REF!</v>
      </c>
      <c r="H668" s="42" t="e">
        <f>+'Jul-24'!H668+'Aug-24'!H668+'Sep-24'!H668+'Oct-24'!H668+'Nov-24'!H668+'Dec-24'!H668+'Jan-25'!H668+'Feb-25'!H668+#REF!+#REF!+#REF!+'Dec-25'!H668</f>
        <v>#REF!</v>
      </c>
      <c r="I668" s="42" t="e">
        <f>+'Jul-24'!I668+'Aug-24'!I668+'Sep-24'!I668+'Oct-24'!I668+'Nov-24'!I668+'Dec-24'!I668+'Jan-25'!I668+'Feb-25'!I668+#REF!+#REF!+#REF!+'Dec-25'!I668</f>
        <v>#REF!</v>
      </c>
      <c r="J668" s="42" t="e">
        <f>+'Jul-24'!J668+'Aug-24'!J668+'Sep-24'!J668+'Oct-24'!J668+'Nov-24'!J668+'Dec-24'!J668+'Jan-25'!J668+'Feb-25'!J668+#REF!+#REF!+#REF!+'Dec-25'!J668</f>
        <v>#REF!</v>
      </c>
      <c r="K668" s="42" t="e">
        <f>+'Jul-24'!K668+'Aug-24'!K668+'Sep-24'!K668+'Oct-24'!K668+'Nov-24'!K668+'Dec-24'!K668+'Jan-25'!K668+'Feb-25'!K668+#REF!+#REF!+#REF!+'Dec-25'!K668</f>
        <v>#REF!</v>
      </c>
      <c r="L668" s="35" t="e">
        <f t="shared" si="170"/>
        <v>#REF!</v>
      </c>
      <c r="M668" s="35" t="e">
        <f t="shared" si="169"/>
        <v>#REF!</v>
      </c>
      <c r="N668" s="32"/>
      <c r="P668" s="50"/>
    </row>
    <row r="669" spans="1:24" x14ac:dyDescent="0.25">
      <c r="A669" s="14"/>
      <c r="B669" s="27"/>
      <c r="C669" s="28" t="s">
        <v>14</v>
      </c>
      <c r="D669" s="28"/>
      <c r="E669" s="28"/>
      <c r="F669" s="28"/>
      <c r="G669" s="42" t="e">
        <f>+'Jul-24'!G669+'Aug-24'!G669+'Sep-24'!G669+'Oct-24'!G669+'Nov-24'!G669+'Dec-24'!G669+'Jan-25'!G669+'Feb-25'!G669+#REF!+#REF!+#REF!+'Dec-25'!G669</f>
        <v>#REF!</v>
      </c>
      <c r="H669" s="42" t="e">
        <f>+'Jul-24'!H669+'Aug-24'!H669+'Sep-24'!H669+'Oct-24'!H669+'Nov-24'!H669+'Dec-24'!H669+'Jan-25'!H669+'Feb-25'!H669+#REF!+#REF!+#REF!+'Dec-25'!H669</f>
        <v>#REF!</v>
      </c>
      <c r="I669" s="42" t="e">
        <f>+'Jul-24'!I669+'Aug-24'!I669+'Sep-24'!I669+'Oct-24'!I669+'Nov-24'!I669+'Dec-24'!I669+'Jan-25'!I669+'Feb-25'!I669+#REF!+#REF!+#REF!+'Dec-25'!I669</f>
        <v>#REF!</v>
      </c>
      <c r="J669" s="42" t="e">
        <f>+'Jul-24'!J669+'Aug-24'!J669+'Sep-24'!J669+'Oct-24'!J669+'Nov-24'!J669+'Dec-24'!J669+'Jan-25'!J669+'Feb-25'!J669+#REF!+#REF!+#REF!+'Dec-25'!J669</f>
        <v>#REF!</v>
      </c>
      <c r="K669" s="42" t="e">
        <f>+'Jul-24'!K669+'Aug-24'!K669+'Sep-24'!K669+'Oct-24'!K669+'Nov-24'!K669+'Dec-24'!K669+'Jan-25'!K669+'Feb-25'!K669+#REF!+#REF!+#REF!+'Dec-25'!K669</f>
        <v>#REF!</v>
      </c>
      <c r="L669" s="35" t="e">
        <f t="shared" si="170"/>
        <v>#REF!</v>
      </c>
      <c r="M669" s="35" t="e">
        <f t="shared" si="169"/>
        <v>#REF!</v>
      </c>
      <c r="N669" s="32"/>
      <c r="P669" s="50"/>
    </row>
    <row r="670" spans="1:24" x14ac:dyDescent="0.25">
      <c r="A670" s="14"/>
      <c r="B670" s="27"/>
      <c r="C670" s="28" t="s">
        <v>4</v>
      </c>
      <c r="D670" s="28"/>
      <c r="E670" s="28"/>
      <c r="F670" s="28"/>
      <c r="G670" s="42" t="e">
        <f>+'Jul-24'!G670+'Aug-24'!G670+'Sep-24'!G670+'Oct-24'!G670+'Nov-24'!G670+'Dec-24'!G670+'Jan-25'!G670+'Feb-25'!G670+#REF!+#REF!+#REF!+'Dec-25'!G670</f>
        <v>#REF!</v>
      </c>
      <c r="H670" s="42" t="e">
        <f>+'Jul-24'!H670+'Aug-24'!H670+'Sep-24'!H670+'Oct-24'!H670+'Nov-24'!H670+'Dec-24'!H670+'Jan-25'!H670+'Feb-25'!H670+#REF!+#REF!+#REF!+'Dec-25'!H670</f>
        <v>#REF!</v>
      </c>
      <c r="I670" s="42" t="e">
        <f>+'Jul-24'!I670+'Aug-24'!I670+'Sep-24'!I670+'Oct-24'!I670+'Nov-24'!I670+'Dec-24'!I670+'Jan-25'!I670+'Feb-25'!I670+#REF!+#REF!+#REF!+'Dec-25'!I670</f>
        <v>#REF!</v>
      </c>
      <c r="J670" s="42" t="e">
        <f>+'Jul-24'!J670+'Aug-24'!J670+'Sep-24'!J670+'Oct-24'!J670+'Nov-24'!J670+'Dec-24'!J670+'Jan-25'!J670+'Feb-25'!J670+#REF!+#REF!+#REF!+'Dec-25'!J670</f>
        <v>#REF!</v>
      </c>
      <c r="K670" s="42" t="e">
        <f>+'Jul-24'!K670+'Aug-24'!K670+'Sep-24'!K670+'Oct-24'!K670+'Nov-24'!K670+'Dec-24'!K670+'Jan-25'!K670+'Feb-25'!K670+#REF!+#REF!+#REF!+'Dec-25'!K670</f>
        <v>#REF!</v>
      </c>
      <c r="L670" s="35" t="e">
        <f t="shared" si="170"/>
        <v>#REF!</v>
      </c>
      <c r="M670" s="35" t="e">
        <f t="shared" si="169"/>
        <v>#REF!</v>
      </c>
      <c r="N670" s="32"/>
      <c r="P670" s="50"/>
    </row>
    <row r="671" spans="1:24" x14ac:dyDescent="0.25">
      <c r="A671" s="14"/>
      <c r="B671" s="27"/>
      <c r="C671" s="28" t="s">
        <v>15</v>
      </c>
      <c r="D671" s="28"/>
      <c r="E671" s="28"/>
      <c r="F671" s="28"/>
      <c r="G671" s="42" t="e">
        <f>+'Jul-24'!G671+'Aug-24'!G671+'Sep-24'!G671+'Oct-24'!G671+'Nov-24'!G671+'Dec-24'!G671+'Jan-25'!G671+'Feb-25'!G671+#REF!+#REF!+#REF!+'Dec-25'!G671</f>
        <v>#REF!</v>
      </c>
      <c r="H671" s="42" t="e">
        <f>+'Jul-24'!H671+'Aug-24'!H671+'Sep-24'!H671+'Oct-24'!H671+'Nov-24'!H671+'Dec-24'!H671+'Jan-25'!H671+'Feb-25'!H671+#REF!+#REF!+#REF!+'Dec-25'!H671</f>
        <v>#REF!</v>
      </c>
      <c r="I671" s="42" t="e">
        <f>+'Jul-24'!I671+'Aug-24'!I671+'Sep-24'!I671+'Oct-24'!I671+'Nov-24'!I671+'Dec-24'!I671+'Jan-25'!I671+'Feb-25'!I671+#REF!+#REF!+#REF!+'Dec-25'!I671</f>
        <v>#REF!</v>
      </c>
      <c r="J671" s="42" t="e">
        <f>+'Jul-24'!J671+'Aug-24'!J671+'Sep-24'!J671+'Oct-24'!J671+'Nov-24'!J671+'Dec-24'!J671+'Jan-25'!J671+'Feb-25'!J671+#REF!+#REF!+#REF!+'Dec-25'!J671</f>
        <v>#REF!</v>
      </c>
      <c r="K671" s="42" t="e">
        <f>+'Jul-24'!K671+'Aug-24'!K671+'Sep-24'!K671+'Oct-24'!K671+'Nov-24'!K671+'Dec-24'!K671+'Jan-25'!K671+'Feb-25'!K671+#REF!+#REF!+#REF!+'Dec-25'!K671</f>
        <v>#REF!</v>
      </c>
      <c r="L671" s="35" t="e">
        <f t="shared" si="170"/>
        <v>#REF!</v>
      </c>
      <c r="M671" s="35" t="e">
        <f t="shared" si="169"/>
        <v>#REF!</v>
      </c>
      <c r="N671" s="32"/>
      <c r="P671" s="50"/>
    </row>
    <row r="672" spans="1:24" x14ac:dyDescent="0.25">
      <c r="A672" s="14"/>
      <c r="B672" s="27"/>
      <c r="C672" s="28" t="s">
        <v>16</v>
      </c>
      <c r="D672" s="28"/>
      <c r="E672" s="28"/>
      <c r="F672" s="28"/>
      <c r="G672" s="42" t="e">
        <f>+'Jul-24'!G672+'Aug-24'!G672+'Sep-24'!G672+'Oct-24'!G672+'Nov-24'!G672+'Dec-24'!G672+'Jan-25'!G672+'Feb-25'!G672+#REF!+#REF!+#REF!+'Dec-25'!G672</f>
        <v>#REF!</v>
      </c>
      <c r="H672" s="42" t="e">
        <f>+'Jul-24'!H672+'Aug-24'!H672+'Sep-24'!H672+'Oct-24'!H672+'Nov-24'!H672+'Dec-24'!H672+'Jan-25'!H672+'Feb-25'!H672+#REF!+#REF!+#REF!+'Dec-25'!H672</f>
        <v>#REF!</v>
      </c>
      <c r="I672" s="42" t="e">
        <f>+'Jul-24'!I672+'Aug-24'!I672+'Sep-24'!I672+'Oct-24'!I672+'Nov-24'!I672+'Dec-24'!I672+'Jan-25'!I672+'Feb-25'!I672+#REF!+#REF!+#REF!+'Dec-25'!I672</f>
        <v>#REF!</v>
      </c>
      <c r="J672" s="42" t="e">
        <f>+'Jul-24'!J672+'Aug-24'!J672+'Sep-24'!J672+'Oct-24'!J672+'Nov-24'!J672+'Dec-24'!J672+'Jan-25'!J672+'Feb-25'!J672+#REF!+#REF!+#REF!+'Dec-25'!J672</f>
        <v>#REF!</v>
      </c>
      <c r="K672" s="42" t="e">
        <f>+'Jul-24'!K672+'Aug-24'!K672+'Sep-24'!K672+'Oct-24'!K672+'Nov-24'!K672+'Dec-24'!K672+'Jan-25'!K672+'Feb-25'!K672+#REF!+#REF!+#REF!+'Dec-25'!K672</f>
        <v>#REF!</v>
      </c>
      <c r="L672" s="35" t="e">
        <f t="shared" si="170"/>
        <v>#REF!</v>
      </c>
      <c r="M672" s="35" t="e">
        <f t="shared" si="169"/>
        <v>#REF!</v>
      </c>
      <c r="N672" s="32"/>
      <c r="P672" s="50"/>
    </row>
    <row r="673" spans="1:24" ht="15.75" thickBot="1" x14ac:dyDescent="0.3">
      <c r="A673" s="14"/>
      <c r="B673" s="36"/>
      <c r="C673" s="37"/>
      <c r="D673" s="37"/>
      <c r="E673" s="37"/>
      <c r="F673" s="37"/>
      <c r="G673" s="38"/>
      <c r="H673" s="38"/>
      <c r="I673" s="38"/>
      <c r="J673" s="38"/>
      <c r="K673" s="38"/>
      <c r="L673" s="38"/>
      <c r="M673" s="38"/>
      <c r="N673" s="39"/>
      <c r="P673" s="50"/>
    </row>
    <row r="674" spans="1:24" ht="15.75" thickBot="1" x14ac:dyDescent="0.3">
      <c r="G674" s="44"/>
      <c r="H674" s="44"/>
      <c r="I674" s="44"/>
      <c r="J674" s="44"/>
      <c r="K674" s="44"/>
      <c r="L674" s="44"/>
      <c r="M674" s="44"/>
      <c r="N674" s="44"/>
      <c r="P674" s="50"/>
    </row>
    <row r="675" spans="1:24" x14ac:dyDescent="0.25">
      <c r="A675" s="4">
        <f>+A659+1</f>
        <v>42</v>
      </c>
      <c r="B675" s="40"/>
      <c r="C675" s="6" t="s">
        <v>54</v>
      </c>
      <c r="D675" s="7"/>
      <c r="E675" s="8"/>
      <c r="F675" s="8"/>
      <c r="G675" s="10">
        <f>+$G$3</f>
        <v>2024</v>
      </c>
      <c r="H675" s="10">
        <f>+G675</f>
        <v>2024</v>
      </c>
      <c r="I675" s="10">
        <f t="shared" ref="I675:M676" si="171">+H675</f>
        <v>2024</v>
      </c>
      <c r="J675" s="10">
        <f t="shared" si="171"/>
        <v>2024</v>
      </c>
      <c r="K675" s="10">
        <f t="shared" si="171"/>
        <v>2024</v>
      </c>
      <c r="L675" s="10">
        <f t="shared" si="171"/>
        <v>2024</v>
      </c>
      <c r="M675" s="10">
        <f t="shared" si="171"/>
        <v>2024</v>
      </c>
      <c r="N675" s="11"/>
      <c r="P675" s="50"/>
      <c r="S675" s="12" t="str">
        <f>+C675</f>
        <v>ICBC Details</v>
      </c>
      <c r="T675" s="13" t="e">
        <f>+L679</f>
        <v>#REF!</v>
      </c>
      <c r="U675" s="13" t="e">
        <f>+L680+L681</f>
        <v>#REF!</v>
      </c>
      <c r="V675" s="13" t="e">
        <f>+L682+L683</f>
        <v>#REF!</v>
      </c>
      <c r="W675" s="13" t="e">
        <f>+L686</f>
        <v>#REF!</v>
      </c>
      <c r="X675" s="13" t="e">
        <f>+L684</f>
        <v>#REF!</v>
      </c>
    </row>
    <row r="676" spans="1:24" x14ac:dyDescent="0.25">
      <c r="A676" s="14"/>
      <c r="B676" s="15"/>
      <c r="C676" s="41" t="str">
        <f>+$C660</f>
        <v>Year to Date 2024/2025</v>
      </c>
      <c r="D676" s="18"/>
      <c r="E676" s="18"/>
      <c r="F676" s="18"/>
      <c r="G676" s="20" t="str">
        <f>+$G$4</f>
        <v>Week</v>
      </c>
      <c r="H676" s="20" t="str">
        <f>+G676</f>
        <v>Week</v>
      </c>
      <c r="I676" s="20" t="str">
        <f t="shared" si="171"/>
        <v>Week</v>
      </c>
      <c r="J676" s="20" t="str">
        <f t="shared" si="171"/>
        <v>Week</v>
      </c>
      <c r="K676" s="20" t="str">
        <f t="shared" si="171"/>
        <v>Week</v>
      </c>
      <c r="L676" s="20" t="str">
        <f t="shared" si="171"/>
        <v>Week</v>
      </c>
      <c r="M676" s="20" t="str">
        <f t="shared" si="171"/>
        <v>Week</v>
      </c>
      <c r="N676" s="21"/>
      <c r="P676" s="50"/>
    </row>
    <row r="677" spans="1:24" ht="15.75" thickBot="1" x14ac:dyDescent="0.3">
      <c r="A677" s="14"/>
      <c r="B677" s="22"/>
      <c r="C677" s="23"/>
      <c r="D677" s="23"/>
      <c r="E677" s="23"/>
      <c r="F677" s="23"/>
      <c r="G677" s="25">
        <f>+$G$5</f>
        <v>1</v>
      </c>
      <c r="H677" s="25">
        <f>+$H$5</f>
        <v>2</v>
      </c>
      <c r="I677" s="25">
        <f>+$I$5</f>
        <v>3</v>
      </c>
      <c r="J677" s="25">
        <f>+$J$5</f>
        <v>4</v>
      </c>
      <c r="K677" s="25">
        <f>+$K$5</f>
        <v>5</v>
      </c>
      <c r="L677" s="25" t="s">
        <v>6</v>
      </c>
      <c r="M677" s="25" t="s">
        <v>7</v>
      </c>
      <c r="N677" s="26"/>
      <c r="P677" s="50"/>
    </row>
    <row r="678" spans="1:24" x14ac:dyDescent="0.25">
      <c r="A678" s="14"/>
      <c r="B678" s="27"/>
      <c r="C678" s="28"/>
      <c r="D678" s="28"/>
      <c r="E678" s="28"/>
      <c r="F678" s="28"/>
      <c r="G678" s="29"/>
      <c r="H678" s="29"/>
      <c r="I678" s="29"/>
      <c r="J678" s="29"/>
      <c r="K678" s="28"/>
      <c r="L678" s="28"/>
      <c r="M678" s="28"/>
      <c r="N678" s="30"/>
      <c r="P678" s="50"/>
    </row>
    <row r="679" spans="1:24" x14ac:dyDescent="0.25">
      <c r="A679" s="14"/>
      <c r="B679" s="27"/>
      <c r="C679" s="28" t="s">
        <v>8</v>
      </c>
      <c r="D679" s="28"/>
      <c r="E679" s="28"/>
      <c r="F679" s="28"/>
      <c r="G679" s="31" t="e">
        <f>SUM(G680:G683)</f>
        <v>#REF!</v>
      </c>
      <c r="H679" s="31" t="e">
        <f t="shared" ref="H679:L679" si="172">SUM(H680:H683)</f>
        <v>#REF!</v>
      </c>
      <c r="I679" s="31" t="e">
        <f t="shared" si="172"/>
        <v>#REF!</v>
      </c>
      <c r="J679" s="31" t="e">
        <f t="shared" si="172"/>
        <v>#REF!</v>
      </c>
      <c r="K679" s="31" t="e">
        <f t="shared" si="172"/>
        <v>#REF!</v>
      </c>
      <c r="L679" s="31" t="e">
        <f t="shared" si="172"/>
        <v>#REF!</v>
      </c>
      <c r="M679" s="31" t="e">
        <f>ROUND((L679/$E$1),0)</f>
        <v>#REF!</v>
      </c>
      <c r="N679" s="32"/>
      <c r="P679" s="50"/>
    </row>
    <row r="680" spans="1:24" x14ac:dyDescent="0.25">
      <c r="A680" s="14"/>
      <c r="B680" s="27"/>
      <c r="C680" s="28"/>
      <c r="D680" s="28" t="s">
        <v>9</v>
      </c>
      <c r="E680" s="28"/>
      <c r="F680" s="28"/>
      <c r="G680" s="42" t="e">
        <f>+'Jul-24'!G680+'Aug-24'!G680+'Sep-24'!G680+'Oct-24'!G680+'Nov-24'!G680+'Dec-24'!G680+'Jan-25'!G680+'Feb-25'!G680+#REF!+#REF!+#REF!+'Dec-25'!G680</f>
        <v>#REF!</v>
      </c>
      <c r="H680" s="42" t="e">
        <f>+'Jul-24'!H680+'Aug-24'!H680+'Sep-24'!H680+'Oct-24'!H680+'Nov-24'!H680+'Dec-24'!H680+'Jan-25'!H680+'Feb-25'!H680+#REF!+#REF!+#REF!+'Dec-25'!H680</f>
        <v>#REF!</v>
      </c>
      <c r="I680" s="42" t="e">
        <f>+'Jul-24'!I680+'Aug-24'!I680+'Sep-24'!I680+'Oct-24'!I680+'Nov-24'!I680+'Dec-24'!I680+'Jan-25'!I680+'Feb-25'!I680+#REF!+#REF!+#REF!+'Dec-25'!I680</f>
        <v>#REF!</v>
      </c>
      <c r="J680" s="42" t="e">
        <f>+'Jul-24'!J680+'Aug-24'!J680+'Sep-24'!J680+'Oct-24'!J680+'Nov-24'!J680+'Dec-24'!J680+'Jan-25'!J680+'Feb-25'!J680+#REF!+#REF!+#REF!+'Dec-25'!J680</f>
        <v>#REF!</v>
      </c>
      <c r="K680" s="42" t="e">
        <f>+'Jul-24'!K680+'Aug-24'!K680+'Sep-24'!K680+'Oct-24'!K680+'Nov-24'!K680+'Dec-24'!K680+'Jan-25'!K680+'Feb-25'!K680+#REF!+#REF!+#REF!+'Dec-25'!K680</f>
        <v>#REF!</v>
      </c>
      <c r="L680" s="35" t="e">
        <f>SUM(G680:K680)</f>
        <v>#REF!</v>
      </c>
      <c r="M680" s="35" t="e">
        <f t="shared" ref="M680:M688" si="173">ROUND((L680/$E$1),0)</f>
        <v>#REF!</v>
      </c>
      <c r="N680" s="32"/>
      <c r="P680" s="50"/>
    </row>
    <row r="681" spans="1:24" x14ac:dyDescent="0.25">
      <c r="A681" s="14"/>
      <c r="B681" s="27"/>
      <c r="C681" s="28"/>
      <c r="D681" s="28" t="s">
        <v>10</v>
      </c>
      <c r="E681" s="28"/>
      <c r="F681" s="28"/>
      <c r="G681" s="42" t="e">
        <f>+'Jul-24'!G681+'Aug-24'!G681+'Sep-24'!G681+'Oct-24'!G681+'Nov-24'!G681+'Dec-24'!G681+'Jan-25'!G681+'Feb-25'!G681+#REF!+#REF!+#REF!+'Dec-25'!G681</f>
        <v>#REF!</v>
      </c>
      <c r="H681" s="42" t="e">
        <f>+'Jul-24'!H681+'Aug-24'!H681+'Sep-24'!H681+'Oct-24'!H681+'Nov-24'!H681+'Dec-24'!H681+'Jan-25'!H681+'Feb-25'!H681+#REF!+#REF!+#REF!+'Dec-25'!H681</f>
        <v>#REF!</v>
      </c>
      <c r="I681" s="42" t="e">
        <f>+'Jul-24'!I681+'Aug-24'!I681+'Sep-24'!I681+'Oct-24'!I681+'Nov-24'!I681+'Dec-24'!I681+'Jan-25'!I681+'Feb-25'!I681+#REF!+#REF!+#REF!+'Dec-25'!I681</f>
        <v>#REF!</v>
      </c>
      <c r="J681" s="42" t="e">
        <f>+'Jul-24'!J681+'Aug-24'!J681+'Sep-24'!J681+'Oct-24'!J681+'Nov-24'!J681+'Dec-24'!J681+'Jan-25'!J681+'Feb-25'!J681+#REF!+#REF!+#REF!+'Dec-25'!J681</f>
        <v>#REF!</v>
      </c>
      <c r="K681" s="42" t="e">
        <f>+'Jul-24'!K681+'Aug-24'!K681+'Sep-24'!K681+'Oct-24'!K681+'Nov-24'!K681+'Dec-24'!K681+'Jan-25'!K681+'Feb-25'!K681+#REF!+#REF!+#REF!+'Dec-25'!K681</f>
        <v>#REF!</v>
      </c>
      <c r="L681" s="35" t="e">
        <f t="shared" ref="L681:L688" si="174">SUM(G681:K681)</f>
        <v>#REF!</v>
      </c>
      <c r="M681" s="35" t="e">
        <f t="shared" si="173"/>
        <v>#REF!</v>
      </c>
      <c r="N681" s="32"/>
      <c r="P681" s="50"/>
    </row>
    <row r="682" spans="1:24" x14ac:dyDescent="0.25">
      <c r="A682" s="14"/>
      <c r="B682" s="27"/>
      <c r="C682" s="28"/>
      <c r="D682" s="28" t="s">
        <v>11</v>
      </c>
      <c r="E682" s="28"/>
      <c r="F682" s="28"/>
      <c r="G682" s="42" t="e">
        <f>+'Jul-24'!G682+'Aug-24'!G682+'Sep-24'!G682+'Oct-24'!G682+'Nov-24'!G682+'Dec-24'!G682+'Jan-25'!G682+'Feb-25'!G682+#REF!+#REF!+#REF!+'Dec-25'!G682</f>
        <v>#REF!</v>
      </c>
      <c r="H682" s="42" t="e">
        <f>+'Jul-24'!H682+'Aug-24'!H682+'Sep-24'!H682+'Oct-24'!H682+'Nov-24'!H682+'Dec-24'!H682+'Jan-25'!H682+'Feb-25'!H682+#REF!+#REF!+#REF!+'Dec-25'!H682</f>
        <v>#REF!</v>
      </c>
      <c r="I682" s="42" t="e">
        <f>+'Jul-24'!I682+'Aug-24'!I682+'Sep-24'!I682+'Oct-24'!I682+'Nov-24'!I682+'Dec-24'!I682+'Jan-25'!I682+'Feb-25'!I682+#REF!+#REF!+#REF!+'Dec-25'!I682</f>
        <v>#REF!</v>
      </c>
      <c r="J682" s="42" t="e">
        <f>+'Jul-24'!J682+'Aug-24'!J682+'Sep-24'!J682+'Oct-24'!J682+'Nov-24'!J682+'Dec-24'!J682+'Jan-25'!J682+'Feb-25'!J682+#REF!+#REF!+#REF!+'Dec-25'!J682</f>
        <v>#REF!</v>
      </c>
      <c r="K682" s="42" t="e">
        <f>+'Jul-24'!K682+'Aug-24'!K682+'Sep-24'!K682+'Oct-24'!K682+'Nov-24'!K682+'Dec-24'!K682+'Jan-25'!K682+'Feb-25'!K682+#REF!+#REF!+#REF!+'Dec-25'!K682</f>
        <v>#REF!</v>
      </c>
      <c r="L682" s="35" t="e">
        <f t="shared" si="174"/>
        <v>#REF!</v>
      </c>
      <c r="M682" s="35" t="e">
        <f t="shared" si="173"/>
        <v>#REF!</v>
      </c>
      <c r="N682" s="32"/>
      <c r="P682" s="50"/>
    </row>
    <row r="683" spans="1:24" x14ac:dyDescent="0.25">
      <c r="A683" s="14"/>
      <c r="B683" s="27"/>
      <c r="C683" s="28"/>
      <c r="D683" s="28" t="s">
        <v>12</v>
      </c>
      <c r="E683" s="28"/>
      <c r="F683" s="28"/>
      <c r="G683" s="43" t="e">
        <f>+'Jul-24'!G683+'Aug-24'!G683+'Sep-24'!G683+'Oct-24'!G683+'Nov-24'!G683+'Dec-24'!G683+'Jan-25'!G683+'Feb-25'!G683+#REF!+#REF!+#REF!+'Dec-25'!G683</f>
        <v>#REF!</v>
      </c>
      <c r="H683" s="43" t="e">
        <f>+'Jul-24'!H683+'Aug-24'!H683+'Sep-24'!H683+'Oct-24'!H683+'Nov-24'!H683+'Dec-24'!H683+'Jan-25'!H683+'Feb-25'!H683+#REF!+#REF!+#REF!+'Dec-25'!H683</f>
        <v>#REF!</v>
      </c>
      <c r="I683" s="43" t="e">
        <f>+'Jul-24'!I683+'Aug-24'!I683+'Sep-24'!I683+'Oct-24'!I683+'Nov-24'!I683+'Dec-24'!I683+'Jan-25'!I683+'Feb-25'!I683+#REF!+#REF!+#REF!+'Dec-25'!I683</f>
        <v>#REF!</v>
      </c>
      <c r="J683" s="43" t="e">
        <f>+'Jul-24'!J683+'Aug-24'!J683+'Sep-24'!J683+'Oct-24'!J683+'Nov-24'!J683+'Dec-24'!J683+'Jan-25'!J683+'Feb-25'!J683+#REF!+#REF!+#REF!+'Dec-25'!J683</f>
        <v>#REF!</v>
      </c>
      <c r="K683" s="43" t="e">
        <f>+'Jul-24'!K683+'Aug-24'!K683+'Sep-24'!K683+'Oct-24'!K683+'Nov-24'!K683+'Dec-24'!K683+'Jan-25'!K683+'Feb-25'!K683+#REF!+#REF!+#REF!+'Dec-25'!K683</f>
        <v>#REF!</v>
      </c>
      <c r="L683" s="31" t="e">
        <f t="shared" si="174"/>
        <v>#REF!</v>
      </c>
      <c r="M683" s="31" t="e">
        <f t="shared" si="173"/>
        <v>#REF!</v>
      </c>
      <c r="N683" s="32"/>
      <c r="P683" s="50"/>
    </row>
    <row r="684" spans="1:24" x14ac:dyDescent="0.25">
      <c r="A684" s="14"/>
      <c r="B684" s="27"/>
      <c r="C684" s="28" t="s">
        <v>13</v>
      </c>
      <c r="D684" s="28"/>
      <c r="E684" s="28"/>
      <c r="F684" s="28"/>
      <c r="G684" s="42" t="e">
        <f>+'Jul-24'!G684+'Aug-24'!G684+'Sep-24'!G684+'Oct-24'!G684+'Nov-24'!G684+'Dec-24'!G684+'Jan-25'!G684+'Feb-25'!G684+#REF!+#REF!+#REF!+'Dec-25'!G684</f>
        <v>#REF!</v>
      </c>
      <c r="H684" s="42" t="e">
        <f>+'Jul-24'!H684+'Aug-24'!H684+'Sep-24'!H684+'Oct-24'!H684+'Nov-24'!H684+'Dec-24'!H684+'Jan-25'!H684+'Feb-25'!H684+#REF!+#REF!+#REF!+'Dec-25'!H684</f>
        <v>#REF!</v>
      </c>
      <c r="I684" s="42" t="e">
        <f>+'Jul-24'!I684+'Aug-24'!I684+'Sep-24'!I684+'Oct-24'!I684+'Nov-24'!I684+'Dec-24'!I684+'Jan-25'!I684+'Feb-25'!I684+#REF!+#REF!+#REF!+'Dec-25'!I684</f>
        <v>#REF!</v>
      </c>
      <c r="J684" s="42" t="e">
        <f>+'Jul-24'!J684+'Aug-24'!J684+'Sep-24'!J684+'Oct-24'!J684+'Nov-24'!J684+'Dec-24'!J684+'Jan-25'!J684+'Feb-25'!J684+#REF!+#REF!+#REF!+'Dec-25'!J684</f>
        <v>#REF!</v>
      </c>
      <c r="K684" s="42" t="e">
        <f>+'Jul-24'!K684+'Aug-24'!K684+'Sep-24'!K684+'Oct-24'!K684+'Nov-24'!K684+'Dec-24'!K684+'Jan-25'!K684+'Feb-25'!K684+#REF!+#REF!+#REF!+'Dec-25'!K684</f>
        <v>#REF!</v>
      </c>
      <c r="L684" s="35" t="e">
        <f t="shared" si="174"/>
        <v>#REF!</v>
      </c>
      <c r="M684" s="35" t="e">
        <f t="shared" si="173"/>
        <v>#REF!</v>
      </c>
      <c r="N684" s="32"/>
      <c r="P684" s="50"/>
    </row>
    <row r="685" spans="1:24" x14ac:dyDescent="0.25">
      <c r="A685" s="14"/>
      <c r="B685" s="27"/>
      <c r="C685" s="28" t="s">
        <v>14</v>
      </c>
      <c r="D685" s="28"/>
      <c r="E685" s="28"/>
      <c r="F685" s="28"/>
      <c r="G685" s="42" t="e">
        <f>+'Jul-24'!G685+'Aug-24'!G685+'Sep-24'!G685+'Oct-24'!G685+'Nov-24'!G685+'Dec-24'!G685+'Jan-25'!G685+'Feb-25'!G685+#REF!+#REF!+#REF!+'Dec-25'!G685</f>
        <v>#REF!</v>
      </c>
      <c r="H685" s="42" t="e">
        <f>+'Jul-24'!H685+'Aug-24'!H685+'Sep-24'!H685+'Oct-24'!H685+'Nov-24'!H685+'Dec-24'!H685+'Jan-25'!H685+'Feb-25'!H685+#REF!+#REF!+#REF!+'Dec-25'!H685</f>
        <v>#REF!</v>
      </c>
      <c r="I685" s="42" t="e">
        <f>+'Jul-24'!I685+'Aug-24'!I685+'Sep-24'!I685+'Oct-24'!I685+'Nov-24'!I685+'Dec-24'!I685+'Jan-25'!I685+'Feb-25'!I685+#REF!+#REF!+#REF!+'Dec-25'!I685</f>
        <v>#REF!</v>
      </c>
      <c r="J685" s="42" t="e">
        <f>+'Jul-24'!J685+'Aug-24'!J685+'Sep-24'!J685+'Oct-24'!J685+'Nov-24'!J685+'Dec-24'!J685+'Jan-25'!J685+'Feb-25'!J685+#REF!+#REF!+#REF!+'Dec-25'!J685</f>
        <v>#REF!</v>
      </c>
      <c r="K685" s="42" t="e">
        <f>+'Jul-24'!K685+'Aug-24'!K685+'Sep-24'!K685+'Oct-24'!K685+'Nov-24'!K685+'Dec-24'!K685+'Jan-25'!K685+'Feb-25'!K685+#REF!+#REF!+#REF!+'Dec-25'!K685</f>
        <v>#REF!</v>
      </c>
      <c r="L685" s="35" t="e">
        <f t="shared" si="174"/>
        <v>#REF!</v>
      </c>
      <c r="M685" s="35" t="e">
        <f t="shared" si="173"/>
        <v>#REF!</v>
      </c>
      <c r="N685" s="32"/>
      <c r="P685" s="50"/>
    </row>
    <row r="686" spans="1:24" x14ac:dyDescent="0.25">
      <c r="A686" s="14"/>
      <c r="B686" s="27"/>
      <c r="C686" s="28" t="s">
        <v>4</v>
      </c>
      <c r="D686" s="28"/>
      <c r="E686" s="28"/>
      <c r="F686" s="28"/>
      <c r="G686" s="42" t="e">
        <f>+'Jul-24'!G686+'Aug-24'!G686+'Sep-24'!G686+'Oct-24'!G686+'Nov-24'!G686+'Dec-24'!G686+'Jan-25'!G686+'Feb-25'!G686+#REF!+#REF!+#REF!+'Dec-25'!G686</f>
        <v>#REF!</v>
      </c>
      <c r="H686" s="42" t="e">
        <f>+'Jul-24'!H686+'Aug-24'!H686+'Sep-24'!H686+'Oct-24'!H686+'Nov-24'!H686+'Dec-24'!H686+'Jan-25'!H686+'Feb-25'!H686+#REF!+#REF!+#REF!+'Dec-25'!H686</f>
        <v>#REF!</v>
      </c>
      <c r="I686" s="42" t="e">
        <f>+'Jul-24'!I686+'Aug-24'!I686+'Sep-24'!I686+'Oct-24'!I686+'Nov-24'!I686+'Dec-24'!I686+'Jan-25'!I686+'Feb-25'!I686+#REF!+#REF!+#REF!+'Dec-25'!I686</f>
        <v>#REF!</v>
      </c>
      <c r="J686" s="42" t="e">
        <f>+'Jul-24'!J686+'Aug-24'!J686+'Sep-24'!J686+'Oct-24'!J686+'Nov-24'!J686+'Dec-24'!J686+'Jan-25'!J686+'Feb-25'!J686+#REF!+#REF!+#REF!+'Dec-25'!J686</f>
        <v>#REF!</v>
      </c>
      <c r="K686" s="42" t="e">
        <f>+'Jul-24'!K686+'Aug-24'!K686+'Sep-24'!K686+'Oct-24'!K686+'Nov-24'!K686+'Dec-24'!K686+'Jan-25'!K686+'Feb-25'!K686+#REF!+#REF!+#REF!+'Dec-25'!K686</f>
        <v>#REF!</v>
      </c>
      <c r="L686" s="35" t="e">
        <f t="shared" si="174"/>
        <v>#REF!</v>
      </c>
      <c r="M686" s="35" t="e">
        <f t="shared" si="173"/>
        <v>#REF!</v>
      </c>
      <c r="N686" s="32"/>
      <c r="P686" s="50"/>
    </row>
    <row r="687" spans="1:24" x14ac:dyDescent="0.25">
      <c r="A687" s="14"/>
      <c r="B687" s="27"/>
      <c r="C687" s="28" t="s">
        <v>15</v>
      </c>
      <c r="D687" s="28"/>
      <c r="E687" s="28"/>
      <c r="F687" s="28"/>
      <c r="G687" s="42" t="e">
        <f>+'Jul-24'!G687+'Aug-24'!G687+'Sep-24'!G687+'Oct-24'!G687+'Nov-24'!G687+'Dec-24'!G687+'Jan-25'!G687+'Feb-25'!G687+#REF!+#REF!+#REF!+'Dec-25'!G687</f>
        <v>#REF!</v>
      </c>
      <c r="H687" s="42" t="e">
        <f>+'Jul-24'!H687+'Aug-24'!H687+'Sep-24'!H687+'Oct-24'!H687+'Nov-24'!H687+'Dec-24'!H687+'Jan-25'!H687+'Feb-25'!H687+#REF!+#REF!+#REF!+'Dec-25'!H687</f>
        <v>#REF!</v>
      </c>
      <c r="I687" s="42" t="e">
        <f>+'Jul-24'!I687+'Aug-24'!I687+'Sep-24'!I687+'Oct-24'!I687+'Nov-24'!I687+'Dec-24'!I687+'Jan-25'!I687+'Feb-25'!I687+#REF!+#REF!+#REF!+'Dec-25'!I687</f>
        <v>#REF!</v>
      </c>
      <c r="J687" s="42" t="e">
        <f>+'Jul-24'!J687+'Aug-24'!J687+'Sep-24'!J687+'Oct-24'!J687+'Nov-24'!J687+'Dec-24'!J687+'Jan-25'!J687+'Feb-25'!J687+#REF!+#REF!+#REF!+'Dec-25'!J687</f>
        <v>#REF!</v>
      </c>
      <c r="K687" s="42" t="e">
        <f>+'Jul-24'!K687+'Aug-24'!K687+'Sep-24'!K687+'Oct-24'!K687+'Nov-24'!K687+'Dec-24'!K687+'Jan-25'!K687+'Feb-25'!K687+#REF!+#REF!+#REF!+'Dec-25'!K687</f>
        <v>#REF!</v>
      </c>
      <c r="L687" s="35" t="e">
        <f t="shared" si="174"/>
        <v>#REF!</v>
      </c>
      <c r="M687" s="35" t="e">
        <f t="shared" si="173"/>
        <v>#REF!</v>
      </c>
      <c r="N687" s="32"/>
      <c r="P687" s="50"/>
    </row>
    <row r="688" spans="1:24" x14ac:dyDescent="0.25">
      <c r="A688" s="14"/>
      <c r="B688" s="27"/>
      <c r="C688" s="28" t="s">
        <v>16</v>
      </c>
      <c r="D688" s="28"/>
      <c r="E688" s="28"/>
      <c r="F688" s="28"/>
      <c r="G688" s="42" t="e">
        <f>+'Jul-24'!G688+'Aug-24'!G688+'Sep-24'!G688+'Oct-24'!G688+'Nov-24'!G688+'Dec-24'!G688+'Jan-25'!G688+'Feb-25'!G688+#REF!+#REF!+#REF!+'Dec-25'!G688</f>
        <v>#REF!</v>
      </c>
      <c r="H688" s="42" t="e">
        <f>+'Jul-24'!H688+'Aug-24'!H688+'Sep-24'!H688+'Oct-24'!H688+'Nov-24'!H688+'Dec-24'!H688+'Jan-25'!H688+'Feb-25'!H688+#REF!+#REF!+#REF!+'Dec-25'!H688</f>
        <v>#REF!</v>
      </c>
      <c r="I688" s="42" t="e">
        <f>+'Jul-24'!I688+'Aug-24'!I688+'Sep-24'!I688+'Oct-24'!I688+'Nov-24'!I688+'Dec-24'!I688+'Jan-25'!I688+'Feb-25'!I688+#REF!+#REF!+#REF!+'Dec-25'!I688</f>
        <v>#REF!</v>
      </c>
      <c r="J688" s="42" t="e">
        <f>+'Jul-24'!J688+'Aug-24'!J688+'Sep-24'!J688+'Oct-24'!J688+'Nov-24'!J688+'Dec-24'!J688+'Jan-25'!J688+'Feb-25'!J688+#REF!+#REF!+#REF!+'Dec-25'!J688</f>
        <v>#REF!</v>
      </c>
      <c r="K688" s="42" t="e">
        <f>+'Jul-24'!K688+'Aug-24'!K688+'Sep-24'!K688+'Oct-24'!K688+'Nov-24'!K688+'Dec-24'!K688+'Jan-25'!K688+'Feb-25'!K688+#REF!+#REF!+#REF!+'Dec-25'!K688</f>
        <v>#REF!</v>
      </c>
      <c r="L688" s="35" t="e">
        <f t="shared" si="174"/>
        <v>#REF!</v>
      </c>
      <c r="M688" s="35" t="e">
        <f t="shared" si="173"/>
        <v>#REF!</v>
      </c>
      <c r="N688" s="32"/>
      <c r="P688" s="50"/>
    </row>
    <row r="689" spans="1:24" ht="15.75" thickBot="1" x14ac:dyDescent="0.3">
      <c r="A689" s="14"/>
      <c r="B689" s="36"/>
      <c r="C689" s="37"/>
      <c r="D689" s="37"/>
      <c r="E689" s="37"/>
      <c r="F689" s="37"/>
      <c r="G689" s="38"/>
      <c r="H689" s="38"/>
      <c r="I689" s="38"/>
      <c r="J689" s="38"/>
      <c r="K689" s="38"/>
      <c r="L689" s="38"/>
      <c r="M689" s="38"/>
      <c r="N689" s="39"/>
      <c r="P689" s="50"/>
    </row>
    <row r="690" spans="1:24" ht="15.75" thickBot="1" x14ac:dyDescent="0.3">
      <c r="A690" s="14"/>
      <c r="G690" s="33"/>
      <c r="H690" s="33"/>
      <c r="I690" s="33"/>
      <c r="J690" s="33"/>
      <c r="K690" s="33"/>
      <c r="L690" s="33"/>
      <c r="M690" s="33"/>
      <c r="N690" s="33"/>
      <c r="P690" s="50"/>
    </row>
    <row r="691" spans="1:24" x14ac:dyDescent="0.25">
      <c r="A691" s="4">
        <f>+A675+1</f>
        <v>43</v>
      </c>
      <c r="B691" s="5"/>
      <c r="C691" s="6" t="s">
        <v>54</v>
      </c>
      <c r="D691" s="7"/>
      <c r="E691" s="8"/>
      <c r="F691" s="8"/>
      <c r="G691" s="10">
        <f>+$G$3</f>
        <v>2024</v>
      </c>
      <c r="H691" s="10">
        <f>+G691</f>
        <v>2024</v>
      </c>
      <c r="I691" s="10">
        <f t="shared" ref="I691:M692" si="175">+H691</f>
        <v>2024</v>
      </c>
      <c r="J691" s="10">
        <f t="shared" si="175"/>
        <v>2024</v>
      </c>
      <c r="K691" s="10">
        <f t="shared" si="175"/>
        <v>2024</v>
      </c>
      <c r="L691" s="10">
        <f t="shared" si="175"/>
        <v>2024</v>
      </c>
      <c r="M691" s="10">
        <f t="shared" si="175"/>
        <v>2024</v>
      </c>
      <c r="N691" s="11"/>
      <c r="P691" s="51"/>
      <c r="S691" s="12" t="str">
        <f>+C691</f>
        <v>ICBC Details</v>
      </c>
      <c r="T691" s="13" t="e">
        <f>+L695</f>
        <v>#REF!</v>
      </c>
      <c r="U691" s="13" t="e">
        <f>+L696+L697</f>
        <v>#REF!</v>
      </c>
      <c r="V691" s="13" t="e">
        <f>+L698+L699</f>
        <v>#REF!</v>
      </c>
      <c r="W691" s="13" t="e">
        <f>+L702</f>
        <v>#REF!</v>
      </c>
      <c r="X691" s="13" t="e">
        <f>+L700</f>
        <v>#REF!</v>
      </c>
    </row>
    <row r="692" spans="1:24" x14ac:dyDescent="0.25">
      <c r="A692" s="14"/>
      <c r="B692" s="15"/>
      <c r="C692" s="41" t="str">
        <f>+$C676</f>
        <v>Year to Date 2024/2025</v>
      </c>
      <c r="D692" s="18"/>
      <c r="E692" s="18"/>
      <c r="F692" s="18"/>
      <c r="G692" s="20" t="str">
        <f>+$G$4</f>
        <v>Week</v>
      </c>
      <c r="H692" s="20" t="str">
        <f>+G692</f>
        <v>Week</v>
      </c>
      <c r="I692" s="20" t="str">
        <f t="shared" si="175"/>
        <v>Week</v>
      </c>
      <c r="J692" s="20" t="str">
        <f t="shared" si="175"/>
        <v>Week</v>
      </c>
      <c r="K692" s="20" t="str">
        <f t="shared" si="175"/>
        <v>Week</v>
      </c>
      <c r="L692" s="20" t="str">
        <f t="shared" si="175"/>
        <v>Week</v>
      </c>
      <c r="M692" s="20" t="str">
        <f t="shared" si="175"/>
        <v>Week</v>
      </c>
      <c r="N692" s="21"/>
      <c r="P692" s="50"/>
    </row>
    <row r="693" spans="1:24" ht="15.75" thickBot="1" x14ac:dyDescent="0.3">
      <c r="A693" s="14"/>
      <c r="B693" s="22"/>
      <c r="C693" s="23"/>
      <c r="D693" s="23"/>
      <c r="E693" s="23"/>
      <c r="F693" s="23"/>
      <c r="G693" s="25">
        <f>+$G$5</f>
        <v>1</v>
      </c>
      <c r="H693" s="25">
        <f>+$H$5</f>
        <v>2</v>
      </c>
      <c r="I693" s="25">
        <f>+$I$5</f>
        <v>3</v>
      </c>
      <c r="J693" s="25">
        <f>+$J$5</f>
        <v>4</v>
      </c>
      <c r="K693" s="25">
        <f>+$K$5</f>
        <v>5</v>
      </c>
      <c r="L693" s="25" t="s">
        <v>6</v>
      </c>
      <c r="M693" s="25" t="s">
        <v>7</v>
      </c>
      <c r="N693" s="26"/>
      <c r="P693" s="50"/>
    </row>
    <row r="694" spans="1:24" x14ac:dyDescent="0.25">
      <c r="A694" s="14"/>
      <c r="B694" s="27"/>
      <c r="C694" s="28"/>
      <c r="D694" s="28"/>
      <c r="E694" s="28"/>
      <c r="F694" s="28"/>
      <c r="G694" s="29"/>
      <c r="H694" s="29"/>
      <c r="I694" s="29"/>
      <c r="J694" s="29"/>
      <c r="K694" s="28"/>
      <c r="L694" s="28"/>
      <c r="M694" s="28"/>
      <c r="N694" s="30"/>
      <c r="P694" s="50"/>
    </row>
    <row r="695" spans="1:24" x14ac:dyDescent="0.25">
      <c r="A695" s="14"/>
      <c r="B695" s="27"/>
      <c r="C695" s="28" t="s">
        <v>8</v>
      </c>
      <c r="D695" s="28"/>
      <c r="E695" s="28"/>
      <c r="F695" s="28"/>
      <c r="G695" s="31" t="e">
        <f>SUM(G696:G699)</f>
        <v>#REF!</v>
      </c>
      <c r="H695" s="31" t="e">
        <f t="shared" ref="H695:L695" si="176">SUM(H696:H699)</f>
        <v>#REF!</v>
      </c>
      <c r="I695" s="31" t="e">
        <f t="shared" si="176"/>
        <v>#REF!</v>
      </c>
      <c r="J695" s="31" t="e">
        <f t="shared" si="176"/>
        <v>#REF!</v>
      </c>
      <c r="K695" s="31" t="e">
        <f t="shared" si="176"/>
        <v>#REF!</v>
      </c>
      <c r="L695" s="31" t="e">
        <f t="shared" si="176"/>
        <v>#REF!</v>
      </c>
      <c r="M695" s="31" t="e">
        <f>ROUND((L695/$E$1),0)</f>
        <v>#REF!</v>
      </c>
      <c r="N695" s="32"/>
      <c r="P695" s="50"/>
    </row>
    <row r="696" spans="1:24" x14ac:dyDescent="0.25">
      <c r="A696" s="14"/>
      <c r="B696" s="27"/>
      <c r="C696" s="28"/>
      <c r="D696" s="28" t="s">
        <v>9</v>
      </c>
      <c r="E696" s="28"/>
      <c r="F696" s="28"/>
      <c r="G696" s="42" t="e">
        <f>+'Jul-24'!G696+'Aug-24'!G696+'Sep-24'!G696+'Oct-24'!G696+'Nov-24'!G696+'Dec-24'!G696+'Jan-25'!G696+'Feb-25'!G696+#REF!+#REF!+#REF!+'Dec-25'!G696</f>
        <v>#REF!</v>
      </c>
      <c r="H696" s="42" t="e">
        <f>+'Jul-24'!H696+'Aug-24'!H696+'Sep-24'!H696+'Oct-24'!H696+'Nov-24'!H696+'Dec-24'!H696+'Jan-25'!H696+'Feb-25'!H696+#REF!+#REF!+#REF!+'Dec-25'!H696</f>
        <v>#REF!</v>
      </c>
      <c r="I696" s="42" t="e">
        <f>+'Jul-24'!I696+'Aug-24'!I696+'Sep-24'!I696+'Oct-24'!I696+'Nov-24'!I696+'Dec-24'!I696+'Jan-25'!I696+'Feb-25'!I696+#REF!+#REF!+#REF!+'Dec-25'!I696</f>
        <v>#REF!</v>
      </c>
      <c r="J696" s="42" t="e">
        <f>+'Jul-24'!J696+'Aug-24'!J696+'Sep-24'!J696+'Oct-24'!J696+'Nov-24'!J696+'Dec-24'!J696+'Jan-25'!J696+'Feb-25'!J696+#REF!+#REF!+#REF!+'Dec-25'!J696</f>
        <v>#REF!</v>
      </c>
      <c r="K696" s="42" t="e">
        <f>+'Jul-24'!K696+'Aug-24'!K696+'Sep-24'!K696+'Oct-24'!K696+'Nov-24'!K696+'Dec-24'!K696+'Jan-25'!K696+'Feb-25'!K696+#REF!+#REF!+#REF!+'Dec-25'!K696</f>
        <v>#REF!</v>
      </c>
      <c r="L696" s="35" t="e">
        <f>SUM(G696:K696)</f>
        <v>#REF!</v>
      </c>
      <c r="M696" s="35" t="e">
        <f t="shared" ref="M696:M704" si="177">ROUND((L696/$E$1),0)</f>
        <v>#REF!</v>
      </c>
      <c r="N696" s="32"/>
      <c r="P696" s="50"/>
    </row>
    <row r="697" spans="1:24" x14ac:dyDescent="0.25">
      <c r="A697" s="14"/>
      <c r="B697" s="27"/>
      <c r="C697" s="28"/>
      <c r="D697" s="28" t="s">
        <v>10</v>
      </c>
      <c r="E697" s="28"/>
      <c r="F697" s="28"/>
      <c r="G697" s="42" t="e">
        <f>+'Jul-24'!G697+'Aug-24'!G697+'Sep-24'!G697+'Oct-24'!G697+'Nov-24'!G697+'Dec-24'!G697+'Jan-25'!G697+'Feb-25'!G697+#REF!+#REF!+#REF!+'Dec-25'!G697</f>
        <v>#REF!</v>
      </c>
      <c r="H697" s="42" t="e">
        <f>+'Jul-24'!H697+'Aug-24'!H697+'Sep-24'!H697+'Oct-24'!H697+'Nov-24'!H697+'Dec-24'!H697+'Jan-25'!H697+'Feb-25'!H697+#REF!+#REF!+#REF!+'Dec-25'!H697</f>
        <v>#REF!</v>
      </c>
      <c r="I697" s="42" t="e">
        <f>+'Jul-24'!I697+'Aug-24'!I697+'Sep-24'!I697+'Oct-24'!I697+'Nov-24'!I697+'Dec-24'!I697+'Jan-25'!I697+'Feb-25'!I697+#REF!+#REF!+#REF!+'Dec-25'!I697</f>
        <v>#REF!</v>
      </c>
      <c r="J697" s="42" t="e">
        <f>+'Jul-24'!J697+'Aug-24'!J697+'Sep-24'!J697+'Oct-24'!J697+'Nov-24'!J697+'Dec-24'!J697+'Jan-25'!J697+'Feb-25'!J697+#REF!+#REF!+#REF!+'Dec-25'!J697</f>
        <v>#REF!</v>
      </c>
      <c r="K697" s="42" t="e">
        <f>+'Jul-24'!K697+'Aug-24'!K697+'Sep-24'!K697+'Oct-24'!K697+'Nov-24'!K697+'Dec-24'!K697+'Jan-25'!K697+'Feb-25'!K697+#REF!+#REF!+#REF!+'Dec-25'!K697</f>
        <v>#REF!</v>
      </c>
      <c r="L697" s="35" t="e">
        <f t="shared" ref="L697:L704" si="178">SUM(G697:K697)</f>
        <v>#REF!</v>
      </c>
      <c r="M697" s="35" t="e">
        <f t="shared" si="177"/>
        <v>#REF!</v>
      </c>
      <c r="N697" s="32"/>
      <c r="P697" s="50"/>
    </row>
    <row r="698" spans="1:24" x14ac:dyDescent="0.25">
      <c r="A698" s="14"/>
      <c r="B698" s="27"/>
      <c r="C698" s="28"/>
      <c r="D698" s="28" t="s">
        <v>11</v>
      </c>
      <c r="E698" s="28"/>
      <c r="F698" s="28"/>
      <c r="G698" s="42" t="e">
        <f>+'Jul-24'!G698+'Aug-24'!G698+'Sep-24'!G698+'Oct-24'!G698+'Nov-24'!G698+'Dec-24'!G698+'Jan-25'!G698+'Feb-25'!G698+#REF!+#REF!+#REF!+'Dec-25'!G698</f>
        <v>#REF!</v>
      </c>
      <c r="H698" s="42" t="e">
        <f>+'Jul-24'!H698+'Aug-24'!H698+'Sep-24'!H698+'Oct-24'!H698+'Nov-24'!H698+'Dec-24'!H698+'Jan-25'!H698+'Feb-25'!H698+#REF!+#REF!+#REF!+'Dec-25'!H698</f>
        <v>#REF!</v>
      </c>
      <c r="I698" s="42" t="e">
        <f>+'Jul-24'!I698+'Aug-24'!I698+'Sep-24'!I698+'Oct-24'!I698+'Nov-24'!I698+'Dec-24'!I698+'Jan-25'!I698+'Feb-25'!I698+#REF!+#REF!+#REF!+'Dec-25'!I698</f>
        <v>#REF!</v>
      </c>
      <c r="J698" s="42" t="e">
        <f>+'Jul-24'!J698+'Aug-24'!J698+'Sep-24'!J698+'Oct-24'!J698+'Nov-24'!J698+'Dec-24'!J698+'Jan-25'!J698+'Feb-25'!J698+#REF!+#REF!+#REF!+'Dec-25'!J698</f>
        <v>#REF!</v>
      </c>
      <c r="K698" s="42" t="e">
        <f>+'Jul-24'!K698+'Aug-24'!K698+'Sep-24'!K698+'Oct-24'!K698+'Nov-24'!K698+'Dec-24'!K698+'Jan-25'!K698+'Feb-25'!K698+#REF!+#REF!+#REF!+'Dec-25'!K698</f>
        <v>#REF!</v>
      </c>
      <c r="L698" s="35" t="e">
        <f t="shared" si="178"/>
        <v>#REF!</v>
      </c>
      <c r="M698" s="35" t="e">
        <f t="shared" si="177"/>
        <v>#REF!</v>
      </c>
      <c r="N698" s="32"/>
      <c r="P698" s="50"/>
    </row>
    <row r="699" spans="1:24" x14ac:dyDescent="0.25">
      <c r="A699" s="14"/>
      <c r="B699" s="27"/>
      <c r="C699" s="28"/>
      <c r="D699" s="28" t="s">
        <v>12</v>
      </c>
      <c r="E699" s="28"/>
      <c r="F699" s="28"/>
      <c r="G699" s="43" t="e">
        <f>+'Jul-24'!G699+'Aug-24'!G699+'Sep-24'!G699+'Oct-24'!G699+'Nov-24'!G699+'Dec-24'!G699+'Jan-25'!G699+'Feb-25'!G699+#REF!+#REF!+#REF!+'Dec-25'!G699</f>
        <v>#REF!</v>
      </c>
      <c r="H699" s="43" t="e">
        <f>+'Jul-24'!H699+'Aug-24'!H699+'Sep-24'!H699+'Oct-24'!H699+'Nov-24'!H699+'Dec-24'!H699+'Jan-25'!H699+'Feb-25'!H699+#REF!+#REF!+#REF!+'Dec-25'!H699</f>
        <v>#REF!</v>
      </c>
      <c r="I699" s="43" t="e">
        <f>+'Jul-24'!I699+'Aug-24'!I699+'Sep-24'!I699+'Oct-24'!I699+'Nov-24'!I699+'Dec-24'!I699+'Jan-25'!I699+'Feb-25'!I699+#REF!+#REF!+#REF!+'Dec-25'!I699</f>
        <v>#REF!</v>
      </c>
      <c r="J699" s="43" t="e">
        <f>+'Jul-24'!J699+'Aug-24'!J699+'Sep-24'!J699+'Oct-24'!J699+'Nov-24'!J699+'Dec-24'!J699+'Jan-25'!J699+'Feb-25'!J699+#REF!+#REF!+#REF!+'Dec-25'!J699</f>
        <v>#REF!</v>
      </c>
      <c r="K699" s="43" t="e">
        <f>+'Jul-24'!K699+'Aug-24'!K699+'Sep-24'!K699+'Oct-24'!K699+'Nov-24'!K699+'Dec-24'!K699+'Jan-25'!K699+'Feb-25'!K699+#REF!+#REF!+#REF!+'Dec-25'!K699</f>
        <v>#REF!</v>
      </c>
      <c r="L699" s="31" t="e">
        <f t="shared" si="178"/>
        <v>#REF!</v>
      </c>
      <c r="M699" s="31" t="e">
        <f t="shared" si="177"/>
        <v>#REF!</v>
      </c>
      <c r="N699" s="32"/>
      <c r="P699" s="50"/>
    </row>
    <row r="700" spans="1:24" x14ac:dyDescent="0.25">
      <c r="A700" s="14"/>
      <c r="B700" s="27"/>
      <c r="C700" s="28" t="s">
        <v>13</v>
      </c>
      <c r="D700" s="28"/>
      <c r="E700" s="28"/>
      <c r="F700" s="28"/>
      <c r="G700" s="42" t="e">
        <f>+'Jul-24'!G700+'Aug-24'!G700+'Sep-24'!G700+'Oct-24'!G700+'Nov-24'!G700+'Dec-24'!G700+'Jan-25'!G700+'Feb-25'!G700+#REF!+#REF!+#REF!+'Dec-25'!G700</f>
        <v>#REF!</v>
      </c>
      <c r="H700" s="42" t="e">
        <f>+'Jul-24'!H700+'Aug-24'!H700+'Sep-24'!H700+'Oct-24'!H700+'Nov-24'!H700+'Dec-24'!H700+'Jan-25'!H700+'Feb-25'!H700+#REF!+#REF!+#REF!+'Dec-25'!H700</f>
        <v>#REF!</v>
      </c>
      <c r="I700" s="42" t="e">
        <f>+'Jul-24'!I700+'Aug-24'!I700+'Sep-24'!I700+'Oct-24'!I700+'Nov-24'!I700+'Dec-24'!I700+'Jan-25'!I700+'Feb-25'!I700+#REF!+#REF!+#REF!+'Dec-25'!I700</f>
        <v>#REF!</v>
      </c>
      <c r="J700" s="42" t="e">
        <f>+'Jul-24'!J700+'Aug-24'!J700+'Sep-24'!J700+'Oct-24'!J700+'Nov-24'!J700+'Dec-24'!J700+'Jan-25'!J700+'Feb-25'!J700+#REF!+#REF!+#REF!+'Dec-25'!J700</f>
        <v>#REF!</v>
      </c>
      <c r="K700" s="42" t="e">
        <f>+'Jul-24'!K700+'Aug-24'!K700+'Sep-24'!K700+'Oct-24'!K700+'Nov-24'!K700+'Dec-24'!K700+'Jan-25'!K700+'Feb-25'!K700+#REF!+#REF!+#REF!+'Dec-25'!K700</f>
        <v>#REF!</v>
      </c>
      <c r="L700" s="35" t="e">
        <f t="shared" si="178"/>
        <v>#REF!</v>
      </c>
      <c r="M700" s="35" t="e">
        <f t="shared" si="177"/>
        <v>#REF!</v>
      </c>
      <c r="N700" s="32"/>
      <c r="P700" s="50"/>
    </row>
    <row r="701" spans="1:24" x14ac:dyDescent="0.25">
      <c r="A701" s="14"/>
      <c r="B701" s="27"/>
      <c r="C701" s="28" t="s">
        <v>14</v>
      </c>
      <c r="D701" s="28"/>
      <c r="E701" s="28"/>
      <c r="F701" s="28"/>
      <c r="G701" s="42" t="e">
        <f>+'Jul-24'!G701+'Aug-24'!G701+'Sep-24'!G701+'Oct-24'!G701+'Nov-24'!G701+'Dec-24'!G701+'Jan-25'!G701+'Feb-25'!G701+#REF!+#REF!+#REF!+'Dec-25'!G701</f>
        <v>#REF!</v>
      </c>
      <c r="H701" s="42" t="e">
        <f>+'Jul-24'!H701+'Aug-24'!H701+'Sep-24'!H701+'Oct-24'!H701+'Nov-24'!H701+'Dec-24'!H701+'Jan-25'!H701+'Feb-25'!H701+#REF!+#REF!+#REF!+'Dec-25'!H701</f>
        <v>#REF!</v>
      </c>
      <c r="I701" s="42" t="e">
        <f>+'Jul-24'!I701+'Aug-24'!I701+'Sep-24'!I701+'Oct-24'!I701+'Nov-24'!I701+'Dec-24'!I701+'Jan-25'!I701+'Feb-25'!I701+#REF!+#REF!+#REF!+'Dec-25'!I701</f>
        <v>#REF!</v>
      </c>
      <c r="J701" s="42" t="e">
        <f>+'Jul-24'!J701+'Aug-24'!J701+'Sep-24'!J701+'Oct-24'!J701+'Nov-24'!J701+'Dec-24'!J701+'Jan-25'!J701+'Feb-25'!J701+#REF!+#REF!+#REF!+'Dec-25'!J701</f>
        <v>#REF!</v>
      </c>
      <c r="K701" s="42" t="e">
        <f>+'Jul-24'!K701+'Aug-24'!K701+'Sep-24'!K701+'Oct-24'!K701+'Nov-24'!K701+'Dec-24'!K701+'Jan-25'!K701+'Feb-25'!K701+#REF!+#REF!+#REF!+'Dec-25'!K701</f>
        <v>#REF!</v>
      </c>
      <c r="L701" s="35" t="e">
        <f t="shared" si="178"/>
        <v>#REF!</v>
      </c>
      <c r="M701" s="35" t="e">
        <f t="shared" si="177"/>
        <v>#REF!</v>
      </c>
      <c r="N701" s="32"/>
      <c r="P701" s="50"/>
    </row>
    <row r="702" spans="1:24" x14ac:dyDescent="0.25">
      <c r="A702" s="14"/>
      <c r="B702" s="27"/>
      <c r="C702" s="28" t="s">
        <v>4</v>
      </c>
      <c r="D702" s="28"/>
      <c r="E702" s="28"/>
      <c r="F702" s="28"/>
      <c r="G702" s="42" t="e">
        <f>+'Jul-24'!G702+'Aug-24'!G702+'Sep-24'!G702+'Oct-24'!G702+'Nov-24'!G702+'Dec-24'!G702+'Jan-25'!G702+'Feb-25'!G702+#REF!+#REF!+#REF!+'Dec-25'!G702</f>
        <v>#REF!</v>
      </c>
      <c r="H702" s="42" t="e">
        <f>+'Jul-24'!H702+'Aug-24'!H702+'Sep-24'!H702+'Oct-24'!H702+'Nov-24'!H702+'Dec-24'!H702+'Jan-25'!H702+'Feb-25'!H702+#REF!+#REF!+#REF!+'Dec-25'!H702</f>
        <v>#REF!</v>
      </c>
      <c r="I702" s="42" t="e">
        <f>+'Jul-24'!I702+'Aug-24'!I702+'Sep-24'!I702+'Oct-24'!I702+'Nov-24'!I702+'Dec-24'!I702+'Jan-25'!I702+'Feb-25'!I702+#REF!+#REF!+#REF!+'Dec-25'!I702</f>
        <v>#REF!</v>
      </c>
      <c r="J702" s="42" t="e">
        <f>+'Jul-24'!J702+'Aug-24'!J702+'Sep-24'!J702+'Oct-24'!J702+'Nov-24'!J702+'Dec-24'!J702+'Jan-25'!J702+'Feb-25'!J702+#REF!+#REF!+#REF!+'Dec-25'!J702</f>
        <v>#REF!</v>
      </c>
      <c r="K702" s="42" t="e">
        <f>+'Jul-24'!K702+'Aug-24'!K702+'Sep-24'!K702+'Oct-24'!K702+'Nov-24'!K702+'Dec-24'!K702+'Jan-25'!K702+'Feb-25'!K702+#REF!+#REF!+#REF!+'Dec-25'!K702</f>
        <v>#REF!</v>
      </c>
      <c r="L702" s="35" t="e">
        <f t="shared" si="178"/>
        <v>#REF!</v>
      </c>
      <c r="M702" s="35" t="e">
        <f t="shared" si="177"/>
        <v>#REF!</v>
      </c>
      <c r="N702" s="32"/>
      <c r="P702" s="50"/>
    </row>
    <row r="703" spans="1:24" x14ac:dyDescent="0.25">
      <c r="A703" s="14"/>
      <c r="B703" s="27"/>
      <c r="C703" s="28" t="s">
        <v>15</v>
      </c>
      <c r="D703" s="28"/>
      <c r="E703" s="28"/>
      <c r="F703" s="28"/>
      <c r="G703" s="42" t="e">
        <f>+'Jul-24'!G703+'Aug-24'!G703+'Sep-24'!G703+'Oct-24'!G703+'Nov-24'!G703+'Dec-24'!G703+'Jan-25'!G703+'Feb-25'!G703+#REF!+#REF!+#REF!+'Dec-25'!G703</f>
        <v>#REF!</v>
      </c>
      <c r="H703" s="42" t="e">
        <f>+'Jul-24'!H703+'Aug-24'!H703+'Sep-24'!H703+'Oct-24'!H703+'Nov-24'!H703+'Dec-24'!H703+'Jan-25'!H703+'Feb-25'!H703+#REF!+#REF!+#REF!+'Dec-25'!H703</f>
        <v>#REF!</v>
      </c>
      <c r="I703" s="42" t="e">
        <f>+'Jul-24'!I703+'Aug-24'!I703+'Sep-24'!I703+'Oct-24'!I703+'Nov-24'!I703+'Dec-24'!I703+'Jan-25'!I703+'Feb-25'!I703+#REF!+#REF!+#REF!+'Dec-25'!I703</f>
        <v>#REF!</v>
      </c>
      <c r="J703" s="42" t="e">
        <f>+'Jul-24'!J703+'Aug-24'!J703+'Sep-24'!J703+'Oct-24'!J703+'Nov-24'!J703+'Dec-24'!J703+'Jan-25'!J703+'Feb-25'!J703+#REF!+#REF!+#REF!+'Dec-25'!J703</f>
        <v>#REF!</v>
      </c>
      <c r="K703" s="42" t="e">
        <f>+'Jul-24'!K703+'Aug-24'!K703+'Sep-24'!K703+'Oct-24'!K703+'Nov-24'!K703+'Dec-24'!K703+'Jan-25'!K703+'Feb-25'!K703+#REF!+#REF!+#REF!+'Dec-25'!K703</f>
        <v>#REF!</v>
      </c>
      <c r="L703" s="35" t="e">
        <f t="shared" si="178"/>
        <v>#REF!</v>
      </c>
      <c r="M703" s="35" t="e">
        <f t="shared" si="177"/>
        <v>#REF!</v>
      </c>
      <c r="N703" s="32"/>
      <c r="P703" s="50"/>
    </row>
    <row r="704" spans="1:24" x14ac:dyDescent="0.25">
      <c r="A704" s="14"/>
      <c r="B704" s="27"/>
      <c r="C704" s="28" t="s">
        <v>16</v>
      </c>
      <c r="D704" s="28"/>
      <c r="E704" s="28"/>
      <c r="F704" s="28"/>
      <c r="G704" s="42" t="e">
        <f>+'Jul-24'!G704+'Aug-24'!G704+'Sep-24'!G704+'Oct-24'!G704+'Nov-24'!G704+'Dec-24'!G704+'Jan-25'!G704+'Feb-25'!G704+#REF!+#REF!+#REF!+'Dec-25'!G704</f>
        <v>#REF!</v>
      </c>
      <c r="H704" s="42" t="e">
        <f>+'Jul-24'!H704+'Aug-24'!H704+'Sep-24'!H704+'Oct-24'!H704+'Nov-24'!H704+'Dec-24'!H704+'Jan-25'!H704+'Feb-25'!H704+#REF!+#REF!+#REF!+'Dec-25'!H704</f>
        <v>#REF!</v>
      </c>
      <c r="I704" s="42" t="e">
        <f>+'Jul-24'!I704+'Aug-24'!I704+'Sep-24'!I704+'Oct-24'!I704+'Nov-24'!I704+'Dec-24'!I704+'Jan-25'!I704+'Feb-25'!I704+#REF!+#REF!+#REF!+'Dec-25'!I704</f>
        <v>#REF!</v>
      </c>
      <c r="J704" s="42" t="e">
        <f>+'Jul-24'!J704+'Aug-24'!J704+'Sep-24'!J704+'Oct-24'!J704+'Nov-24'!J704+'Dec-24'!J704+'Jan-25'!J704+'Feb-25'!J704+#REF!+#REF!+#REF!+'Dec-25'!J704</f>
        <v>#REF!</v>
      </c>
      <c r="K704" s="42" t="e">
        <f>+'Jul-24'!K704+'Aug-24'!K704+'Sep-24'!K704+'Oct-24'!K704+'Nov-24'!K704+'Dec-24'!K704+'Jan-25'!K704+'Feb-25'!K704+#REF!+#REF!+#REF!+'Dec-25'!K704</f>
        <v>#REF!</v>
      </c>
      <c r="L704" s="35" t="e">
        <f t="shared" si="178"/>
        <v>#REF!</v>
      </c>
      <c r="M704" s="35" t="e">
        <f t="shared" si="177"/>
        <v>#REF!</v>
      </c>
      <c r="N704" s="32"/>
      <c r="P704" s="50"/>
    </row>
    <row r="705" spans="1:24" ht="15.75" thickBot="1" x14ac:dyDescent="0.3">
      <c r="A705" s="14"/>
      <c r="B705" s="36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9"/>
      <c r="P705" s="50"/>
    </row>
    <row r="706" spans="1:24" ht="15.75" thickBot="1" x14ac:dyDescent="0.3">
      <c r="A706" s="14"/>
      <c r="G706" s="33"/>
      <c r="H706" s="33"/>
      <c r="I706" s="33"/>
      <c r="J706" s="33"/>
      <c r="K706" s="33"/>
      <c r="L706" s="33"/>
      <c r="M706" s="33"/>
      <c r="N706" s="33"/>
      <c r="P706" s="50"/>
    </row>
    <row r="707" spans="1:24" x14ac:dyDescent="0.25">
      <c r="A707" s="4">
        <f>+A691+1</f>
        <v>44</v>
      </c>
      <c r="B707" s="40"/>
      <c r="C707" s="6" t="s">
        <v>54</v>
      </c>
      <c r="D707" s="7"/>
      <c r="E707" s="8"/>
      <c r="F707" s="8"/>
      <c r="G707" s="10">
        <f>+$G$3</f>
        <v>2024</v>
      </c>
      <c r="H707" s="10">
        <f>+G707</f>
        <v>2024</v>
      </c>
      <c r="I707" s="10">
        <f t="shared" ref="I707:M708" si="179">+H707</f>
        <v>2024</v>
      </c>
      <c r="J707" s="10">
        <f t="shared" si="179"/>
        <v>2024</v>
      </c>
      <c r="K707" s="10">
        <f t="shared" si="179"/>
        <v>2024</v>
      </c>
      <c r="L707" s="10">
        <f t="shared" si="179"/>
        <v>2024</v>
      </c>
      <c r="M707" s="10">
        <f t="shared" si="179"/>
        <v>2024</v>
      </c>
      <c r="N707" s="11"/>
      <c r="P707" s="51"/>
      <c r="S707" s="12" t="str">
        <f>+C707</f>
        <v>ICBC Details</v>
      </c>
      <c r="T707" s="13" t="e">
        <f>+L711</f>
        <v>#REF!</v>
      </c>
      <c r="U707" s="13" t="e">
        <f>+L712+L713</f>
        <v>#REF!</v>
      </c>
      <c r="V707" s="13" t="e">
        <f>+L714+L715</f>
        <v>#REF!</v>
      </c>
      <c r="W707" s="13" t="e">
        <f>+L718</f>
        <v>#REF!</v>
      </c>
      <c r="X707" s="13" t="e">
        <f>+L716</f>
        <v>#REF!</v>
      </c>
    </row>
    <row r="708" spans="1:24" x14ac:dyDescent="0.25">
      <c r="A708" s="14"/>
      <c r="B708" s="15"/>
      <c r="C708" s="41" t="str">
        <f>+$C692</f>
        <v>Year to Date 2024/2025</v>
      </c>
      <c r="D708" s="18"/>
      <c r="E708" s="18"/>
      <c r="F708" s="18"/>
      <c r="G708" s="20" t="str">
        <f>+$G$4</f>
        <v>Week</v>
      </c>
      <c r="H708" s="20" t="str">
        <f>+G708</f>
        <v>Week</v>
      </c>
      <c r="I708" s="20" t="str">
        <f t="shared" si="179"/>
        <v>Week</v>
      </c>
      <c r="J708" s="20" t="str">
        <f t="shared" si="179"/>
        <v>Week</v>
      </c>
      <c r="K708" s="20" t="str">
        <f t="shared" si="179"/>
        <v>Week</v>
      </c>
      <c r="L708" s="20" t="str">
        <f t="shared" si="179"/>
        <v>Week</v>
      </c>
      <c r="M708" s="20" t="str">
        <f t="shared" si="179"/>
        <v>Week</v>
      </c>
      <c r="N708" s="21"/>
      <c r="P708" s="50"/>
    </row>
    <row r="709" spans="1:24" ht="15.75" thickBot="1" x14ac:dyDescent="0.3">
      <c r="A709" s="14"/>
      <c r="B709" s="22"/>
      <c r="C709" s="23"/>
      <c r="D709" s="23"/>
      <c r="E709" s="23"/>
      <c r="F709" s="23"/>
      <c r="G709" s="25">
        <f>+$G$5</f>
        <v>1</v>
      </c>
      <c r="H709" s="25">
        <f>+$H$5</f>
        <v>2</v>
      </c>
      <c r="I709" s="25">
        <f>+$I$5</f>
        <v>3</v>
      </c>
      <c r="J709" s="25">
        <f>+$J$5</f>
        <v>4</v>
      </c>
      <c r="K709" s="25">
        <f>+$K$5</f>
        <v>5</v>
      </c>
      <c r="L709" s="25" t="s">
        <v>6</v>
      </c>
      <c r="M709" s="25" t="s">
        <v>7</v>
      </c>
      <c r="N709" s="26"/>
      <c r="P709" s="50"/>
    </row>
    <row r="710" spans="1:24" x14ac:dyDescent="0.25">
      <c r="A710" s="14"/>
      <c r="B710" s="27"/>
      <c r="C710" s="28"/>
      <c r="D710" s="28"/>
      <c r="E710" s="28"/>
      <c r="F710" s="28"/>
      <c r="G710" s="29"/>
      <c r="H710" s="29"/>
      <c r="I710" s="29"/>
      <c r="J710" s="29"/>
      <c r="K710" s="28"/>
      <c r="L710" s="28"/>
      <c r="M710" s="28"/>
      <c r="N710" s="30"/>
      <c r="P710" s="50"/>
    </row>
    <row r="711" spans="1:24" x14ac:dyDescent="0.25">
      <c r="A711" s="14"/>
      <c r="B711" s="27"/>
      <c r="C711" s="28" t="s">
        <v>8</v>
      </c>
      <c r="D711" s="28"/>
      <c r="E711" s="28"/>
      <c r="F711" s="28"/>
      <c r="G711" s="31" t="e">
        <f>SUM(G712:G715)</f>
        <v>#REF!</v>
      </c>
      <c r="H711" s="31" t="e">
        <f t="shared" ref="H711:L711" si="180">SUM(H712:H715)</f>
        <v>#REF!</v>
      </c>
      <c r="I711" s="31" t="e">
        <f t="shared" si="180"/>
        <v>#REF!</v>
      </c>
      <c r="J711" s="31" t="e">
        <f t="shared" si="180"/>
        <v>#REF!</v>
      </c>
      <c r="K711" s="31" t="e">
        <f t="shared" si="180"/>
        <v>#REF!</v>
      </c>
      <c r="L711" s="31" t="e">
        <f t="shared" si="180"/>
        <v>#REF!</v>
      </c>
      <c r="M711" s="31" t="e">
        <f>ROUND((L711/$E$1),0)</f>
        <v>#REF!</v>
      </c>
      <c r="N711" s="32"/>
      <c r="P711" s="50"/>
    </row>
    <row r="712" spans="1:24" x14ac:dyDescent="0.25">
      <c r="A712" s="14"/>
      <c r="B712" s="27"/>
      <c r="C712" s="28"/>
      <c r="D712" s="28" t="s">
        <v>9</v>
      </c>
      <c r="E712" s="28"/>
      <c r="F712" s="28"/>
      <c r="G712" s="42" t="e">
        <f>+'Jul-24'!G712+'Aug-24'!G712+'Sep-24'!G712+'Oct-24'!G712+'Nov-24'!G712+'Dec-24'!G712+'Jan-25'!G712+'Feb-25'!G712+#REF!+#REF!+#REF!+'Dec-25'!G712</f>
        <v>#REF!</v>
      </c>
      <c r="H712" s="42" t="e">
        <f>+'Jul-24'!H712+'Aug-24'!H712+'Sep-24'!H712+'Oct-24'!H712+'Nov-24'!H712+'Dec-24'!H712+'Jan-25'!H712+'Feb-25'!H712+#REF!+#REF!+#REF!+'Dec-25'!H712</f>
        <v>#REF!</v>
      </c>
      <c r="I712" s="42" t="e">
        <f>+'Jul-24'!I712+'Aug-24'!I712+'Sep-24'!I712+'Oct-24'!I712+'Nov-24'!I712+'Dec-24'!I712+'Jan-25'!I712+'Feb-25'!I712+#REF!+#REF!+#REF!+'Dec-25'!I712</f>
        <v>#REF!</v>
      </c>
      <c r="J712" s="42" t="e">
        <f>+'Jul-24'!J712+'Aug-24'!J712+'Sep-24'!J712+'Oct-24'!J712+'Nov-24'!J712+'Dec-24'!J712+'Jan-25'!J712+'Feb-25'!J712+#REF!+#REF!+#REF!+'Dec-25'!J712</f>
        <v>#REF!</v>
      </c>
      <c r="K712" s="42" t="e">
        <f>+'Jul-24'!K712+'Aug-24'!K712+'Sep-24'!K712+'Oct-24'!K712+'Nov-24'!K712+'Dec-24'!K712+'Jan-25'!K712+'Feb-25'!K712+#REF!+#REF!+#REF!+'Dec-25'!K712</f>
        <v>#REF!</v>
      </c>
      <c r="L712" s="35" t="e">
        <f>SUM(G712:K712)</f>
        <v>#REF!</v>
      </c>
      <c r="M712" s="35" t="e">
        <f t="shared" ref="M712:M720" si="181">ROUND((L712/$E$1),0)</f>
        <v>#REF!</v>
      </c>
      <c r="N712" s="32"/>
      <c r="P712" s="50"/>
    </row>
    <row r="713" spans="1:24" x14ac:dyDescent="0.25">
      <c r="A713" s="14"/>
      <c r="B713" s="27"/>
      <c r="C713" s="28"/>
      <c r="D713" s="28" t="s">
        <v>10</v>
      </c>
      <c r="E713" s="28"/>
      <c r="F713" s="28"/>
      <c r="G713" s="42" t="e">
        <f>+'Jul-24'!G713+'Aug-24'!G713+'Sep-24'!G713+'Oct-24'!G713+'Nov-24'!G713+'Dec-24'!G713+'Jan-25'!G713+'Feb-25'!G713+#REF!+#REF!+#REF!+'Dec-25'!G713</f>
        <v>#REF!</v>
      </c>
      <c r="H713" s="42" t="e">
        <f>+'Jul-24'!H713+'Aug-24'!H713+'Sep-24'!H713+'Oct-24'!H713+'Nov-24'!H713+'Dec-24'!H713+'Jan-25'!H713+'Feb-25'!H713+#REF!+#REF!+#REF!+'Dec-25'!H713</f>
        <v>#REF!</v>
      </c>
      <c r="I713" s="42" t="e">
        <f>+'Jul-24'!I713+'Aug-24'!I713+'Sep-24'!I713+'Oct-24'!I713+'Nov-24'!I713+'Dec-24'!I713+'Jan-25'!I713+'Feb-25'!I713+#REF!+#REF!+#REF!+'Dec-25'!I713</f>
        <v>#REF!</v>
      </c>
      <c r="J713" s="42" t="e">
        <f>+'Jul-24'!J713+'Aug-24'!J713+'Sep-24'!J713+'Oct-24'!J713+'Nov-24'!J713+'Dec-24'!J713+'Jan-25'!J713+'Feb-25'!J713+#REF!+#REF!+#REF!+'Dec-25'!J713</f>
        <v>#REF!</v>
      </c>
      <c r="K713" s="42" t="e">
        <f>+'Jul-24'!K713+'Aug-24'!K713+'Sep-24'!K713+'Oct-24'!K713+'Nov-24'!K713+'Dec-24'!K713+'Jan-25'!K713+'Feb-25'!K713+#REF!+#REF!+#REF!+'Dec-25'!K713</f>
        <v>#REF!</v>
      </c>
      <c r="L713" s="35" t="e">
        <f t="shared" ref="L713:L720" si="182">SUM(G713:K713)</f>
        <v>#REF!</v>
      </c>
      <c r="M713" s="35" t="e">
        <f t="shared" si="181"/>
        <v>#REF!</v>
      </c>
      <c r="N713" s="32"/>
      <c r="P713" s="50"/>
    </row>
    <row r="714" spans="1:24" x14ac:dyDescent="0.25">
      <c r="A714" s="14"/>
      <c r="B714" s="27"/>
      <c r="C714" s="28"/>
      <c r="D714" s="28" t="s">
        <v>11</v>
      </c>
      <c r="E714" s="28"/>
      <c r="F714" s="28"/>
      <c r="G714" s="42" t="e">
        <f>+'Jul-24'!G714+'Aug-24'!G714+'Sep-24'!G714+'Oct-24'!G714+'Nov-24'!G714+'Dec-24'!G714+'Jan-25'!G714+'Feb-25'!G714+#REF!+#REF!+#REF!+'Dec-25'!G714</f>
        <v>#REF!</v>
      </c>
      <c r="H714" s="42" t="e">
        <f>+'Jul-24'!H714+'Aug-24'!H714+'Sep-24'!H714+'Oct-24'!H714+'Nov-24'!H714+'Dec-24'!H714+'Jan-25'!H714+'Feb-25'!H714+#REF!+#REF!+#REF!+'Dec-25'!H714</f>
        <v>#REF!</v>
      </c>
      <c r="I714" s="42" t="e">
        <f>+'Jul-24'!I714+'Aug-24'!I714+'Sep-24'!I714+'Oct-24'!I714+'Nov-24'!I714+'Dec-24'!I714+'Jan-25'!I714+'Feb-25'!I714+#REF!+#REF!+#REF!+'Dec-25'!I714</f>
        <v>#REF!</v>
      </c>
      <c r="J714" s="42" t="e">
        <f>+'Jul-24'!J714+'Aug-24'!J714+'Sep-24'!J714+'Oct-24'!J714+'Nov-24'!J714+'Dec-24'!J714+'Jan-25'!J714+'Feb-25'!J714+#REF!+#REF!+#REF!+'Dec-25'!J714</f>
        <v>#REF!</v>
      </c>
      <c r="K714" s="42" t="e">
        <f>+'Jul-24'!K714+'Aug-24'!K714+'Sep-24'!K714+'Oct-24'!K714+'Nov-24'!K714+'Dec-24'!K714+'Jan-25'!K714+'Feb-25'!K714+#REF!+#REF!+#REF!+'Dec-25'!K714</f>
        <v>#REF!</v>
      </c>
      <c r="L714" s="35" t="e">
        <f t="shared" si="182"/>
        <v>#REF!</v>
      </c>
      <c r="M714" s="35" t="e">
        <f t="shared" si="181"/>
        <v>#REF!</v>
      </c>
      <c r="N714" s="32"/>
      <c r="P714" s="50"/>
    </row>
    <row r="715" spans="1:24" x14ac:dyDescent="0.25">
      <c r="A715" s="14"/>
      <c r="B715" s="27"/>
      <c r="C715" s="28"/>
      <c r="D715" s="28" t="s">
        <v>12</v>
      </c>
      <c r="E715" s="28"/>
      <c r="F715" s="28"/>
      <c r="G715" s="43" t="e">
        <f>+'Jul-24'!G715+'Aug-24'!G715+'Sep-24'!G715+'Oct-24'!G715+'Nov-24'!G715+'Dec-24'!G715+'Jan-25'!G715+'Feb-25'!G715+#REF!+#REF!+#REF!+'Dec-25'!G715</f>
        <v>#REF!</v>
      </c>
      <c r="H715" s="43" t="e">
        <f>+'Jul-24'!H715+'Aug-24'!H715+'Sep-24'!H715+'Oct-24'!H715+'Nov-24'!H715+'Dec-24'!H715+'Jan-25'!H715+'Feb-25'!H715+#REF!+#REF!+#REF!+'Dec-25'!H715</f>
        <v>#REF!</v>
      </c>
      <c r="I715" s="43" t="e">
        <f>+'Jul-24'!I715+'Aug-24'!I715+'Sep-24'!I715+'Oct-24'!I715+'Nov-24'!I715+'Dec-24'!I715+'Jan-25'!I715+'Feb-25'!I715+#REF!+#REF!+#REF!+'Dec-25'!I715</f>
        <v>#REF!</v>
      </c>
      <c r="J715" s="43" t="e">
        <f>+'Jul-24'!J715+'Aug-24'!J715+'Sep-24'!J715+'Oct-24'!J715+'Nov-24'!J715+'Dec-24'!J715+'Jan-25'!J715+'Feb-25'!J715+#REF!+#REF!+#REF!+'Dec-25'!J715</f>
        <v>#REF!</v>
      </c>
      <c r="K715" s="43" t="e">
        <f>+'Jul-24'!K715+'Aug-24'!K715+'Sep-24'!K715+'Oct-24'!K715+'Nov-24'!K715+'Dec-24'!K715+'Jan-25'!K715+'Feb-25'!K715+#REF!+#REF!+#REF!+'Dec-25'!K715</f>
        <v>#REF!</v>
      </c>
      <c r="L715" s="31" t="e">
        <f t="shared" si="182"/>
        <v>#REF!</v>
      </c>
      <c r="M715" s="31" t="e">
        <f t="shared" si="181"/>
        <v>#REF!</v>
      </c>
      <c r="N715" s="32"/>
      <c r="P715" s="50"/>
    </row>
    <row r="716" spans="1:24" x14ac:dyDescent="0.25">
      <c r="A716" s="14"/>
      <c r="B716" s="27"/>
      <c r="C716" s="28" t="s">
        <v>13</v>
      </c>
      <c r="D716" s="28"/>
      <c r="E716" s="28"/>
      <c r="F716" s="28"/>
      <c r="G716" s="42" t="e">
        <f>+'Jul-24'!G716+'Aug-24'!G716+'Sep-24'!G716+'Oct-24'!G716+'Nov-24'!G716+'Dec-24'!G716+'Jan-25'!G716+'Feb-25'!G716+#REF!+#REF!+#REF!+'Dec-25'!G716</f>
        <v>#REF!</v>
      </c>
      <c r="H716" s="42" t="e">
        <f>+'Jul-24'!H716+'Aug-24'!H716+'Sep-24'!H716+'Oct-24'!H716+'Nov-24'!H716+'Dec-24'!H716+'Jan-25'!H716+'Feb-25'!H716+#REF!+#REF!+#REF!+'Dec-25'!H716</f>
        <v>#REF!</v>
      </c>
      <c r="I716" s="42" t="e">
        <f>+'Jul-24'!I716+'Aug-24'!I716+'Sep-24'!I716+'Oct-24'!I716+'Nov-24'!I716+'Dec-24'!I716+'Jan-25'!I716+'Feb-25'!I716+#REF!+#REF!+#REF!+'Dec-25'!I716</f>
        <v>#REF!</v>
      </c>
      <c r="J716" s="42" t="e">
        <f>+'Jul-24'!J716+'Aug-24'!J716+'Sep-24'!J716+'Oct-24'!J716+'Nov-24'!J716+'Dec-24'!J716+'Jan-25'!J716+'Feb-25'!J716+#REF!+#REF!+#REF!+'Dec-25'!J716</f>
        <v>#REF!</v>
      </c>
      <c r="K716" s="42" t="e">
        <f>+'Jul-24'!K716+'Aug-24'!K716+'Sep-24'!K716+'Oct-24'!K716+'Nov-24'!K716+'Dec-24'!K716+'Jan-25'!K716+'Feb-25'!K716+#REF!+#REF!+#REF!+'Dec-25'!K716</f>
        <v>#REF!</v>
      </c>
      <c r="L716" s="35" t="e">
        <f t="shared" si="182"/>
        <v>#REF!</v>
      </c>
      <c r="M716" s="35" t="e">
        <f t="shared" si="181"/>
        <v>#REF!</v>
      </c>
      <c r="N716" s="32"/>
      <c r="P716" s="50"/>
    </row>
    <row r="717" spans="1:24" x14ac:dyDescent="0.25">
      <c r="A717" s="14"/>
      <c r="B717" s="27"/>
      <c r="C717" s="28" t="s">
        <v>14</v>
      </c>
      <c r="D717" s="28"/>
      <c r="E717" s="28"/>
      <c r="F717" s="28"/>
      <c r="G717" s="42" t="e">
        <f>+'Jul-24'!G717+'Aug-24'!G717+'Sep-24'!G717+'Oct-24'!G717+'Nov-24'!G717+'Dec-24'!G717+'Jan-25'!G717+'Feb-25'!G717+#REF!+#REF!+#REF!+'Dec-25'!G717</f>
        <v>#REF!</v>
      </c>
      <c r="H717" s="42" t="e">
        <f>+'Jul-24'!H717+'Aug-24'!H717+'Sep-24'!H717+'Oct-24'!H717+'Nov-24'!H717+'Dec-24'!H717+'Jan-25'!H717+'Feb-25'!H717+#REF!+#REF!+#REF!+'Dec-25'!H717</f>
        <v>#REF!</v>
      </c>
      <c r="I717" s="42" t="e">
        <f>+'Jul-24'!I717+'Aug-24'!I717+'Sep-24'!I717+'Oct-24'!I717+'Nov-24'!I717+'Dec-24'!I717+'Jan-25'!I717+'Feb-25'!I717+#REF!+#REF!+#REF!+'Dec-25'!I717</f>
        <v>#REF!</v>
      </c>
      <c r="J717" s="42" t="e">
        <f>+'Jul-24'!J717+'Aug-24'!J717+'Sep-24'!J717+'Oct-24'!J717+'Nov-24'!J717+'Dec-24'!J717+'Jan-25'!J717+'Feb-25'!J717+#REF!+#REF!+#REF!+'Dec-25'!J717</f>
        <v>#REF!</v>
      </c>
      <c r="K717" s="42" t="e">
        <f>+'Jul-24'!K717+'Aug-24'!K717+'Sep-24'!K717+'Oct-24'!K717+'Nov-24'!K717+'Dec-24'!K717+'Jan-25'!K717+'Feb-25'!K717+#REF!+#REF!+#REF!+'Dec-25'!K717</f>
        <v>#REF!</v>
      </c>
      <c r="L717" s="35" t="e">
        <f t="shared" si="182"/>
        <v>#REF!</v>
      </c>
      <c r="M717" s="35" t="e">
        <f t="shared" si="181"/>
        <v>#REF!</v>
      </c>
      <c r="N717" s="32"/>
      <c r="P717" s="50"/>
    </row>
    <row r="718" spans="1:24" x14ac:dyDescent="0.25">
      <c r="A718" s="14"/>
      <c r="B718" s="27"/>
      <c r="C718" s="28" t="s">
        <v>4</v>
      </c>
      <c r="D718" s="28"/>
      <c r="E718" s="28"/>
      <c r="F718" s="28"/>
      <c r="G718" s="42" t="e">
        <f>+'Jul-24'!G718+'Aug-24'!G718+'Sep-24'!G718+'Oct-24'!G718+'Nov-24'!G718+'Dec-24'!G718+'Jan-25'!G718+'Feb-25'!G718+#REF!+#REF!+#REF!+'Dec-25'!G718</f>
        <v>#REF!</v>
      </c>
      <c r="H718" s="42" t="e">
        <f>+'Jul-24'!H718+'Aug-24'!H718+'Sep-24'!H718+'Oct-24'!H718+'Nov-24'!H718+'Dec-24'!H718+'Jan-25'!H718+'Feb-25'!H718+#REF!+#REF!+#REF!+'Dec-25'!H718</f>
        <v>#REF!</v>
      </c>
      <c r="I718" s="42" t="e">
        <f>+'Jul-24'!I718+'Aug-24'!I718+'Sep-24'!I718+'Oct-24'!I718+'Nov-24'!I718+'Dec-24'!I718+'Jan-25'!I718+'Feb-25'!I718+#REF!+#REF!+#REF!+'Dec-25'!I718</f>
        <v>#REF!</v>
      </c>
      <c r="J718" s="42" t="e">
        <f>+'Jul-24'!J718+'Aug-24'!J718+'Sep-24'!J718+'Oct-24'!J718+'Nov-24'!J718+'Dec-24'!J718+'Jan-25'!J718+'Feb-25'!J718+#REF!+#REF!+#REF!+'Dec-25'!J718</f>
        <v>#REF!</v>
      </c>
      <c r="K718" s="42" t="e">
        <f>+'Jul-24'!K718+'Aug-24'!K718+'Sep-24'!K718+'Oct-24'!K718+'Nov-24'!K718+'Dec-24'!K718+'Jan-25'!K718+'Feb-25'!K718+#REF!+#REF!+#REF!+'Dec-25'!K718</f>
        <v>#REF!</v>
      </c>
      <c r="L718" s="35" t="e">
        <f t="shared" si="182"/>
        <v>#REF!</v>
      </c>
      <c r="M718" s="35" t="e">
        <f t="shared" si="181"/>
        <v>#REF!</v>
      </c>
      <c r="N718" s="32"/>
      <c r="P718" s="50"/>
    </row>
    <row r="719" spans="1:24" x14ac:dyDescent="0.25">
      <c r="A719" s="14"/>
      <c r="B719" s="27"/>
      <c r="C719" s="28" t="s">
        <v>15</v>
      </c>
      <c r="D719" s="28"/>
      <c r="E719" s="28"/>
      <c r="F719" s="28"/>
      <c r="G719" s="42" t="e">
        <f>+'Jul-24'!G719+'Aug-24'!G719+'Sep-24'!G719+'Oct-24'!G719+'Nov-24'!G719+'Dec-24'!G719+'Jan-25'!G719+'Feb-25'!G719+#REF!+#REF!+#REF!+'Dec-25'!G719</f>
        <v>#REF!</v>
      </c>
      <c r="H719" s="42" t="e">
        <f>+'Jul-24'!H719+'Aug-24'!H719+'Sep-24'!H719+'Oct-24'!H719+'Nov-24'!H719+'Dec-24'!H719+'Jan-25'!H719+'Feb-25'!H719+#REF!+#REF!+#REF!+'Dec-25'!H719</f>
        <v>#REF!</v>
      </c>
      <c r="I719" s="42" t="e">
        <f>+'Jul-24'!I719+'Aug-24'!I719+'Sep-24'!I719+'Oct-24'!I719+'Nov-24'!I719+'Dec-24'!I719+'Jan-25'!I719+'Feb-25'!I719+#REF!+#REF!+#REF!+'Dec-25'!I719</f>
        <v>#REF!</v>
      </c>
      <c r="J719" s="42" t="e">
        <f>+'Jul-24'!J719+'Aug-24'!J719+'Sep-24'!J719+'Oct-24'!J719+'Nov-24'!J719+'Dec-24'!J719+'Jan-25'!J719+'Feb-25'!J719+#REF!+#REF!+#REF!+'Dec-25'!J719</f>
        <v>#REF!</v>
      </c>
      <c r="K719" s="42" t="e">
        <f>+'Jul-24'!K719+'Aug-24'!K719+'Sep-24'!K719+'Oct-24'!K719+'Nov-24'!K719+'Dec-24'!K719+'Jan-25'!K719+'Feb-25'!K719+#REF!+#REF!+#REF!+'Dec-25'!K719</f>
        <v>#REF!</v>
      </c>
      <c r="L719" s="35" t="e">
        <f t="shared" si="182"/>
        <v>#REF!</v>
      </c>
      <c r="M719" s="35" t="e">
        <f t="shared" si="181"/>
        <v>#REF!</v>
      </c>
      <c r="N719" s="32"/>
      <c r="P719" s="50"/>
    </row>
    <row r="720" spans="1:24" x14ac:dyDescent="0.25">
      <c r="A720" s="14"/>
      <c r="B720" s="27"/>
      <c r="C720" s="28" t="s">
        <v>16</v>
      </c>
      <c r="D720" s="28"/>
      <c r="E720" s="28"/>
      <c r="F720" s="28"/>
      <c r="G720" s="42" t="e">
        <f>+'Jul-24'!G720+'Aug-24'!G720+'Sep-24'!G720+'Oct-24'!G720+'Nov-24'!G720+'Dec-24'!G720+'Jan-25'!G720+'Feb-25'!G720+#REF!+#REF!+#REF!+'Dec-25'!G720</f>
        <v>#REF!</v>
      </c>
      <c r="H720" s="42" t="e">
        <f>+'Jul-24'!H720+'Aug-24'!H720+'Sep-24'!H720+'Oct-24'!H720+'Nov-24'!H720+'Dec-24'!H720+'Jan-25'!H720+'Feb-25'!H720+#REF!+#REF!+#REF!+'Dec-25'!H720</f>
        <v>#REF!</v>
      </c>
      <c r="I720" s="42" t="e">
        <f>+'Jul-24'!I720+'Aug-24'!I720+'Sep-24'!I720+'Oct-24'!I720+'Nov-24'!I720+'Dec-24'!I720+'Jan-25'!I720+'Feb-25'!I720+#REF!+#REF!+#REF!+'Dec-25'!I720</f>
        <v>#REF!</v>
      </c>
      <c r="J720" s="42" t="e">
        <f>+'Jul-24'!J720+'Aug-24'!J720+'Sep-24'!J720+'Oct-24'!J720+'Nov-24'!J720+'Dec-24'!J720+'Jan-25'!J720+'Feb-25'!J720+#REF!+#REF!+#REF!+'Dec-25'!J720</f>
        <v>#REF!</v>
      </c>
      <c r="K720" s="42" t="e">
        <f>+'Jul-24'!K720+'Aug-24'!K720+'Sep-24'!K720+'Oct-24'!K720+'Nov-24'!K720+'Dec-24'!K720+'Jan-25'!K720+'Feb-25'!K720+#REF!+#REF!+#REF!+'Dec-25'!K720</f>
        <v>#REF!</v>
      </c>
      <c r="L720" s="35" t="e">
        <f t="shared" si="182"/>
        <v>#REF!</v>
      </c>
      <c r="M720" s="35" t="e">
        <f t="shared" si="181"/>
        <v>#REF!</v>
      </c>
      <c r="N720" s="32"/>
      <c r="P720" s="50"/>
    </row>
    <row r="721" spans="1:24" ht="15.75" thickBot="1" x14ac:dyDescent="0.3">
      <c r="A721" s="14"/>
      <c r="B721" s="36"/>
      <c r="C721" s="37"/>
      <c r="D721" s="37"/>
      <c r="E721" s="37"/>
      <c r="F721" s="37"/>
      <c r="G721" s="38"/>
      <c r="H721" s="38"/>
      <c r="I721" s="38"/>
      <c r="J721" s="38"/>
      <c r="K721" s="38"/>
      <c r="L721" s="38"/>
      <c r="M721" s="38"/>
      <c r="N721" s="39"/>
      <c r="P721" s="50"/>
    </row>
    <row r="722" spans="1:24" ht="15.75" thickBot="1" x14ac:dyDescent="0.3">
      <c r="P722" s="50"/>
    </row>
    <row r="723" spans="1:24" x14ac:dyDescent="0.25">
      <c r="A723" s="4">
        <f>+A707+1</f>
        <v>45</v>
      </c>
      <c r="B723" s="40"/>
      <c r="C723" s="6" t="s">
        <v>54</v>
      </c>
      <c r="D723" s="7"/>
      <c r="E723" s="8"/>
      <c r="F723" s="8"/>
      <c r="G723" s="10">
        <f>+$G$3</f>
        <v>2024</v>
      </c>
      <c r="H723" s="10">
        <f>+G723</f>
        <v>2024</v>
      </c>
      <c r="I723" s="10">
        <f t="shared" ref="I723:M724" si="183">+H723</f>
        <v>2024</v>
      </c>
      <c r="J723" s="10">
        <f t="shared" si="183"/>
        <v>2024</v>
      </c>
      <c r="K723" s="10">
        <f t="shared" si="183"/>
        <v>2024</v>
      </c>
      <c r="L723" s="10">
        <f t="shared" si="183"/>
        <v>2024</v>
      </c>
      <c r="M723" s="10">
        <f t="shared" si="183"/>
        <v>2024</v>
      </c>
      <c r="N723" s="11"/>
      <c r="P723" s="51"/>
      <c r="S723" s="12" t="str">
        <f>+C723</f>
        <v>ICBC Details</v>
      </c>
      <c r="T723" s="13" t="e">
        <f>+L727</f>
        <v>#REF!</v>
      </c>
      <c r="U723" s="13" t="e">
        <f>+L728+L729</f>
        <v>#REF!</v>
      </c>
      <c r="V723" s="13" t="e">
        <f>+L730+L731</f>
        <v>#REF!</v>
      </c>
      <c r="W723" s="13" t="e">
        <f>+L734</f>
        <v>#REF!</v>
      </c>
      <c r="X723" s="13" t="e">
        <f>+L732</f>
        <v>#REF!</v>
      </c>
    </row>
    <row r="724" spans="1:24" x14ac:dyDescent="0.25">
      <c r="A724" s="14"/>
      <c r="B724" s="15"/>
      <c r="C724" s="41" t="str">
        <f>+$C708</f>
        <v>Year to Date 2024/2025</v>
      </c>
      <c r="D724" s="18"/>
      <c r="E724" s="18"/>
      <c r="F724" s="18"/>
      <c r="G724" s="20" t="str">
        <f>+$G$4</f>
        <v>Week</v>
      </c>
      <c r="H724" s="20" t="str">
        <f>+G724</f>
        <v>Week</v>
      </c>
      <c r="I724" s="20" t="str">
        <f t="shared" si="183"/>
        <v>Week</v>
      </c>
      <c r="J724" s="20" t="str">
        <f t="shared" si="183"/>
        <v>Week</v>
      </c>
      <c r="K724" s="20" t="str">
        <f t="shared" si="183"/>
        <v>Week</v>
      </c>
      <c r="L724" s="20" t="str">
        <f t="shared" si="183"/>
        <v>Week</v>
      </c>
      <c r="M724" s="20" t="str">
        <f t="shared" si="183"/>
        <v>Week</v>
      </c>
      <c r="N724" s="21"/>
      <c r="P724" s="50"/>
    </row>
    <row r="725" spans="1:24" ht="15.75" thickBot="1" x14ac:dyDescent="0.3">
      <c r="A725" s="14"/>
      <c r="B725" s="22"/>
      <c r="C725" s="23"/>
      <c r="D725" s="23"/>
      <c r="E725" s="23"/>
      <c r="F725" s="23"/>
      <c r="G725" s="25">
        <f>+$G$5</f>
        <v>1</v>
      </c>
      <c r="H725" s="25">
        <f>+$H$5</f>
        <v>2</v>
      </c>
      <c r="I725" s="25">
        <f>+$I$5</f>
        <v>3</v>
      </c>
      <c r="J725" s="25">
        <f>+$J$5</f>
        <v>4</v>
      </c>
      <c r="K725" s="25">
        <f>+$K$5</f>
        <v>5</v>
      </c>
      <c r="L725" s="25" t="s">
        <v>6</v>
      </c>
      <c r="M725" s="25" t="s">
        <v>7</v>
      </c>
      <c r="N725" s="26"/>
      <c r="P725" s="50"/>
    </row>
    <row r="726" spans="1:24" x14ac:dyDescent="0.25">
      <c r="A726" s="14"/>
      <c r="B726" s="27"/>
      <c r="C726" s="28"/>
      <c r="D726" s="28"/>
      <c r="E726" s="28"/>
      <c r="F726" s="28"/>
      <c r="G726" s="29"/>
      <c r="H726" s="29"/>
      <c r="I726" s="29"/>
      <c r="J726" s="29"/>
      <c r="K726" s="28"/>
      <c r="L726" s="28"/>
      <c r="M726" s="28"/>
      <c r="N726" s="30"/>
      <c r="P726" s="50"/>
    </row>
    <row r="727" spans="1:24" x14ac:dyDescent="0.25">
      <c r="A727" s="14"/>
      <c r="B727" s="27"/>
      <c r="C727" s="28" t="s">
        <v>8</v>
      </c>
      <c r="D727" s="28"/>
      <c r="E727" s="28"/>
      <c r="F727" s="28"/>
      <c r="G727" s="31" t="e">
        <f>SUM(G728:G731)</f>
        <v>#REF!</v>
      </c>
      <c r="H727" s="31" t="e">
        <f t="shared" ref="H727:L727" si="184">SUM(H728:H731)</f>
        <v>#REF!</v>
      </c>
      <c r="I727" s="31" t="e">
        <f t="shared" si="184"/>
        <v>#REF!</v>
      </c>
      <c r="J727" s="31" t="e">
        <f t="shared" si="184"/>
        <v>#REF!</v>
      </c>
      <c r="K727" s="31" t="e">
        <f t="shared" si="184"/>
        <v>#REF!</v>
      </c>
      <c r="L727" s="31" t="e">
        <f t="shared" si="184"/>
        <v>#REF!</v>
      </c>
      <c r="M727" s="31" t="e">
        <f>ROUND((L727/$E$1),0)</f>
        <v>#REF!</v>
      </c>
      <c r="N727" s="32"/>
      <c r="P727" s="50"/>
    </row>
    <row r="728" spans="1:24" x14ac:dyDescent="0.25">
      <c r="A728" s="14"/>
      <c r="B728" s="27"/>
      <c r="C728" s="28"/>
      <c r="D728" s="28" t="s">
        <v>9</v>
      </c>
      <c r="E728" s="28"/>
      <c r="F728" s="28"/>
      <c r="G728" s="42" t="e">
        <f>+'Jul-24'!G728+'Aug-24'!G728+'Sep-24'!G728+'Oct-24'!G728+'Nov-24'!G728+'Dec-24'!G728+'Jan-25'!G728+'Feb-25'!G728+#REF!+#REF!+#REF!+'Dec-25'!G728</f>
        <v>#REF!</v>
      </c>
      <c r="H728" s="42" t="e">
        <f>+'Jul-24'!H728+'Aug-24'!H728+'Sep-24'!H728+'Oct-24'!H728+'Nov-24'!H728+'Dec-24'!H728+'Jan-25'!H728+'Feb-25'!H728+#REF!+#REF!+#REF!+'Dec-25'!H728</f>
        <v>#REF!</v>
      </c>
      <c r="I728" s="42" t="e">
        <f>+'Jul-24'!I728+'Aug-24'!I728+'Sep-24'!I728+'Oct-24'!I728+'Nov-24'!I728+'Dec-24'!I728+'Jan-25'!I728+'Feb-25'!I728+#REF!+#REF!+#REF!+'Dec-25'!I728</f>
        <v>#REF!</v>
      </c>
      <c r="J728" s="42" t="e">
        <f>+'Jul-24'!J728+'Aug-24'!J728+'Sep-24'!J728+'Oct-24'!J728+'Nov-24'!J728+'Dec-24'!J728+'Jan-25'!J728+'Feb-25'!J728+#REF!+#REF!+#REF!+'Dec-25'!J728</f>
        <v>#REF!</v>
      </c>
      <c r="K728" s="42" t="e">
        <f>+'Jul-24'!K728+'Aug-24'!K728+'Sep-24'!K728+'Oct-24'!K728+'Nov-24'!K728+'Dec-24'!K728+'Jan-25'!K728+'Feb-25'!K728+#REF!+#REF!+#REF!+'Dec-25'!K728</f>
        <v>#REF!</v>
      </c>
      <c r="L728" s="35" t="e">
        <f>SUM(G728:K728)</f>
        <v>#REF!</v>
      </c>
      <c r="M728" s="35" t="e">
        <f t="shared" ref="M728:M736" si="185">ROUND((L728/$E$1),0)</f>
        <v>#REF!</v>
      </c>
      <c r="N728" s="32"/>
      <c r="P728" s="50"/>
    </row>
    <row r="729" spans="1:24" x14ac:dyDescent="0.25">
      <c r="A729" s="14"/>
      <c r="B729" s="27"/>
      <c r="C729" s="28"/>
      <c r="D729" s="28" t="s">
        <v>10</v>
      </c>
      <c r="E729" s="28"/>
      <c r="F729" s="28"/>
      <c r="G729" s="42" t="e">
        <f>+'Jul-24'!G729+'Aug-24'!G729+'Sep-24'!G729+'Oct-24'!G729+'Nov-24'!G729+'Dec-24'!G729+'Jan-25'!G729+'Feb-25'!G729+#REF!+#REF!+#REF!+'Dec-25'!G729</f>
        <v>#REF!</v>
      </c>
      <c r="H729" s="42" t="e">
        <f>+'Jul-24'!H729+'Aug-24'!H729+'Sep-24'!H729+'Oct-24'!H729+'Nov-24'!H729+'Dec-24'!H729+'Jan-25'!H729+'Feb-25'!H729+#REF!+#REF!+#REF!+'Dec-25'!H729</f>
        <v>#REF!</v>
      </c>
      <c r="I729" s="42" t="e">
        <f>+'Jul-24'!I729+'Aug-24'!I729+'Sep-24'!I729+'Oct-24'!I729+'Nov-24'!I729+'Dec-24'!I729+'Jan-25'!I729+'Feb-25'!I729+#REF!+#REF!+#REF!+'Dec-25'!I729</f>
        <v>#REF!</v>
      </c>
      <c r="J729" s="42" t="e">
        <f>+'Jul-24'!J729+'Aug-24'!J729+'Sep-24'!J729+'Oct-24'!J729+'Nov-24'!J729+'Dec-24'!J729+'Jan-25'!J729+'Feb-25'!J729+#REF!+#REF!+#REF!+'Dec-25'!J729</f>
        <v>#REF!</v>
      </c>
      <c r="K729" s="42" t="e">
        <f>+'Jul-24'!K729+'Aug-24'!K729+'Sep-24'!K729+'Oct-24'!K729+'Nov-24'!K729+'Dec-24'!K729+'Jan-25'!K729+'Feb-25'!K729+#REF!+#REF!+#REF!+'Dec-25'!K729</f>
        <v>#REF!</v>
      </c>
      <c r="L729" s="35" t="e">
        <f t="shared" ref="L729:L736" si="186">SUM(G729:K729)</f>
        <v>#REF!</v>
      </c>
      <c r="M729" s="35" t="e">
        <f t="shared" si="185"/>
        <v>#REF!</v>
      </c>
      <c r="N729" s="32"/>
      <c r="P729" s="50"/>
    </row>
    <row r="730" spans="1:24" x14ac:dyDescent="0.25">
      <c r="A730" s="14"/>
      <c r="B730" s="27"/>
      <c r="C730" s="28"/>
      <c r="D730" s="28" t="s">
        <v>11</v>
      </c>
      <c r="E730" s="28"/>
      <c r="F730" s="28"/>
      <c r="G730" s="42" t="e">
        <f>+'Jul-24'!G730+'Aug-24'!G730+'Sep-24'!G730+'Oct-24'!G730+'Nov-24'!G730+'Dec-24'!G730+'Jan-25'!G730+'Feb-25'!G730+#REF!+#REF!+#REF!+'Dec-25'!G730</f>
        <v>#REF!</v>
      </c>
      <c r="H730" s="42" t="e">
        <f>+'Jul-24'!H730+'Aug-24'!H730+'Sep-24'!H730+'Oct-24'!H730+'Nov-24'!H730+'Dec-24'!H730+'Jan-25'!H730+'Feb-25'!H730+#REF!+#REF!+#REF!+'Dec-25'!H730</f>
        <v>#REF!</v>
      </c>
      <c r="I730" s="42" t="e">
        <f>+'Jul-24'!I730+'Aug-24'!I730+'Sep-24'!I730+'Oct-24'!I730+'Nov-24'!I730+'Dec-24'!I730+'Jan-25'!I730+'Feb-25'!I730+#REF!+#REF!+#REF!+'Dec-25'!I730</f>
        <v>#REF!</v>
      </c>
      <c r="J730" s="42" t="e">
        <f>+'Jul-24'!J730+'Aug-24'!J730+'Sep-24'!J730+'Oct-24'!J730+'Nov-24'!J730+'Dec-24'!J730+'Jan-25'!J730+'Feb-25'!J730+#REF!+#REF!+#REF!+'Dec-25'!J730</f>
        <v>#REF!</v>
      </c>
      <c r="K730" s="42" t="e">
        <f>+'Jul-24'!K730+'Aug-24'!K730+'Sep-24'!K730+'Oct-24'!K730+'Nov-24'!K730+'Dec-24'!K730+'Jan-25'!K730+'Feb-25'!K730+#REF!+#REF!+#REF!+'Dec-25'!K730</f>
        <v>#REF!</v>
      </c>
      <c r="L730" s="35" t="e">
        <f t="shared" si="186"/>
        <v>#REF!</v>
      </c>
      <c r="M730" s="35" t="e">
        <f t="shared" si="185"/>
        <v>#REF!</v>
      </c>
      <c r="N730" s="32"/>
      <c r="P730" s="50"/>
    </row>
    <row r="731" spans="1:24" x14ac:dyDescent="0.25">
      <c r="A731" s="14"/>
      <c r="B731" s="27"/>
      <c r="C731" s="28"/>
      <c r="D731" s="28" t="s">
        <v>12</v>
      </c>
      <c r="E731" s="28"/>
      <c r="F731" s="28"/>
      <c r="G731" s="43" t="e">
        <f>+'Jul-24'!G731+'Aug-24'!G731+'Sep-24'!G731+'Oct-24'!G731+'Nov-24'!G731+'Dec-24'!G731+'Jan-25'!G731+'Feb-25'!G731+#REF!+#REF!+#REF!+'Dec-25'!G731</f>
        <v>#REF!</v>
      </c>
      <c r="H731" s="43" t="e">
        <f>+'Jul-24'!H731+'Aug-24'!H731+'Sep-24'!H731+'Oct-24'!H731+'Nov-24'!H731+'Dec-24'!H731+'Jan-25'!H731+'Feb-25'!H731+#REF!+#REF!+#REF!+'Dec-25'!H731</f>
        <v>#REF!</v>
      </c>
      <c r="I731" s="43" t="e">
        <f>+'Jul-24'!I731+'Aug-24'!I731+'Sep-24'!I731+'Oct-24'!I731+'Nov-24'!I731+'Dec-24'!I731+'Jan-25'!I731+'Feb-25'!I731+#REF!+#REF!+#REF!+'Dec-25'!I731</f>
        <v>#REF!</v>
      </c>
      <c r="J731" s="43" t="e">
        <f>+'Jul-24'!J731+'Aug-24'!J731+'Sep-24'!J731+'Oct-24'!J731+'Nov-24'!J731+'Dec-24'!J731+'Jan-25'!J731+'Feb-25'!J731+#REF!+#REF!+#REF!+'Dec-25'!J731</f>
        <v>#REF!</v>
      </c>
      <c r="K731" s="43" t="e">
        <f>+'Jul-24'!K731+'Aug-24'!K731+'Sep-24'!K731+'Oct-24'!K731+'Nov-24'!K731+'Dec-24'!K731+'Jan-25'!K731+'Feb-25'!K731+#REF!+#REF!+#REF!+'Dec-25'!K731</f>
        <v>#REF!</v>
      </c>
      <c r="L731" s="31" t="e">
        <f t="shared" si="186"/>
        <v>#REF!</v>
      </c>
      <c r="M731" s="31" t="e">
        <f t="shared" si="185"/>
        <v>#REF!</v>
      </c>
      <c r="N731" s="32"/>
      <c r="P731" s="50"/>
    </row>
    <row r="732" spans="1:24" x14ac:dyDescent="0.25">
      <c r="A732" s="14"/>
      <c r="B732" s="27"/>
      <c r="C732" s="28" t="s">
        <v>13</v>
      </c>
      <c r="D732" s="28"/>
      <c r="E732" s="28"/>
      <c r="F732" s="28"/>
      <c r="G732" s="42" t="e">
        <f>+'Jul-24'!G732+'Aug-24'!G732+'Sep-24'!G732+'Oct-24'!G732+'Nov-24'!G732+'Dec-24'!G732+'Jan-25'!G732+'Feb-25'!G732+#REF!+#REF!+#REF!+'Dec-25'!G732</f>
        <v>#REF!</v>
      </c>
      <c r="H732" s="42" t="e">
        <f>+'Jul-24'!H732+'Aug-24'!H732+'Sep-24'!H732+'Oct-24'!H732+'Nov-24'!H732+'Dec-24'!H732+'Jan-25'!H732+'Feb-25'!H732+#REF!+#REF!+#REF!+'Dec-25'!H732</f>
        <v>#REF!</v>
      </c>
      <c r="I732" s="42" t="e">
        <f>+'Jul-24'!I732+'Aug-24'!I732+'Sep-24'!I732+'Oct-24'!I732+'Nov-24'!I732+'Dec-24'!I732+'Jan-25'!I732+'Feb-25'!I732+#REF!+#REF!+#REF!+'Dec-25'!I732</f>
        <v>#REF!</v>
      </c>
      <c r="J732" s="42" t="e">
        <f>+'Jul-24'!J732+'Aug-24'!J732+'Sep-24'!J732+'Oct-24'!J732+'Nov-24'!J732+'Dec-24'!J732+'Jan-25'!J732+'Feb-25'!J732+#REF!+#REF!+#REF!+'Dec-25'!J732</f>
        <v>#REF!</v>
      </c>
      <c r="K732" s="42" t="e">
        <f>+'Jul-24'!K732+'Aug-24'!K732+'Sep-24'!K732+'Oct-24'!K732+'Nov-24'!K732+'Dec-24'!K732+'Jan-25'!K732+'Feb-25'!K732+#REF!+#REF!+#REF!+'Dec-25'!K732</f>
        <v>#REF!</v>
      </c>
      <c r="L732" s="35" t="e">
        <f t="shared" si="186"/>
        <v>#REF!</v>
      </c>
      <c r="M732" s="35" t="e">
        <f t="shared" si="185"/>
        <v>#REF!</v>
      </c>
      <c r="N732" s="32"/>
      <c r="P732" s="50"/>
    </row>
    <row r="733" spans="1:24" x14ac:dyDescent="0.25">
      <c r="A733" s="14"/>
      <c r="B733" s="27"/>
      <c r="C733" s="28" t="s">
        <v>14</v>
      </c>
      <c r="D733" s="28"/>
      <c r="E733" s="28"/>
      <c r="F733" s="28"/>
      <c r="G733" s="42" t="e">
        <f>+'Jul-24'!G733+'Aug-24'!G733+'Sep-24'!G733+'Oct-24'!G733+'Nov-24'!G733+'Dec-24'!G733+'Jan-25'!G733+'Feb-25'!G733+#REF!+#REF!+#REF!+'Dec-25'!G733</f>
        <v>#REF!</v>
      </c>
      <c r="H733" s="42" t="e">
        <f>+'Jul-24'!H733+'Aug-24'!H733+'Sep-24'!H733+'Oct-24'!H733+'Nov-24'!H733+'Dec-24'!H733+'Jan-25'!H733+'Feb-25'!H733+#REF!+#REF!+#REF!+'Dec-25'!H733</f>
        <v>#REF!</v>
      </c>
      <c r="I733" s="42" t="e">
        <f>+'Jul-24'!I733+'Aug-24'!I733+'Sep-24'!I733+'Oct-24'!I733+'Nov-24'!I733+'Dec-24'!I733+'Jan-25'!I733+'Feb-25'!I733+#REF!+#REF!+#REF!+'Dec-25'!I733</f>
        <v>#REF!</v>
      </c>
      <c r="J733" s="42" t="e">
        <f>+'Jul-24'!J733+'Aug-24'!J733+'Sep-24'!J733+'Oct-24'!J733+'Nov-24'!J733+'Dec-24'!J733+'Jan-25'!J733+'Feb-25'!J733+#REF!+#REF!+#REF!+'Dec-25'!J733</f>
        <v>#REF!</v>
      </c>
      <c r="K733" s="42" t="e">
        <f>+'Jul-24'!K733+'Aug-24'!K733+'Sep-24'!K733+'Oct-24'!K733+'Nov-24'!K733+'Dec-24'!K733+'Jan-25'!K733+'Feb-25'!K733+#REF!+#REF!+#REF!+'Dec-25'!K733</f>
        <v>#REF!</v>
      </c>
      <c r="L733" s="35" t="e">
        <f t="shared" si="186"/>
        <v>#REF!</v>
      </c>
      <c r="M733" s="35" t="e">
        <f t="shared" si="185"/>
        <v>#REF!</v>
      </c>
      <c r="N733" s="32"/>
      <c r="P733" s="50"/>
    </row>
    <row r="734" spans="1:24" x14ac:dyDescent="0.25">
      <c r="A734" s="14"/>
      <c r="B734" s="27"/>
      <c r="C734" s="28" t="s">
        <v>4</v>
      </c>
      <c r="D734" s="28"/>
      <c r="E734" s="28"/>
      <c r="F734" s="28"/>
      <c r="G734" s="42" t="e">
        <f>+'Jul-24'!G734+'Aug-24'!G734+'Sep-24'!G734+'Oct-24'!G734+'Nov-24'!G734+'Dec-24'!G734+'Jan-25'!G734+'Feb-25'!G734+#REF!+#REF!+#REF!+'Dec-25'!G734</f>
        <v>#REF!</v>
      </c>
      <c r="H734" s="42" t="e">
        <f>+'Jul-24'!H734+'Aug-24'!H734+'Sep-24'!H734+'Oct-24'!H734+'Nov-24'!H734+'Dec-24'!H734+'Jan-25'!H734+'Feb-25'!H734+#REF!+#REF!+#REF!+'Dec-25'!H734</f>
        <v>#REF!</v>
      </c>
      <c r="I734" s="42" t="e">
        <f>+'Jul-24'!I734+'Aug-24'!I734+'Sep-24'!I734+'Oct-24'!I734+'Nov-24'!I734+'Dec-24'!I734+'Jan-25'!I734+'Feb-25'!I734+#REF!+#REF!+#REF!+'Dec-25'!I734</f>
        <v>#REF!</v>
      </c>
      <c r="J734" s="42" t="e">
        <f>+'Jul-24'!J734+'Aug-24'!J734+'Sep-24'!J734+'Oct-24'!J734+'Nov-24'!J734+'Dec-24'!J734+'Jan-25'!J734+'Feb-25'!J734+#REF!+#REF!+#REF!+'Dec-25'!J734</f>
        <v>#REF!</v>
      </c>
      <c r="K734" s="42" t="e">
        <f>+'Jul-24'!K734+'Aug-24'!K734+'Sep-24'!K734+'Oct-24'!K734+'Nov-24'!K734+'Dec-24'!K734+'Jan-25'!K734+'Feb-25'!K734+#REF!+#REF!+#REF!+'Dec-25'!K734</f>
        <v>#REF!</v>
      </c>
      <c r="L734" s="35" t="e">
        <f t="shared" si="186"/>
        <v>#REF!</v>
      </c>
      <c r="M734" s="35" t="e">
        <f t="shared" si="185"/>
        <v>#REF!</v>
      </c>
      <c r="N734" s="32"/>
      <c r="P734" s="50"/>
    </row>
    <row r="735" spans="1:24" x14ac:dyDescent="0.25">
      <c r="A735" s="14"/>
      <c r="B735" s="27"/>
      <c r="C735" s="28" t="s">
        <v>15</v>
      </c>
      <c r="D735" s="28"/>
      <c r="E735" s="28"/>
      <c r="F735" s="28"/>
      <c r="G735" s="42" t="e">
        <f>+'Jul-24'!G735+'Aug-24'!G735+'Sep-24'!G735+'Oct-24'!G735+'Nov-24'!G735+'Dec-24'!G735+'Jan-25'!G735+'Feb-25'!G735+#REF!+#REF!+#REF!+'Dec-25'!G735</f>
        <v>#REF!</v>
      </c>
      <c r="H735" s="42" t="e">
        <f>+'Jul-24'!H735+'Aug-24'!H735+'Sep-24'!H735+'Oct-24'!H735+'Nov-24'!H735+'Dec-24'!H735+'Jan-25'!H735+'Feb-25'!H735+#REF!+#REF!+#REF!+'Dec-25'!H735</f>
        <v>#REF!</v>
      </c>
      <c r="I735" s="42" t="e">
        <f>+'Jul-24'!I735+'Aug-24'!I735+'Sep-24'!I735+'Oct-24'!I735+'Nov-24'!I735+'Dec-24'!I735+'Jan-25'!I735+'Feb-25'!I735+#REF!+#REF!+#REF!+'Dec-25'!I735</f>
        <v>#REF!</v>
      </c>
      <c r="J735" s="42" t="e">
        <f>+'Jul-24'!J735+'Aug-24'!J735+'Sep-24'!J735+'Oct-24'!J735+'Nov-24'!J735+'Dec-24'!J735+'Jan-25'!J735+'Feb-25'!J735+#REF!+#REF!+#REF!+'Dec-25'!J735</f>
        <v>#REF!</v>
      </c>
      <c r="K735" s="42" t="e">
        <f>+'Jul-24'!K735+'Aug-24'!K735+'Sep-24'!K735+'Oct-24'!K735+'Nov-24'!K735+'Dec-24'!K735+'Jan-25'!K735+'Feb-25'!K735+#REF!+#REF!+#REF!+'Dec-25'!K735</f>
        <v>#REF!</v>
      </c>
      <c r="L735" s="35" t="e">
        <f t="shared" si="186"/>
        <v>#REF!</v>
      </c>
      <c r="M735" s="35" t="e">
        <f t="shared" si="185"/>
        <v>#REF!</v>
      </c>
      <c r="N735" s="32"/>
      <c r="P735" s="50"/>
    </row>
    <row r="736" spans="1:24" x14ac:dyDescent="0.25">
      <c r="A736" s="14"/>
      <c r="B736" s="27"/>
      <c r="C736" s="28" t="s">
        <v>16</v>
      </c>
      <c r="D736" s="28"/>
      <c r="E736" s="28"/>
      <c r="F736" s="28"/>
      <c r="G736" s="42" t="e">
        <f>+'Jul-24'!G736+'Aug-24'!G736+'Sep-24'!G736+'Oct-24'!G736+'Nov-24'!G736+'Dec-24'!G736+'Jan-25'!G736+'Feb-25'!G736+#REF!+#REF!+#REF!+'Dec-25'!G736</f>
        <v>#REF!</v>
      </c>
      <c r="H736" s="42" t="e">
        <f>+'Jul-24'!H736+'Aug-24'!H736+'Sep-24'!H736+'Oct-24'!H736+'Nov-24'!H736+'Dec-24'!H736+'Jan-25'!H736+'Feb-25'!H736+#REF!+#REF!+#REF!+'Dec-25'!H736</f>
        <v>#REF!</v>
      </c>
      <c r="I736" s="42" t="e">
        <f>+'Jul-24'!I736+'Aug-24'!I736+'Sep-24'!I736+'Oct-24'!I736+'Nov-24'!I736+'Dec-24'!I736+'Jan-25'!I736+'Feb-25'!I736+#REF!+#REF!+#REF!+'Dec-25'!I736</f>
        <v>#REF!</v>
      </c>
      <c r="J736" s="42" t="e">
        <f>+'Jul-24'!J736+'Aug-24'!J736+'Sep-24'!J736+'Oct-24'!J736+'Nov-24'!J736+'Dec-24'!J736+'Jan-25'!J736+'Feb-25'!J736+#REF!+#REF!+#REF!+'Dec-25'!J736</f>
        <v>#REF!</v>
      </c>
      <c r="K736" s="42" t="e">
        <f>+'Jul-24'!K736+'Aug-24'!K736+'Sep-24'!K736+'Oct-24'!K736+'Nov-24'!K736+'Dec-24'!K736+'Jan-25'!K736+'Feb-25'!K736+#REF!+#REF!+#REF!+'Dec-25'!K736</f>
        <v>#REF!</v>
      </c>
      <c r="L736" s="35" t="e">
        <f t="shared" si="186"/>
        <v>#REF!</v>
      </c>
      <c r="M736" s="35" t="e">
        <f t="shared" si="185"/>
        <v>#REF!</v>
      </c>
      <c r="N736" s="32"/>
      <c r="P736" s="50"/>
    </row>
    <row r="737" spans="1:24" ht="15.75" thickBot="1" x14ac:dyDescent="0.3">
      <c r="A737" s="14"/>
      <c r="B737" s="36"/>
      <c r="C737" s="37"/>
      <c r="D737" s="37"/>
      <c r="E737" s="37"/>
      <c r="F737" s="37"/>
      <c r="G737" s="38"/>
      <c r="H737" s="38"/>
      <c r="I737" s="38"/>
      <c r="J737" s="38"/>
      <c r="K737" s="38"/>
      <c r="L737" s="38"/>
      <c r="M737" s="38"/>
      <c r="N737" s="39"/>
      <c r="P737" s="50"/>
    </row>
    <row r="738" spans="1:24" ht="15.75" thickBot="1" x14ac:dyDescent="0.3">
      <c r="A738" s="14"/>
      <c r="G738" s="33"/>
      <c r="H738" s="33"/>
      <c r="I738" s="33"/>
      <c r="J738" s="33"/>
      <c r="K738" s="33"/>
      <c r="L738" s="33"/>
      <c r="M738" s="33"/>
      <c r="N738" s="33"/>
      <c r="P738" s="50"/>
    </row>
    <row r="739" spans="1:24" x14ac:dyDescent="0.25">
      <c r="A739" s="4">
        <f>+A723+1</f>
        <v>46</v>
      </c>
      <c r="B739" s="5"/>
      <c r="C739" s="6" t="s">
        <v>54</v>
      </c>
      <c r="D739" s="7"/>
      <c r="E739" s="8"/>
      <c r="F739" s="8"/>
      <c r="G739" s="10">
        <f>+$G$3</f>
        <v>2024</v>
      </c>
      <c r="H739" s="10">
        <f>+G739</f>
        <v>2024</v>
      </c>
      <c r="I739" s="10">
        <f t="shared" ref="I739:M740" si="187">+H739</f>
        <v>2024</v>
      </c>
      <c r="J739" s="10">
        <f t="shared" si="187"/>
        <v>2024</v>
      </c>
      <c r="K739" s="10">
        <f t="shared" si="187"/>
        <v>2024</v>
      </c>
      <c r="L739" s="10">
        <f t="shared" si="187"/>
        <v>2024</v>
      </c>
      <c r="M739" s="10">
        <f t="shared" si="187"/>
        <v>2024</v>
      </c>
      <c r="N739" s="11"/>
      <c r="P739" s="51"/>
      <c r="S739" s="12" t="str">
        <f>+C739</f>
        <v>ICBC Details</v>
      </c>
      <c r="T739" s="13" t="e">
        <f>+L743</f>
        <v>#REF!</v>
      </c>
      <c r="U739" s="13" t="e">
        <f>+L744+L745</f>
        <v>#REF!</v>
      </c>
      <c r="V739" s="13" t="e">
        <f>+L746+L747</f>
        <v>#REF!</v>
      </c>
      <c r="W739" s="13" t="e">
        <f>+L750</f>
        <v>#REF!</v>
      </c>
      <c r="X739" s="13" t="e">
        <f>+L748</f>
        <v>#REF!</v>
      </c>
    </row>
    <row r="740" spans="1:24" x14ac:dyDescent="0.25">
      <c r="A740" s="14"/>
      <c r="B740" s="15"/>
      <c r="C740" s="41" t="str">
        <f>+$C724</f>
        <v>Year to Date 2024/2025</v>
      </c>
      <c r="D740" s="18"/>
      <c r="E740" s="18"/>
      <c r="F740" s="18"/>
      <c r="G740" s="20" t="str">
        <f>+$G$4</f>
        <v>Week</v>
      </c>
      <c r="H740" s="20" t="str">
        <f>+G740</f>
        <v>Week</v>
      </c>
      <c r="I740" s="20" t="str">
        <f t="shared" si="187"/>
        <v>Week</v>
      </c>
      <c r="J740" s="20" t="str">
        <f t="shared" si="187"/>
        <v>Week</v>
      </c>
      <c r="K740" s="20" t="str">
        <f t="shared" si="187"/>
        <v>Week</v>
      </c>
      <c r="L740" s="20" t="str">
        <f t="shared" si="187"/>
        <v>Week</v>
      </c>
      <c r="M740" s="20" t="str">
        <f t="shared" si="187"/>
        <v>Week</v>
      </c>
      <c r="N740" s="21"/>
      <c r="P740" s="50"/>
    </row>
    <row r="741" spans="1:24" ht="15.75" thickBot="1" x14ac:dyDescent="0.3">
      <c r="A741" s="14"/>
      <c r="B741" s="22"/>
      <c r="C741" s="23"/>
      <c r="D741" s="23"/>
      <c r="E741" s="23"/>
      <c r="F741" s="23"/>
      <c r="G741" s="25">
        <f>+$G$5</f>
        <v>1</v>
      </c>
      <c r="H741" s="25">
        <f>+$H$5</f>
        <v>2</v>
      </c>
      <c r="I741" s="25">
        <f>+$I$5</f>
        <v>3</v>
      </c>
      <c r="J741" s="25">
        <f>+$J$5</f>
        <v>4</v>
      </c>
      <c r="K741" s="25">
        <f>+$K$5</f>
        <v>5</v>
      </c>
      <c r="L741" s="25" t="s">
        <v>6</v>
      </c>
      <c r="M741" s="25" t="s">
        <v>7</v>
      </c>
      <c r="N741" s="26"/>
      <c r="P741" s="50"/>
    </row>
    <row r="742" spans="1:24" x14ac:dyDescent="0.25">
      <c r="A742" s="14"/>
      <c r="B742" s="27"/>
      <c r="C742" s="28"/>
      <c r="D742" s="28"/>
      <c r="E742" s="28"/>
      <c r="F742" s="28"/>
      <c r="G742" s="29"/>
      <c r="H742" s="29"/>
      <c r="I742" s="29"/>
      <c r="J742" s="29"/>
      <c r="K742" s="28"/>
      <c r="L742" s="28"/>
      <c r="M742" s="28"/>
      <c r="N742" s="30"/>
      <c r="P742" s="50"/>
    </row>
    <row r="743" spans="1:24" x14ac:dyDescent="0.25">
      <c r="A743" s="14"/>
      <c r="B743" s="27"/>
      <c r="C743" s="28" t="s">
        <v>8</v>
      </c>
      <c r="D743" s="28"/>
      <c r="E743" s="28"/>
      <c r="F743" s="28"/>
      <c r="G743" s="31" t="e">
        <f>SUM(G744:G747)</f>
        <v>#REF!</v>
      </c>
      <c r="H743" s="31" t="e">
        <f t="shared" ref="H743:L743" si="188">SUM(H744:H747)</f>
        <v>#REF!</v>
      </c>
      <c r="I743" s="31" t="e">
        <f t="shared" si="188"/>
        <v>#REF!</v>
      </c>
      <c r="J743" s="31" t="e">
        <f t="shared" si="188"/>
        <v>#REF!</v>
      </c>
      <c r="K743" s="31" t="e">
        <f t="shared" si="188"/>
        <v>#REF!</v>
      </c>
      <c r="L743" s="31" t="e">
        <f t="shared" si="188"/>
        <v>#REF!</v>
      </c>
      <c r="M743" s="31" t="e">
        <f>ROUND((L743/$E$1),0)</f>
        <v>#REF!</v>
      </c>
      <c r="N743" s="32"/>
      <c r="P743" s="50"/>
    </row>
    <row r="744" spans="1:24" x14ac:dyDescent="0.25">
      <c r="A744" s="14"/>
      <c r="B744" s="27"/>
      <c r="C744" s="28"/>
      <c r="D744" s="28" t="s">
        <v>9</v>
      </c>
      <c r="E744" s="28"/>
      <c r="F744" s="28"/>
      <c r="G744" s="42" t="e">
        <f>+'Jul-24'!G744+'Aug-24'!G744+'Sep-24'!G744+'Oct-24'!G744+'Nov-24'!G744+'Dec-24'!G744+'Jan-25'!G744+'Feb-25'!G744+#REF!+#REF!+#REF!+'Dec-25'!G744</f>
        <v>#REF!</v>
      </c>
      <c r="H744" s="42" t="e">
        <f>+'Jul-24'!H744+'Aug-24'!H744+'Sep-24'!H744+'Oct-24'!H744+'Nov-24'!H744+'Dec-24'!H744+'Jan-25'!H744+'Feb-25'!H744+#REF!+#REF!+#REF!+'Dec-25'!H744</f>
        <v>#REF!</v>
      </c>
      <c r="I744" s="42" t="e">
        <f>+'Jul-24'!I744+'Aug-24'!I744+'Sep-24'!I744+'Oct-24'!I744+'Nov-24'!I744+'Dec-24'!I744+'Jan-25'!I744+'Feb-25'!I744+#REF!+#REF!+#REF!+'Dec-25'!I744</f>
        <v>#REF!</v>
      </c>
      <c r="J744" s="42" t="e">
        <f>+'Jul-24'!J744+'Aug-24'!J744+'Sep-24'!J744+'Oct-24'!J744+'Nov-24'!J744+'Dec-24'!J744+'Jan-25'!J744+'Feb-25'!J744+#REF!+#REF!+#REF!+'Dec-25'!J744</f>
        <v>#REF!</v>
      </c>
      <c r="K744" s="42" t="e">
        <f>+'Jul-24'!K744+'Aug-24'!K744+'Sep-24'!K744+'Oct-24'!K744+'Nov-24'!K744+'Dec-24'!K744+'Jan-25'!K744+'Feb-25'!K744+#REF!+#REF!+#REF!+'Dec-25'!K744</f>
        <v>#REF!</v>
      </c>
      <c r="L744" s="35" t="e">
        <f>SUM(G744:K744)</f>
        <v>#REF!</v>
      </c>
      <c r="M744" s="35" t="e">
        <f t="shared" ref="M744:M752" si="189">ROUND((L744/$E$1),0)</f>
        <v>#REF!</v>
      </c>
      <c r="N744" s="32"/>
      <c r="P744" s="50"/>
    </row>
    <row r="745" spans="1:24" x14ac:dyDescent="0.25">
      <c r="A745" s="14"/>
      <c r="B745" s="27"/>
      <c r="C745" s="28"/>
      <c r="D745" s="28" t="s">
        <v>10</v>
      </c>
      <c r="E745" s="28"/>
      <c r="F745" s="28"/>
      <c r="G745" s="42" t="e">
        <f>+'Jul-24'!G745+'Aug-24'!G745+'Sep-24'!G745+'Oct-24'!G745+'Nov-24'!G745+'Dec-24'!G745+'Jan-25'!G745+'Feb-25'!G745+#REF!+#REF!+#REF!+'Dec-25'!G745</f>
        <v>#REF!</v>
      </c>
      <c r="H745" s="42" t="e">
        <f>+'Jul-24'!H745+'Aug-24'!H745+'Sep-24'!H745+'Oct-24'!H745+'Nov-24'!H745+'Dec-24'!H745+'Jan-25'!H745+'Feb-25'!H745+#REF!+#REF!+#REF!+'Dec-25'!H745</f>
        <v>#REF!</v>
      </c>
      <c r="I745" s="42" t="e">
        <f>+'Jul-24'!I745+'Aug-24'!I745+'Sep-24'!I745+'Oct-24'!I745+'Nov-24'!I745+'Dec-24'!I745+'Jan-25'!I745+'Feb-25'!I745+#REF!+#REF!+#REF!+'Dec-25'!I745</f>
        <v>#REF!</v>
      </c>
      <c r="J745" s="42" t="e">
        <f>+'Jul-24'!J745+'Aug-24'!J745+'Sep-24'!J745+'Oct-24'!J745+'Nov-24'!J745+'Dec-24'!J745+'Jan-25'!J745+'Feb-25'!J745+#REF!+#REF!+#REF!+'Dec-25'!J745</f>
        <v>#REF!</v>
      </c>
      <c r="K745" s="42" t="e">
        <f>+'Jul-24'!K745+'Aug-24'!K745+'Sep-24'!K745+'Oct-24'!K745+'Nov-24'!K745+'Dec-24'!K745+'Jan-25'!K745+'Feb-25'!K745+#REF!+#REF!+#REF!+'Dec-25'!K745</f>
        <v>#REF!</v>
      </c>
      <c r="L745" s="35" t="e">
        <f t="shared" ref="L745:L752" si="190">SUM(G745:K745)</f>
        <v>#REF!</v>
      </c>
      <c r="M745" s="35" t="e">
        <f t="shared" si="189"/>
        <v>#REF!</v>
      </c>
      <c r="N745" s="32"/>
      <c r="P745" s="50"/>
    </row>
    <row r="746" spans="1:24" x14ac:dyDescent="0.25">
      <c r="A746" s="14"/>
      <c r="B746" s="27"/>
      <c r="C746" s="28"/>
      <c r="D746" s="28" t="s">
        <v>11</v>
      </c>
      <c r="E746" s="28"/>
      <c r="F746" s="28"/>
      <c r="G746" s="42" t="e">
        <f>+'Jul-24'!G746+'Aug-24'!G746+'Sep-24'!G746+'Oct-24'!G746+'Nov-24'!G746+'Dec-24'!G746+'Jan-25'!G746+'Feb-25'!G746+#REF!+#REF!+#REF!+'Dec-25'!G746</f>
        <v>#REF!</v>
      </c>
      <c r="H746" s="42" t="e">
        <f>+'Jul-24'!H746+'Aug-24'!H746+'Sep-24'!H746+'Oct-24'!H746+'Nov-24'!H746+'Dec-24'!H746+'Jan-25'!H746+'Feb-25'!H746+#REF!+#REF!+#REF!+'Dec-25'!H746</f>
        <v>#REF!</v>
      </c>
      <c r="I746" s="42" t="e">
        <f>+'Jul-24'!I746+'Aug-24'!I746+'Sep-24'!I746+'Oct-24'!I746+'Nov-24'!I746+'Dec-24'!I746+'Jan-25'!I746+'Feb-25'!I746+#REF!+#REF!+#REF!+'Dec-25'!I746</f>
        <v>#REF!</v>
      </c>
      <c r="J746" s="42" t="e">
        <f>+'Jul-24'!J746+'Aug-24'!J746+'Sep-24'!J746+'Oct-24'!J746+'Nov-24'!J746+'Dec-24'!J746+'Jan-25'!J746+'Feb-25'!J746+#REF!+#REF!+#REF!+'Dec-25'!J746</f>
        <v>#REF!</v>
      </c>
      <c r="K746" s="42" t="e">
        <f>+'Jul-24'!K746+'Aug-24'!K746+'Sep-24'!K746+'Oct-24'!K746+'Nov-24'!K746+'Dec-24'!K746+'Jan-25'!K746+'Feb-25'!K746+#REF!+#REF!+#REF!+'Dec-25'!K746</f>
        <v>#REF!</v>
      </c>
      <c r="L746" s="35" t="e">
        <f t="shared" si="190"/>
        <v>#REF!</v>
      </c>
      <c r="M746" s="35" t="e">
        <f t="shared" si="189"/>
        <v>#REF!</v>
      </c>
      <c r="N746" s="32"/>
      <c r="P746" s="50"/>
    </row>
    <row r="747" spans="1:24" x14ac:dyDescent="0.25">
      <c r="A747" s="14"/>
      <c r="B747" s="27"/>
      <c r="C747" s="28"/>
      <c r="D747" s="28" t="s">
        <v>12</v>
      </c>
      <c r="E747" s="28"/>
      <c r="F747" s="28"/>
      <c r="G747" s="43" t="e">
        <f>+'Jul-24'!G747+'Aug-24'!G747+'Sep-24'!G747+'Oct-24'!G747+'Nov-24'!G747+'Dec-24'!G747+'Jan-25'!G747+'Feb-25'!G747+#REF!+#REF!+#REF!+'Dec-25'!G747</f>
        <v>#REF!</v>
      </c>
      <c r="H747" s="43" t="e">
        <f>+'Jul-24'!H747+'Aug-24'!H747+'Sep-24'!H747+'Oct-24'!H747+'Nov-24'!H747+'Dec-24'!H747+'Jan-25'!H747+'Feb-25'!H747+#REF!+#REF!+#REF!+'Dec-25'!H747</f>
        <v>#REF!</v>
      </c>
      <c r="I747" s="43" t="e">
        <f>+'Jul-24'!I747+'Aug-24'!I747+'Sep-24'!I747+'Oct-24'!I747+'Nov-24'!I747+'Dec-24'!I747+'Jan-25'!I747+'Feb-25'!I747+#REF!+#REF!+#REF!+'Dec-25'!I747</f>
        <v>#REF!</v>
      </c>
      <c r="J747" s="43" t="e">
        <f>+'Jul-24'!J747+'Aug-24'!J747+'Sep-24'!J747+'Oct-24'!J747+'Nov-24'!J747+'Dec-24'!J747+'Jan-25'!J747+'Feb-25'!J747+#REF!+#REF!+#REF!+'Dec-25'!J747</f>
        <v>#REF!</v>
      </c>
      <c r="K747" s="43" t="e">
        <f>+'Jul-24'!K747+'Aug-24'!K747+'Sep-24'!K747+'Oct-24'!K747+'Nov-24'!K747+'Dec-24'!K747+'Jan-25'!K747+'Feb-25'!K747+#REF!+#REF!+#REF!+'Dec-25'!K747</f>
        <v>#REF!</v>
      </c>
      <c r="L747" s="31" t="e">
        <f t="shared" si="190"/>
        <v>#REF!</v>
      </c>
      <c r="M747" s="31" t="e">
        <f t="shared" si="189"/>
        <v>#REF!</v>
      </c>
      <c r="N747" s="32"/>
      <c r="P747" s="50"/>
    </row>
    <row r="748" spans="1:24" x14ac:dyDescent="0.25">
      <c r="A748" s="14"/>
      <c r="B748" s="27"/>
      <c r="C748" s="28" t="s">
        <v>13</v>
      </c>
      <c r="D748" s="28"/>
      <c r="E748" s="28"/>
      <c r="F748" s="28"/>
      <c r="G748" s="42" t="e">
        <f>+'Jul-24'!G748+'Aug-24'!G748+'Sep-24'!G748+'Oct-24'!G748+'Nov-24'!G748+'Dec-24'!G748+'Jan-25'!G748+'Feb-25'!G748+#REF!+#REF!+#REF!+'Dec-25'!G748</f>
        <v>#REF!</v>
      </c>
      <c r="H748" s="42" t="e">
        <f>+'Jul-24'!H748+'Aug-24'!H748+'Sep-24'!H748+'Oct-24'!H748+'Nov-24'!H748+'Dec-24'!H748+'Jan-25'!H748+'Feb-25'!H748+#REF!+#REF!+#REF!+'Dec-25'!H748</f>
        <v>#REF!</v>
      </c>
      <c r="I748" s="42" t="e">
        <f>+'Jul-24'!I748+'Aug-24'!I748+'Sep-24'!I748+'Oct-24'!I748+'Nov-24'!I748+'Dec-24'!I748+'Jan-25'!I748+'Feb-25'!I748+#REF!+#REF!+#REF!+'Dec-25'!I748</f>
        <v>#REF!</v>
      </c>
      <c r="J748" s="42" t="e">
        <f>+'Jul-24'!J748+'Aug-24'!J748+'Sep-24'!J748+'Oct-24'!J748+'Nov-24'!J748+'Dec-24'!J748+'Jan-25'!J748+'Feb-25'!J748+#REF!+#REF!+#REF!+'Dec-25'!J748</f>
        <v>#REF!</v>
      </c>
      <c r="K748" s="42" t="e">
        <f>+'Jul-24'!K748+'Aug-24'!K748+'Sep-24'!K748+'Oct-24'!K748+'Nov-24'!K748+'Dec-24'!K748+'Jan-25'!K748+'Feb-25'!K748+#REF!+#REF!+#REF!+'Dec-25'!K748</f>
        <v>#REF!</v>
      </c>
      <c r="L748" s="35" t="e">
        <f t="shared" si="190"/>
        <v>#REF!</v>
      </c>
      <c r="M748" s="35" t="e">
        <f t="shared" si="189"/>
        <v>#REF!</v>
      </c>
      <c r="N748" s="32"/>
      <c r="P748" s="50"/>
    </row>
    <row r="749" spans="1:24" x14ac:dyDescent="0.25">
      <c r="A749" s="14"/>
      <c r="B749" s="27"/>
      <c r="C749" s="28" t="s">
        <v>14</v>
      </c>
      <c r="D749" s="28"/>
      <c r="E749" s="28"/>
      <c r="F749" s="28"/>
      <c r="G749" s="42" t="e">
        <f>+'Jul-24'!G749+'Aug-24'!G749+'Sep-24'!G749+'Oct-24'!G749+'Nov-24'!G749+'Dec-24'!G749+'Jan-25'!G749+'Feb-25'!G749+#REF!+#REF!+#REF!+'Dec-25'!G749</f>
        <v>#REF!</v>
      </c>
      <c r="H749" s="42" t="e">
        <f>+'Jul-24'!H749+'Aug-24'!H749+'Sep-24'!H749+'Oct-24'!H749+'Nov-24'!H749+'Dec-24'!H749+'Jan-25'!H749+'Feb-25'!H749+#REF!+#REF!+#REF!+'Dec-25'!H749</f>
        <v>#REF!</v>
      </c>
      <c r="I749" s="42" t="e">
        <f>+'Jul-24'!I749+'Aug-24'!I749+'Sep-24'!I749+'Oct-24'!I749+'Nov-24'!I749+'Dec-24'!I749+'Jan-25'!I749+'Feb-25'!I749+#REF!+#REF!+#REF!+'Dec-25'!I749</f>
        <v>#REF!</v>
      </c>
      <c r="J749" s="42" t="e">
        <f>+'Jul-24'!J749+'Aug-24'!J749+'Sep-24'!J749+'Oct-24'!J749+'Nov-24'!J749+'Dec-24'!J749+'Jan-25'!J749+'Feb-25'!J749+#REF!+#REF!+#REF!+'Dec-25'!J749</f>
        <v>#REF!</v>
      </c>
      <c r="K749" s="42" t="e">
        <f>+'Jul-24'!K749+'Aug-24'!K749+'Sep-24'!K749+'Oct-24'!K749+'Nov-24'!K749+'Dec-24'!K749+'Jan-25'!K749+'Feb-25'!K749+#REF!+#REF!+#REF!+'Dec-25'!K749</f>
        <v>#REF!</v>
      </c>
      <c r="L749" s="35" t="e">
        <f t="shared" si="190"/>
        <v>#REF!</v>
      </c>
      <c r="M749" s="35" t="e">
        <f t="shared" si="189"/>
        <v>#REF!</v>
      </c>
      <c r="N749" s="32"/>
      <c r="P749" s="50"/>
    </row>
    <row r="750" spans="1:24" x14ac:dyDescent="0.25">
      <c r="A750" s="14"/>
      <c r="B750" s="27"/>
      <c r="C750" s="28" t="s">
        <v>4</v>
      </c>
      <c r="D750" s="28"/>
      <c r="E750" s="28"/>
      <c r="F750" s="28"/>
      <c r="G750" s="42" t="e">
        <f>+'Jul-24'!G750+'Aug-24'!G750+'Sep-24'!G750+'Oct-24'!G750+'Nov-24'!G750+'Dec-24'!G750+'Jan-25'!G750+'Feb-25'!G750+#REF!+#REF!+#REF!+'Dec-25'!G750</f>
        <v>#REF!</v>
      </c>
      <c r="H750" s="42" t="e">
        <f>+'Jul-24'!H750+'Aug-24'!H750+'Sep-24'!H750+'Oct-24'!H750+'Nov-24'!H750+'Dec-24'!H750+'Jan-25'!H750+'Feb-25'!H750+#REF!+#REF!+#REF!+'Dec-25'!H750</f>
        <v>#REF!</v>
      </c>
      <c r="I750" s="42" t="e">
        <f>+'Jul-24'!I750+'Aug-24'!I750+'Sep-24'!I750+'Oct-24'!I750+'Nov-24'!I750+'Dec-24'!I750+'Jan-25'!I750+'Feb-25'!I750+#REF!+#REF!+#REF!+'Dec-25'!I750</f>
        <v>#REF!</v>
      </c>
      <c r="J750" s="42" t="e">
        <f>+'Jul-24'!J750+'Aug-24'!J750+'Sep-24'!J750+'Oct-24'!J750+'Nov-24'!J750+'Dec-24'!J750+'Jan-25'!J750+'Feb-25'!J750+#REF!+#REF!+#REF!+'Dec-25'!J750</f>
        <v>#REF!</v>
      </c>
      <c r="K750" s="42" t="e">
        <f>+'Jul-24'!K750+'Aug-24'!K750+'Sep-24'!K750+'Oct-24'!K750+'Nov-24'!K750+'Dec-24'!K750+'Jan-25'!K750+'Feb-25'!K750+#REF!+#REF!+#REF!+'Dec-25'!K750</f>
        <v>#REF!</v>
      </c>
      <c r="L750" s="35" t="e">
        <f t="shared" si="190"/>
        <v>#REF!</v>
      </c>
      <c r="M750" s="35" t="e">
        <f t="shared" si="189"/>
        <v>#REF!</v>
      </c>
      <c r="N750" s="32"/>
      <c r="P750" s="50"/>
    </row>
    <row r="751" spans="1:24" x14ac:dyDescent="0.25">
      <c r="A751" s="14"/>
      <c r="B751" s="27"/>
      <c r="C751" s="28" t="s">
        <v>15</v>
      </c>
      <c r="D751" s="28"/>
      <c r="E751" s="28"/>
      <c r="F751" s="28"/>
      <c r="G751" s="42" t="e">
        <f>+'Jul-24'!G751+'Aug-24'!G751+'Sep-24'!G751+'Oct-24'!G751+'Nov-24'!G751+'Dec-24'!G751+'Jan-25'!G751+'Feb-25'!G751+#REF!+#REF!+#REF!+'Dec-25'!G751</f>
        <v>#REF!</v>
      </c>
      <c r="H751" s="42" t="e">
        <f>+'Jul-24'!H751+'Aug-24'!H751+'Sep-24'!H751+'Oct-24'!H751+'Nov-24'!H751+'Dec-24'!H751+'Jan-25'!H751+'Feb-25'!H751+#REF!+#REF!+#REF!+'Dec-25'!H751</f>
        <v>#REF!</v>
      </c>
      <c r="I751" s="42" t="e">
        <f>+'Jul-24'!I751+'Aug-24'!I751+'Sep-24'!I751+'Oct-24'!I751+'Nov-24'!I751+'Dec-24'!I751+'Jan-25'!I751+'Feb-25'!I751+#REF!+#REF!+#REF!+'Dec-25'!I751</f>
        <v>#REF!</v>
      </c>
      <c r="J751" s="42" t="e">
        <f>+'Jul-24'!J751+'Aug-24'!J751+'Sep-24'!J751+'Oct-24'!J751+'Nov-24'!J751+'Dec-24'!J751+'Jan-25'!J751+'Feb-25'!J751+#REF!+#REF!+#REF!+'Dec-25'!J751</f>
        <v>#REF!</v>
      </c>
      <c r="K751" s="42" t="e">
        <f>+'Jul-24'!K751+'Aug-24'!K751+'Sep-24'!K751+'Oct-24'!K751+'Nov-24'!K751+'Dec-24'!K751+'Jan-25'!K751+'Feb-25'!K751+#REF!+#REF!+#REF!+'Dec-25'!K751</f>
        <v>#REF!</v>
      </c>
      <c r="L751" s="35" t="e">
        <f t="shared" si="190"/>
        <v>#REF!</v>
      </c>
      <c r="M751" s="35" t="e">
        <f t="shared" si="189"/>
        <v>#REF!</v>
      </c>
      <c r="N751" s="32"/>
      <c r="P751" s="50"/>
    </row>
    <row r="752" spans="1:24" x14ac:dyDescent="0.25">
      <c r="A752" s="14"/>
      <c r="B752" s="27"/>
      <c r="C752" s="28" t="s">
        <v>16</v>
      </c>
      <c r="D752" s="28"/>
      <c r="E752" s="28"/>
      <c r="F752" s="28"/>
      <c r="G752" s="42" t="e">
        <f>+'Jul-24'!G752+'Aug-24'!G752+'Sep-24'!G752+'Oct-24'!G752+'Nov-24'!G752+'Dec-24'!G752+'Jan-25'!G752+'Feb-25'!G752+#REF!+#REF!+#REF!+'Dec-25'!G752</f>
        <v>#REF!</v>
      </c>
      <c r="H752" s="42" t="e">
        <f>+'Jul-24'!H752+'Aug-24'!H752+'Sep-24'!H752+'Oct-24'!H752+'Nov-24'!H752+'Dec-24'!H752+'Jan-25'!H752+'Feb-25'!H752+#REF!+#REF!+#REF!+'Dec-25'!H752</f>
        <v>#REF!</v>
      </c>
      <c r="I752" s="42" t="e">
        <f>+'Jul-24'!I752+'Aug-24'!I752+'Sep-24'!I752+'Oct-24'!I752+'Nov-24'!I752+'Dec-24'!I752+'Jan-25'!I752+'Feb-25'!I752+#REF!+#REF!+#REF!+'Dec-25'!I752</f>
        <v>#REF!</v>
      </c>
      <c r="J752" s="42" t="e">
        <f>+'Jul-24'!J752+'Aug-24'!J752+'Sep-24'!J752+'Oct-24'!J752+'Nov-24'!J752+'Dec-24'!J752+'Jan-25'!J752+'Feb-25'!J752+#REF!+#REF!+#REF!+'Dec-25'!J752</f>
        <v>#REF!</v>
      </c>
      <c r="K752" s="42" t="e">
        <f>+'Jul-24'!K752+'Aug-24'!K752+'Sep-24'!K752+'Oct-24'!K752+'Nov-24'!K752+'Dec-24'!K752+'Jan-25'!K752+'Feb-25'!K752+#REF!+#REF!+#REF!+'Dec-25'!K752</f>
        <v>#REF!</v>
      </c>
      <c r="L752" s="35" t="e">
        <f t="shared" si="190"/>
        <v>#REF!</v>
      </c>
      <c r="M752" s="35" t="e">
        <f t="shared" si="189"/>
        <v>#REF!</v>
      </c>
      <c r="N752" s="32"/>
      <c r="P752" s="50"/>
    </row>
    <row r="753" spans="1:24" ht="15.75" thickBot="1" x14ac:dyDescent="0.3">
      <c r="A753" s="14"/>
      <c r="B753" s="36"/>
      <c r="C753" s="37"/>
      <c r="D753" s="37"/>
      <c r="E753" s="37"/>
      <c r="F753" s="37"/>
      <c r="G753" s="38"/>
      <c r="H753" s="38"/>
      <c r="I753" s="38"/>
      <c r="J753" s="38"/>
      <c r="K753" s="38"/>
      <c r="L753" s="38"/>
      <c r="M753" s="38"/>
      <c r="N753" s="39"/>
      <c r="P753" s="50"/>
    </row>
    <row r="754" spans="1:24" ht="15.75" thickBot="1" x14ac:dyDescent="0.3">
      <c r="A754" s="14"/>
      <c r="G754" s="33"/>
      <c r="H754" s="33"/>
      <c r="I754" s="33"/>
      <c r="J754" s="33"/>
      <c r="K754" s="33"/>
      <c r="L754" s="33"/>
      <c r="M754" s="33"/>
      <c r="N754" s="33"/>
      <c r="P754" s="50"/>
    </row>
    <row r="755" spans="1:24" x14ac:dyDescent="0.25">
      <c r="A755" s="4">
        <f>+A739+1</f>
        <v>47</v>
      </c>
      <c r="B755" s="40"/>
      <c r="C755" s="6" t="s">
        <v>54</v>
      </c>
      <c r="D755" s="7"/>
      <c r="E755" s="8"/>
      <c r="F755" s="8"/>
      <c r="G755" s="10">
        <f>+$G$3</f>
        <v>2024</v>
      </c>
      <c r="H755" s="10">
        <f>+G755</f>
        <v>2024</v>
      </c>
      <c r="I755" s="10">
        <f t="shared" ref="I755:M756" si="191">+H755</f>
        <v>2024</v>
      </c>
      <c r="J755" s="10">
        <f t="shared" si="191"/>
        <v>2024</v>
      </c>
      <c r="K755" s="10">
        <f t="shared" si="191"/>
        <v>2024</v>
      </c>
      <c r="L755" s="10">
        <f t="shared" si="191"/>
        <v>2024</v>
      </c>
      <c r="M755" s="10">
        <f t="shared" si="191"/>
        <v>2024</v>
      </c>
      <c r="N755" s="11"/>
      <c r="P755" s="50"/>
      <c r="S755" s="12" t="str">
        <f>+C755</f>
        <v>ICBC Details</v>
      </c>
      <c r="T755" s="13" t="e">
        <f>+L759</f>
        <v>#REF!</v>
      </c>
      <c r="U755" s="13" t="e">
        <f>+L760+L761</f>
        <v>#REF!</v>
      </c>
      <c r="V755" s="13" t="e">
        <f>+L762+L763</f>
        <v>#REF!</v>
      </c>
      <c r="W755" s="13" t="e">
        <f>+L766</f>
        <v>#REF!</v>
      </c>
      <c r="X755" s="13" t="e">
        <f>+L764</f>
        <v>#REF!</v>
      </c>
    </row>
    <row r="756" spans="1:24" x14ac:dyDescent="0.25">
      <c r="A756" s="14"/>
      <c r="B756" s="15"/>
      <c r="C756" s="41" t="str">
        <f>+$C740</f>
        <v>Year to Date 2024/2025</v>
      </c>
      <c r="D756" s="18"/>
      <c r="E756" s="18"/>
      <c r="F756" s="18"/>
      <c r="G756" s="20" t="str">
        <f>+$G$4</f>
        <v>Week</v>
      </c>
      <c r="H756" s="20" t="str">
        <f>+G756</f>
        <v>Week</v>
      </c>
      <c r="I756" s="20" t="str">
        <f t="shared" si="191"/>
        <v>Week</v>
      </c>
      <c r="J756" s="20" t="str">
        <f t="shared" si="191"/>
        <v>Week</v>
      </c>
      <c r="K756" s="20" t="str">
        <f t="shared" si="191"/>
        <v>Week</v>
      </c>
      <c r="L756" s="20" t="str">
        <f t="shared" si="191"/>
        <v>Week</v>
      </c>
      <c r="M756" s="20" t="str">
        <f t="shared" si="191"/>
        <v>Week</v>
      </c>
      <c r="N756" s="21"/>
      <c r="P756" s="50"/>
    </row>
    <row r="757" spans="1:24" ht="15.75" thickBot="1" x14ac:dyDescent="0.3">
      <c r="A757" s="14"/>
      <c r="B757" s="22"/>
      <c r="C757" s="23"/>
      <c r="D757" s="23"/>
      <c r="E757" s="23"/>
      <c r="F757" s="23"/>
      <c r="G757" s="25">
        <f>+$G$5</f>
        <v>1</v>
      </c>
      <c r="H757" s="25">
        <f>+$H$5</f>
        <v>2</v>
      </c>
      <c r="I757" s="25">
        <f>+$I$5</f>
        <v>3</v>
      </c>
      <c r="J757" s="25">
        <f>+$J$5</f>
        <v>4</v>
      </c>
      <c r="K757" s="25">
        <f>+$K$5</f>
        <v>5</v>
      </c>
      <c r="L757" s="25" t="s">
        <v>6</v>
      </c>
      <c r="M757" s="25" t="s">
        <v>7</v>
      </c>
      <c r="N757" s="26"/>
      <c r="P757" s="50"/>
    </row>
    <row r="758" spans="1:24" x14ac:dyDescent="0.25">
      <c r="A758" s="14"/>
      <c r="B758" s="27"/>
      <c r="C758" s="28"/>
      <c r="D758" s="28"/>
      <c r="E758" s="28"/>
      <c r="F758" s="28"/>
      <c r="G758" s="29"/>
      <c r="H758" s="29"/>
      <c r="I758" s="29"/>
      <c r="J758" s="29"/>
      <c r="K758" s="28"/>
      <c r="L758" s="28"/>
      <c r="M758" s="28"/>
      <c r="N758" s="30"/>
      <c r="P758" s="50"/>
    </row>
    <row r="759" spans="1:24" x14ac:dyDescent="0.25">
      <c r="A759" s="14"/>
      <c r="B759" s="27"/>
      <c r="C759" s="28" t="s">
        <v>8</v>
      </c>
      <c r="D759" s="28"/>
      <c r="E759" s="28"/>
      <c r="F759" s="28"/>
      <c r="G759" s="31" t="e">
        <f>SUM(G760:G763)</f>
        <v>#REF!</v>
      </c>
      <c r="H759" s="31" t="e">
        <f t="shared" ref="H759:L759" si="192">SUM(H760:H763)</f>
        <v>#REF!</v>
      </c>
      <c r="I759" s="31" t="e">
        <f t="shared" si="192"/>
        <v>#REF!</v>
      </c>
      <c r="J759" s="31" t="e">
        <f t="shared" si="192"/>
        <v>#REF!</v>
      </c>
      <c r="K759" s="31" t="e">
        <f t="shared" si="192"/>
        <v>#REF!</v>
      </c>
      <c r="L759" s="31" t="e">
        <f t="shared" si="192"/>
        <v>#REF!</v>
      </c>
      <c r="M759" s="31" t="e">
        <f>ROUND((L759/$E$1),0)</f>
        <v>#REF!</v>
      </c>
      <c r="N759" s="32"/>
      <c r="P759" s="50"/>
    </row>
    <row r="760" spans="1:24" x14ac:dyDescent="0.25">
      <c r="A760" s="14"/>
      <c r="B760" s="27"/>
      <c r="C760" s="28"/>
      <c r="D760" s="28" t="s">
        <v>9</v>
      </c>
      <c r="E760" s="28"/>
      <c r="F760" s="28"/>
      <c r="G760" s="42" t="e">
        <f>+'Jul-24'!G760+'Aug-24'!G760+'Sep-24'!G760+'Oct-24'!G760+'Nov-24'!G760+'Dec-24'!G760+'Jan-25'!G760+'Feb-25'!G760+#REF!+#REF!+#REF!+'Dec-25'!G760</f>
        <v>#REF!</v>
      </c>
      <c r="H760" s="42" t="e">
        <f>+'Jul-24'!H760+'Aug-24'!H760+'Sep-24'!H760+'Oct-24'!H760+'Nov-24'!H760+'Dec-24'!H760+'Jan-25'!H760+'Feb-25'!H760+#REF!+#REF!+#REF!+'Dec-25'!H760</f>
        <v>#REF!</v>
      </c>
      <c r="I760" s="42" t="e">
        <f>+'Jul-24'!I760+'Aug-24'!I760+'Sep-24'!I760+'Oct-24'!I760+'Nov-24'!I760+'Dec-24'!I760+'Jan-25'!I760+'Feb-25'!I760+#REF!+#REF!+#REF!+'Dec-25'!I760</f>
        <v>#REF!</v>
      </c>
      <c r="J760" s="42" t="e">
        <f>+'Jul-24'!J760+'Aug-24'!J760+'Sep-24'!J760+'Oct-24'!J760+'Nov-24'!J760+'Dec-24'!J760+'Jan-25'!J760+'Feb-25'!J760+#REF!+#REF!+#REF!+'Dec-25'!J760</f>
        <v>#REF!</v>
      </c>
      <c r="K760" s="42" t="e">
        <f>+'Jul-24'!K760+'Aug-24'!K760+'Sep-24'!K760+'Oct-24'!K760+'Nov-24'!K760+'Dec-24'!K760+'Jan-25'!K760+'Feb-25'!K760+#REF!+#REF!+#REF!+'Dec-25'!K760</f>
        <v>#REF!</v>
      </c>
      <c r="L760" s="35" t="e">
        <f>SUM(G760:K760)</f>
        <v>#REF!</v>
      </c>
      <c r="M760" s="35" t="e">
        <f t="shared" ref="M760:M768" si="193">ROUND((L760/$E$1),0)</f>
        <v>#REF!</v>
      </c>
      <c r="N760" s="32"/>
      <c r="P760" s="50"/>
    </row>
    <row r="761" spans="1:24" x14ac:dyDescent="0.25">
      <c r="A761" s="14"/>
      <c r="B761" s="27"/>
      <c r="C761" s="28"/>
      <c r="D761" s="28" t="s">
        <v>10</v>
      </c>
      <c r="E761" s="28"/>
      <c r="F761" s="28"/>
      <c r="G761" s="42" t="e">
        <f>+'Jul-24'!G761+'Aug-24'!G761+'Sep-24'!G761+'Oct-24'!G761+'Nov-24'!G761+'Dec-24'!G761+'Jan-25'!G761+'Feb-25'!G761+#REF!+#REF!+#REF!+'Dec-25'!G761</f>
        <v>#REF!</v>
      </c>
      <c r="H761" s="42" t="e">
        <f>+'Jul-24'!H761+'Aug-24'!H761+'Sep-24'!H761+'Oct-24'!H761+'Nov-24'!H761+'Dec-24'!H761+'Jan-25'!H761+'Feb-25'!H761+#REF!+#REF!+#REF!+'Dec-25'!H761</f>
        <v>#REF!</v>
      </c>
      <c r="I761" s="42" t="e">
        <f>+'Jul-24'!I761+'Aug-24'!I761+'Sep-24'!I761+'Oct-24'!I761+'Nov-24'!I761+'Dec-24'!I761+'Jan-25'!I761+'Feb-25'!I761+#REF!+#REF!+#REF!+'Dec-25'!I761</f>
        <v>#REF!</v>
      </c>
      <c r="J761" s="42" t="e">
        <f>+'Jul-24'!J761+'Aug-24'!J761+'Sep-24'!J761+'Oct-24'!J761+'Nov-24'!J761+'Dec-24'!J761+'Jan-25'!J761+'Feb-25'!J761+#REF!+#REF!+#REF!+'Dec-25'!J761</f>
        <v>#REF!</v>
      </c>
      <c r="K761" s="42" t="e">
        <f>+'Jul-24'!K761+'Aug-24'!K761+'Sep-24'!K761+'Oct-24'!K761+'Nov-24'!K761+'Dec-24'!K761+'Jan-25'!K761+'Feb-25'!K761+#REF!+#REF!+#REF!+'Dec-25'!K761</f>
        <v>#REF!</v>
      </c>
      <c r="L761" s="35" t="e">
        <f t="shared" ref="L761:L768" si="194">SUM(G761:K761)</f>
        <v>#REF!</v>
      </c>
      <c r="M761" s="35" t="e">
        <f t="shared" si="193"/>
        <v>#REF!</v>
      </c>
      <c r="N761" s="32"/>
      <c r="P761" s="50"/>
    </row>
    <row r="762" spans="1:24" x14ac:dyDescent="0.25">
      <c r="A762" s="14"/>
      <c r="B762" s="27"/>
      <c r="C762" s="28"/>
      <c r="D762" s="28" t="s">
        <v>11</v>
      </c>
      <c r="E762" s="28"/>
      <c r="F762" s="28"/>
      <c r="G762" s="42" t="e">
        <f>+'Jul-24'!G762+'Aug-24'!G762+'Sep-24'!G762+'Oct-24'!G762+'Nov-24'!G762+'Dec-24'!G762+'Jan-25'!G762+'Feb-25'!G762+#REF!+#REF!+#REF!+'Dec-25'!G762</f>
        <v>#REF!</v>
      </c>
      <c r="H762" s="42" t="e">
        <f>+'Jul-24'!H762+'Aug-24'!H762+'Sep-24'!H762+'Oct-24'!H762+'Nov-24'!H762+'Dec-24'!H762+'Jan-25'!H762+'Feb-25'!H762+#REF!+#REF!+#REF!+'Dec-25'!H762</f>
        <v>#REF!</v>
      </c>
      <c r="I762" s="42" t="e">
        <f>+'Jul-24'!I762+'Aug-24'!I762+'Sep-24'!I762+'Oct-24'!I762+'Nov-24'!I762+'Dec-24'!I762+'Jan-25'!I762+'Feb-25'!I762+#REF!+#REF!+#REF!+'Dec-25'!I762</f>
        <v>#REF!</v>
      </c>
      <c r="J762" s="42" t="e">
        <f>+'Jul-24'!J762+'Aug-24'!J762+'Sep-24'!J762+'Oct-24'!J762+'Nov-24'!J762+'Dec-24'!J762+'Jan-25'!J762+'Feb-25'!J762+#REF!+#REF!+#REF!+'Dec-25'!J762</f>
        <v>#REF!</v>
      </c>
      <c r="K762" s="42" t="e">
        <f>+'Jul-24'!K762+'Aug-24'!K762+'Sep-24'!K762+'Oct-24'!K762+'Nov-24'!K762+'Dec-24'!K762+'Jan-25'!K762+'Feb-25'!K762+#REF!+#REF!+#REF!+'Dec-25'!K762</f>
        <v>#REF!</v>
      </c>
      <c r="L762" s="35" t="e">
        <f t="shared" si="194"/>
        <v>#REF!</v>
      </c>
      <c r="M762" s="35" t="e">
        <f t="shared" si="193"/>
        <v>#REF!</v>
      </c>
      <c r="N762" s="32"/>
      <c r="P762" s="50"/>
    </row>
    <row r="763" spans="1:24" x14ac:dyDescent="0.25">
      <c r="A763" s="14"/>
      <c r="B763" s="27"/>
      <c r="C763" s="28"/>
      <c r="D763" s="28" t="s">
        <v>12</v>
      </c>
      <c r="E763" s="28"/>
      <c r="F763" s="28"/>
      <c r="G763" s="43" t="e">
        <f>+'Jul-24'!G763+'Aug-24'!G763+'Sep-24'!G763+'Oct-24'!G763+'Nov-24'!G763+'Dec-24'!G763+'Jan-25'!G763+'Feb-25'!G763+#REF!+#REF!+#REF!+'Dec-25'!G763</f>
        <v>#REF!</v>
      </c>
      <c r="H763" s="43" t="e">
        <f>+'Jul-24'!H763+'Aug-24'!H763+'Sep-24'!H763+'Oct-24'!H763+'Nov-24'!H763+'Dec-24'!H763+'Jan-25'!H763+'Feb-25'!H763+#REF!+#REF!+#REF!+'Dec-25'!H763</f>
        <v>#REF!</v>
      </c>
      <c r="I763" s="43" t="e">
        <f>+'Jul-24'!I763+'Aug-24'!I763+'Sep-24'!I763+'Oct-24'!I763+'Nov-24'!I763+'Dec-24'!I763+'Jan-25'!I763+'Feb-25'!I763+#REF!+#REF!+#REF!+'Dec-25'!I763</f>
        <v>#REF!</v>
      </c>
      <c r="J763" s="43" t="e">
        <f>+'Jul-24'!J763+'Aug-24'!J763+'Sep-24'!J763+'Oct-24'!J763+'Nov-24'!J763+'Dec-24'!J763+'Jan-25'!J763+'Feb-25'!J763+#REF!+#REF!+#REF!+'Dec-25'!J763</f>
        <v>#REF!</v>
      </c>
      <c r="K763" s="43" t="e">
        <f>+'Jul-24'!K763+'Aug-24'!K763+'Sep-24'!K763+'Oct-24'!K763+'Nov-24'!K763+'Dec-24'!K763+'Jan-25'!K763+'Feb-25'!K763+#REF!+#REF!+#REF!+'Dec-25'!K763</f>
        <v>#REF!</v>
      </c>
      <c r="L763" s="31" t="e">
        <f t="shared" si="194"/>
        <v>#REF!</v>
      </c>
      <c r="M763" s="31" t="e">
        <f t="shared" si="193"/>
        <v>#REF!</v>
      </c>
      <c r="N763" s="32"/>
      <c r="P763" s="50"/>
    </row>
    <row r="764" spans="1:24" x14ac:dyDescent="0.25">
      <c r="A764" s="14"/>
      <c r="B764" s="27"/>
      <c r="C764" s="28" t="s">
        <v>13</v>
      </c>
      <c r="D764" s="28"/>
      <c r="E764" s="28"/>
      <c r="F764" s="28"/>
      <c r="G764" s="42" t="e">
        <f>+'Jul-24'!G764+'Aug-24'!G764+'Sep-24'!G764+'Oct-24'!G764+'Nov-24'!G764+'Dec-24'!G764+'Jan-25'!G764+'Feb-25'!G764+#REF!+#REF!+#REF!+'Dec-25'!G764</f>
        <v>#REF!</v>
      </c>
      <c r="H764" s="42" t="e">
        <f>+'Jul-24'!H764+'Aug-24'!H764+'Sep-24'!H764+'Oct-24'!H764+'Nov-24'!H764+'Dec-24'!H764+'Jan-25'!H764+'Feb-25'!H764+#REF!+#REF!+#REF!+'Dec-25'!H764</f>
        <v>#REF!</v>
      </c>
      <c r="I764" s="42" t="e">
        <f>+'Jul-24'!I764+'Aug-24'!I764+'Sep-24'!I764+'Oct-24'!I764+'Nov-24'!I764+'Dec-24'!I764+'Jan-25'!I764+'Feb-25'!I764+#REF!+#REF!+#REF!+'Dec-25'!I764</f>
        <v>#REF!</v>
      </c>
      <c r="J764" s="42" t="e">
        <f>+'Jul-24'!J764+'Aug-24'!J764+'Sep-24'!J764+'Oct-24'!J764+'Nov-24'!J764+'Dec-24'!J764+'Jan-25'!J764+'Feb-25'!J764+#REF!+#REF!+#REF!+'Dec-25'!J764</f>
        <v>#REF!</v>
      </c>
      <c r="K764" s="42" t="e">
        <f>+'Jul-24'!K764+'Aug-24'!K764+'Sep-24'!K764+'Oct-24'!K764+'Nov-24'!K764+'Dec-24'!K764+'Jan-25'!K764+'Feb-25'!K764+#REF!+#REF!+#REF!+'Dec-25'!K764</f>
        <v>#REF!</v>
      </c>
      <c r="L764" s="35" t="e">
        <f t="shared" si="194"/>
        <v>#REF!</v>
      </c>
      <c r="M764" s="35" t="e">
        <f t="shared" si="193"/>
        <v>#REF!</v>
      </c>
      <c r="N764" s="32"/>
      <c r="P764" s="50"/>
    </row>
    <row r="765" spans="1:24" x14ac:dyDescent="0.25">
      <c r="A765" s="14"/>
      <c r="B765" s="27"/>
      <c r="C765" s="28" t="s">
        <v>14</v>
      </c>
      <c r="D765" s="28"/>
      <c r="E765" s="28"/>
      <c r="F765" s="28"/>
      <c r="G765" s="42" t="e">
        <f>+'Jul-24'!G765+'Aug-24'!G765+'Sep-24'!G765+'Oct-24'!G765+'Nov-24'!G765+'Dec-24'!G765+'Jan-25'!G765+'Feb-25'!G765+#REF!+#REF!+#REF!+'Dec-25'!G765</f>
        <v>#REF!</v>
      </c>
      <c r="H765" s="42" t="e">
        <f>+'Jul-24'!H765+'Aug-24'!H765+'Sep-24'!H765+'Oct-24'!H765+'Nov-24'!H765+'Dec-24'!H765+'Jan-25'!H765+'Feb-25'!H765+#REF!+#REF!+#REF!+'Dec-25'!H765</f>
        <v>#REF!</v>
      </c>
      <c r="I765" s="42" t="e">
        <f>+'Jul-24'!I765+'Aug-24'!I765+'Sep-24'!I765+'Oct-24'!I765+'Nov-24'!I765+'Dec-24'!I765+'Jan-25'!I765+'Feb-25'!I765+#REF!+#REF!+#REF!+'Dec-25'!I765</f>
        <v>#REF!</v>
      </c>
      <c r="J765" s="42" t="e">
        <f>+'Jul-24'!J765+'Aug-24'!J765+'Sep-24'!J765+'Oct-24'!J765+'Nov-24'!J765+'Dec-24'!J765+'Jan-25'!J765+'Feb-25'!J765+#REF!+#REF!+#REF!+'Dec-25'!J765</f>
        <v>#REF!</v>
      </c>
      <c r="K765" s="42" t="e">
        <f>+'Jul-24'!K765+'Aug-24'!K765+'Sep-24'!K765+'Oct-24'!K765+'Nov-24'!K765+'Dec-24'!K765+'Jan-25'!K765+'Feb-25'!K765+#REF!+#REF!+#REF!+'Dec-25'!K765</f>
        <v>#REF!</v>
      </c>
      <c r="L765" s="35" t="e">
        <f t="shared" si="194"/>
        <v>#REF!</v>
      </c>
      <c r="M765" s="35" t="e">
        <f t="shared" si="193"/>
        <v>#REF!</v>
      </c>
      <c r="N765" s="32"/>
      <c r="P765" s="50"/>
    </row>
    <row r="766" spans="1:24" x14ac:dyDescent="0.25">
      <c r="A766" s="14"/>
      <c r="B766" s="27"/>
      <c r="C766" s="28" t="s">
        <v>4</v>
      </c>
      <c r="D766" s="28"/>
      <c r="E766" s="28"/>
      <c r="F766" s="28"/>
      <c r="G766" s="42" t="e">
        <f>+'Jul-24'!G766+'Aug-24'!G766+'Sep-24'!G766+'Oct-24'!G766+'Nov-24'!G766+'Dec-24'!G766+'Jan-25'!G766+'Feb-25'!G766+#REF!+#REF!+#REF!+'Dec-25'!G766</f>
        <v>#REF!</v>
      </c>
      <c r="H766" s="42" t="e">
        <f>+'Jul-24'!H766+'Aug-24'!H766+'Sep-24'!H766+'Oct-24'!H766+'Nov-24'!H766+'Dec-24'!H766+'Jan-25'!H766+'Feb-25'!H766+#REF!+#REF!+#REF!+'Dec-25'!H766</f>
        <v>#REF!</v>
      </c>
      <c r="I766" s="42" t="e">
        <f>+'Jul-24'!I766+'Aug-24'!I766+'Sep-24'!I766+'Oct-24'!I766+'Nov-24'!I766+'Dec-24'!I766+'Jan-25'!I766+'Feb-25'!I766+#REF!+#REF!+#REF!+'Dec-25'!I766</f>
        <v>#REF!</v>
      </c>
      <c r="J766" s="42" t="e">
        <f>+'Jul-24'!J766+'Aug-24'!J766+'Sep-24'!J766+'Oct-24'!J766+'Nov-24'!J766+'Dec-24'!J766+'Jan-25'!J766+'Feb-25'!J766+#REF!+#REF!+#REF!+'Dec-25'!J766</f>
        <v>#REF!</v>
      </c>
      <c r="K766" s="42" t="e">
        <f>+'Jul-24'!K766+'Aug-24'!K766+'Sep-24'!K766+'Oct-24'!K766+'Nov-24'!K766+'Dec-24'!K766+'Jan-25'!K766+'Feb-25'!K766+#REF!+#REF!+#REF!+'Dec-25'!K766</f>
        <v>#REF!</v>
      </c>
      <c r="L766" s="35" t="e">
        <f t="shared" si="194"/>
        <v>#REF!</v>
      </c>
      <c r="M766" s="35" t="e">
        <f t="shared" si="193"/>
        <v>#REF!</v>
      </c>
      <c r="N766" s="32"/>
      <c r="P766" s="50"/>
    </row>
    <row r="767" spans="1:24" x14ac:dyDescent="0.25">
      <c r="A767" s="14"/>
      <c r="B767" s="27"/>
      <c r="C767" s="28" t="s">
        <v>15</v>
      </c>
      <c r="D767" s="28"/>
      <c r="E767" s="28"/>
      <c r="F767" s="28"/>
      <c r="G767" s="42" t="e">
        <f>+'Jul-24'!G767+'Aug-24'!G767+'Sep-24'!G767+'Oct-24'!G767+'Nov-24'!G767+'Dec-24'!G767+'Jan-25'!G767+'Feb-25'!G767+#REF!+#REF!+#REF!+'Dec-25'!G767</f>
        <v>#REF!</v>
      </c>
      <c r="H767" s="42" t="e">
        <f>+'Jul-24'!H767+'Aug-24'!H767+'Sep-24'!H767+'Oct-24'!H767+'Nov-24'!H767+'Dec-24'!H767+'Jan-25'!H767+'Feb-25'!H767+#REF!+#REF!+#REF!+'Dec-25'!H767</f>
        <v>#REF!</v>
      </c>
      <c r="I767" s="42" t="e">
        <f>+'Jul-24'!I767+'Aug-24'!I767+'Sep-24'!I767+'Oct-24'!I767+'Nov-24'!I767+'Dec-24'!I767+'Jan-25'!I767+'Feb-25'!I767+#REF!+#REF!+#REF!+'Dec-25'!I767</f>
        <v>#REF!</v>
      </c>
      <c r="J767" s="42" t="e">
        <f>+'Jul-24'!J767+'Aug-24'!J767+'Sep-24'!J767+'Oct-24'!J767+'Nov-24'!J767+'Dec-24'!J767+'Jan-25'!J767+'Feb-25'!J767+#REF!+#REF!+#REF!+'Dec-25'!J767</f>
        <v>#REF!</v>
      </c>
      <c r="K767" s="42" t="e">
        <f>+'Jul-24'!K767+'Aug-24'!K767+'Sep-24'!K767+'Oct-24'!K767+'Nov-24'!K767+'Dec-24'!K767+'Jan-25'!K767+'Feb-25'!K767+#REF!+#REF!+#REF!+'Dec-25'!K767</f>
        <v>#REF!</v>
      </c>
      <c r="L767" s="35" t="e">
        <f t="shared" si="194"/>
        <v>#REF!</v>
      </c>
      <c r="M767" s="35" t="e">
        <f t="shared" si="193"/>
        <v>#REF!</v>
      </c>
      <c r="N767" s="32"/>
      <c r="P767" s="50"/>
    </row>
    <row r="768" spans="1:24" x14ac:dyDescent="0.25">
      <c r="A768" s="14"/>
      <c r="B768" s="27"/>
      <c r="C768" s="28" t="s">
        <v>16</v>
      </c>
      <c r="D768" s="28"/>
      <c r="E768" s="28"/>
      <c r="F768" s="28"/>
      <c r="G768" s="42" t="e">
        <f>+'Jul-24'!G768+'Aug-24'!G768+'Sep-24'!G768+'Oct-24'!G768+'Nov-24'!G768+'Dec-24'!G768+'Jan-25'!G768+'Feb-25'!G768+#REF!+#REF!+#REF!+'Dec-25'!G768</f>
        <v>#REF!</v>
      </c>
      <c r="H768" s="42" t="e">
        <f>+'Jul-24'!H768+'Aug-24'!H768+'Sep-24'!H768+'Oct-24'!H768+'Nov-24'!H768+'Dec-24'!H768+'Jan-25'!H768+'Feb-25'!H768+#REF!+#REF!+#REF!+'Dec-25'!H768</f>
        <v>#REF!</v>
      </c>
      <c r="I768" s="42" t="e">
        <f>+'Jul-24'!I768+'Aug-24'!I768+'Sep-24'!I768+'Oct-24'!I768+'Nov-24'!I768+'Dec-24'!I768+'Jan-25'!I768+'Feb-25'!I768+#REF!+#REF!+#REF!+'Dec-25'!I768</f>
        <v>#REF!</v>
      </c>
      <c r="J768" s="42" t="e">
        <f>+'Jul-24'!J768+'Aug-24'!J768+'Sep-24'!J768+'Oct-24'!J768+'Nov-24'!J768+'Dec-24'!J768+'Jan-25'!J768+'Feb-25'!J768+#REF!+#REF!+#REF!+'Dec-25'!J768</f>
        <v>#REF!</v>
      </c>
      <c r="K768" s="42" t="e">
        <f>+'Jul-24'!K768+'Aug-24'!K768+'Sep-24'!K768+'Oct-24'!K768+'Nov-24'!K768+'Dec-24'!K768+'Jan-25'!K768+'Feb-25'!K768+#REF!+#REF!+#REF!+'Dec-25'!K768</f>
        <v>#REF!</v>
      </c>
      <c r="L768" s="35" t="e">
        <f t="shared" si="194"/>
        <v>#REF!</v>
      </c>
      <c r="M768" s="35" t="e">
        <f t="shared" si="193"/>
        <v>#REF!</v>
      </c>
      <c r="N768" s="32"/>
      <c r="P768" s="50"/>
    </row>
    <row r="769" spans="1:24" ht="15.75" thickBot="1" x14ac:dyDescent="0.3">
      <c r="A769" s="14"/>
      <c r="B769" s="36"/>
      <c r="C769" s="37"/>
      <c r="D769" s="37"/>
      <c r="E769" s="37"/>
      <c r="F769" s="37"/>
      <c r="G769" s="38"/>
      <c r="H769" s="38"/>
      <c r="I769" s="38"/>
      <c r="J769" s="38"/>
      <c r="K769" s="38"/>
      <c r="L769" s="38"/>
      <c r="M769" s="38"/>
      <c r="N769" s="39"/>
      <c r="P769" s="50"/>
    </row>
    <row r="770" spans="1:24" ht="15.75" thickBot="1" x14ac:dyDescent="0.3">
      <c r="P770" s="50"/>
    </row>
    <row r="771" spans="1:24" x14ac:dyDescent="0.25">
      <c r="A771" s="4">
        <f>+A755+1</f>
        <v>48</v>
      </c>
      <c r="B771" s="5"/>
      <c r="C771" s="6" t="s">
        <v>54</v>
      </c>
      <c r="D771" s="7"/>
      <c r="E771" s="8"/>
      <c r="F771" s="8"/>
      <c r="G771" s="10">
        <f>+$G$3</f>
        <v>2024</v>
      </c>
      <c r="H771" s="10">
        <f>+G771</f>
        <v>2024</v>
      </c>
      <c r="I771" s="10">
        <f t="shared" ref="I771:M772" si="195">+H771</f>
        <v>2024</v>
      </c>
      <c r="J771" s="10">
        <f t="shared" si="195"/>
        <v>2024</v>
      </c>
      <c r="K771" s="10">
        <f t="shared" si="195"/>
        <v>2024</v>
      </c>
      <c r="L771" s="10">
        <f t="shared" si="195"/>
        <v>2024</v>
      </c>
      <c r="M771" s="10">
        <f t="shared" si="195"/>
        <v>2024</v>
      </c>
      <c r="N771" s="11"/>
      <c r="P771" s="50"/>
      <c r="S771" s="12" t="str">
        <f>+C771</f>
        <v>ICBC Details</v>
      </c>
      <c r="T771" s="13" t="e">
        <f>+L775</f>
        <v>#REF!</v>
      </c>
      <c r="U771" s="13" t="e">
        <f>+L776+L777</f>
        <v>#REF!</v>
      </c>
      <c r="V771" s="13" t="e">
        <f>+L778+L779</f>
        <v>#REF!</v>
      </c>
      <c r="W771" s="13" t="e">
        <f>+L782</f>
        <v>#REF!</v>
      </c>
      <c r="X771" s="13" t="e">
        <f>+L780</f>
        <v>#REF!</v>
      </c>
    </row>
    <row r="772" spans="1:24" x14ac:dyDescent="0.25">
      <c r="A772" s="14"/>
      <c r="B772" s="15"/>
      <c r="C772" s="41" t="str">
        <f>+$C756</f>
        <v>Year to Date 2024/2025</v>
      </c>
      <c r="D772" s="18"/>
      <c r="E772" s="18"/>
      <c r="F772" s="18"/>
      <c r="G772" s="20" t="str">
        <f>+$G$4</f>
        <v>Week</v>
      </c>
      <c r="H772" s="20" t="str">
        <f>+G772</f>
        <v>Week</v>
      </c>
      <c r="I772" s="20" t="str">
        <f t="shared" si="195"/>
        <v>Week</v>
      </c>
      <c r="J772" s="20" t="str">
        <f t="shared" si="195"/>
        <v>Week</v>
      </c>
      <c r="K772" s="20" t="str">
        <f t="shared" si="195"/>
        <v>Week</v>
      </c>
      <c r="L772" s="20" t="str">
        <f t="shared" si="195"/>
        <v>Week</v>
      </c>
      <c r="M772" s="20" t="str">
        <f t="shared" si="195"/>
        <v>Week</v>
      </c>
      <c r="N772" s="21"/>
      <c r="P772" s="50"/>
    </row>
    <row r="773" spans="1:24" ht="15.75" thickBot="1" x14ac:dyDescent="0.3">
      <c r="A773" s="14"/>
      <c r="B773" s="22"/>
      <c r="C773" s="23"/>
      <c r="D773" s="23"/>
      <c r="E773" s="23"/>
      <c r="F773" s="23"/>
      <c r="G773" s="25">
        <f>+$G$5</f>
        <v>1</v>
      </c>
      <c r="H773" s="25">
        <f>+$H$5</f>
        <v>2</v>
      </c>
      <c r="I773" s="25">
        <f>+$I$5</f>
        <v>3</v>
      </c>
      <c r="J773" s="25">
        <f>+$J$5</f>
        <v>4</v>
      </c>
      <c r="K773" s="25">
        <f>+$K$5</f>
        <v>5</v>
      </c>
      <c r="L773" s="25" t="s">
        <v>6</v>
      </c>
      <c r="M773" s="25" t="s">
        <v>7</v>
      </c>
      <c r="N773" s="26"/>
      <c r="P773" s="50"/>
    </row>
    <row r="774" spans="1:24" x14ac:dyDescent="0.25">
      <c r="A774" s="14"/>
      <c r="B774" s="27"/>
      <c r="C774" s="28"/>
      <c r="D774" s="28"/>
      <c r="E774" s="28"/>
      <c r="F774" s="28"/>
      <c r="G774" s="29"/>
      <c r="H774" s="29"/>
      <c r="I774" s="29"/>
      <c r="J774" s="29"/>
      <c r="K774" s="28"/>
      <c r="L774" s="28"/>
      <c r="M774" s="28"/>
      <c r="N774" s="30"/>
      <c r="P774" s="50"/>
    </row>
    <row r="775" spans="1:24" x14ac:dyDescent="0.25">
      <c r="A775" s="14"/>
      <c r="B775" s="27"/>
      <c r="C775" s="28" t="s">
        <v>8</v>
      </c>
      <c r="D775" s="28"/>
      <c r="E775" s="28"/>
      <c r="F775" s="28"/>
      <c r="G775" s="31" t="e">
        <f>SUM(G776:G779)</f>
        <v>#REF!</v>
      </c>
      <c r="H775" s="31" t="e">
        <f t="shared" ref="H775:L775" si="196">SUM(H776:H779)</f>
        <v>#REF!</v>
      </c>
      <c r="I775" s="31" t="e">
        <f t="shared" si="196"/>
        <v>#REF!</v>
      </c>
      <c r="J775" s="31" t="e">
        <f t="shared" si="196"/>
        <v>#REF!</v>
      </c>
      <c r="K775" s="31" t="e">
        <f t="shared" si="196"/>
        <v>#REF!</v>
      </c>
      <c r="L775" s="31" t="e">
        <f t="shared" si="196"/>
        <v>#REF!</v>
      </c>
      <c r="M775" s="31" t="e">
        <f>ROUND((L775/$E$1),0)</f>
        <v>#REF!</v>
      </c>
      <c r="N775" s="32"/>
      <c r="P775" s="50"/>
    </row>
    <row r="776" spans="1:24" x14ac:dyDescent="0.25">
      <c r="A776" s="14"/>
      <c r="B776" s="27"/>
      <c r="C776" s="28"/>
      <c r="D776" s="28" t="s">
        <v>9</v>
      </c>
      <c r="E776" s="28"/>
      <c r="F776" s="28"/>
      <c r="G776" s="42" t="e">
        <f>+'Jul-24'!G776+'Aug-24'!G776+'Sep-24'!G776+'Oct-24'!G776+'Nov-24'!G776+'Dec-24'!G776+'Jan-25'!G776+'Feb-25'!G776+#REF!+#REF!+#REF!+'Dec-25'!G776</f>
        <v>#REF!</v>
      </c>
      <c r="H776" s="42" t="e">
        <f>+'Jul-24'!H776+'Aug-24'!H776+'Sep-24'!H776+'Oct-24'!H776+'Nov-24'!H776+'Dec-24'!H776+'Jan-25'!H776+'Feb-25'!H776+#REF!+#REF!+#REF!+'Dec-25'!H776</f>
        <v>#REF!</v>
      </c>
      <c r="I776" s="42" t="e">
        <f>+'Jul-24'!I776+'Aug-24'!I776+'Sep-24'!I776+'Oct-24'!I776+'Nov-24'!I776+'Dec-24'!I776+'Jan-25'!I776+'Feb-25'!I776+#REF!+#REF!+#REF!+'Dec-25'!I776</f>
        <v>#REF!</v>
      </c>
      <c r="J776" s="42" t="e">
        <f>+'Jul-24'!J776+'Aug-24'!J776+'Sep-24'!J776+'Oct-24'!J776+'Nov-24'!J776+'Dec-24'!J776+'Jan-25'!J776+'Feb-25'!J776+#REF!+#REF!+#REF!+'Dec-25'!J776</f>
        <v>#REF!</v>
      </c>
      <c r="K776" s="42" t="e">
        <f>+'Jul-24'!K776+'Aug-24'!K776+'Sep-24'!K776+'Oct-24'!K776+'Nov-24'!K776+'Dec-24'!K776+'Jan-25'!K776+'Feb-25'!K776+#REF!+#REF!+#REF!+'Dec-25'!K776</f>
        <v>#REF!</v>
      </c>
      <c r="L776" s="35" t="e">
        <f>SUM(G776:K776)</f>
        <v>#REF!</v>
      </c>
      <c r="M776" s="35" t="e">
        <f t="shared" ref="M776:M784" si="197">ROUND((L776/$E$1),0)</f>
        <v>#REF!</v>
      </c>
      <c r="N776" s="32"/>
      <c r="P776" s="52"/>
    </row>
    <row r="777" spans="1:24" x14ac:dyDescent="0.25">
      <c r="A777" s="14"/>
      <c r="B777" s="27"/>
      <c r="C777" s="28"/>
      <c r="D777" s="28" t="s">
        <v>10</v>
      </c>
      <c r="E777" s="28"/>
      <c r="F777" s="28"/>
      <c r="G777" s="42" t="e">
        <f>+'Jul-24'!G777+'Aug-24'!G777+'Sep-24'!G777+'Oct-24'!G777+'Nov-24'!G777+'Dec-24'!G777+'Jan-25'!G777+'Feb-25'!G777+#REF!+#REF!+#REF!+'Dec-25'!G777</f>
        <v>#REF!</v>
      </c>
      <c r="H777" s="42" t="e">
        <f>+'Jul-24'!H777+'Aug-24'!H777+'Sep-24'!H777+'Oct-24'!H777+'Nov-24'!H777+'Dec-24'!H777+'Jan-25'!H777+'Feb-25'!H777+#REF!+#REF!+#REF!+'Dec-25'!H777</f>
        <v>#REF!</v>
      </c>
      <c r="I777" s="42" t="e">
        <f>+'Jul-24'!I777+'Aug-24'!I777+'Sep-24'!I777+'Oct-24'!I777+'Nov-24'!I777+'Dec-24'!I777+'Jan-25'!I777+'Feb-25'!I777+#REF!+#REF!+#REF!+'Dec-25'!I777</f>
        <v>#REF!</v>
      </c>
      <c r="J777" s="42" t="e">
        <f>+'Jul-24'!J777+'Aug-24'!J777+'Sep-24'!J777+'Oct-24'!J777+'Nov-24'!J777+'Dec-24'!J777+'Jan-25'!J777+'Feb-25'!J777+#REF!+#REF!+#REF!+'Dec-25'!J777</f>
        <v>#REF!</v>
      </c>
      <c r="K777" s="42" t="e">
        <f>+'Jul-24'!K777+'Aug-24'!K777+'Sep-24'!K777+'Oct-24'!K777+'Nov-24'!K777+'Dec-24'!K777+'Jan-25'!K777+'Feb-25'!K777+#REF!+#REF!+#REF!+'Dec-25'!K777</f>
        <v>#REF!</v>
      </c>
      <c r="L777" s="35" t="e">
        <f t="shared" ref="L777:L784" si="198">SUM(G777:K777)</f>
        <v>#REF!</v>
      </c>
      <c r="M777" s="35" t="e">
        <f t="shared" si="197"/>
        <v>#REF!</v>
      </c>
      <c r="N777" s="32"/>
      <c r="P777" s="50"/>
    </row>
    <row r="778" spans="1:24" x14ac:dyDescent="0.25">
      <c r="A778" s="14"/>
      <c r="B778" s="27"/>
      <c r="C778" s="28"/>
      <c r="D778" s="28" t="s">
        <v>11</v>
      </c>
      <c r="E778" s="28"/>
      <c r="F778" s="28"/>
      <c r="G778" s="42" t="e">
        <f>+'Jul-24'!G778+'Aug-24'!G778+'Sep-24'!G778+'Oct-24'!G778+'Nov-24'!G778+'Dec-24'!G778+'Jan-25'!G778+'Feb-25'!G778+#REF!+#REF!+#REF!+'Dec-25'!G778</f>
        <v>#REF!</v>
      </c>
      <c r="H778" s="42" t="e">
        <f>+'Jul-24'!H778+'Aug-24'!H778+'Sep-24'!H778+'Oct-24'!H778+'Nov-24'!H778+'Dec-24'!H778+'Jan-25'!H778+'Feb-25'!H778+#REF!+#REF!+#REF!+'Dec-25'!H778</f>
        <v>#REF!</v>
      </c>
      <c r="I778" s="42" t="e">
        <f>+'Jul-24'!I778+'Aug-24'!I778+'Sep-24'!I778+'Oct-24'!I778+'Nov-24'!I778+'Dec-24'!I778+'Jan-25'!I778+'Feb-25'!I778+#REF!+#REF!+#REF!+'Dec-25'!I778</f>
        <v>#REF!</v>
      </c>
      <c r="J778" s="42" t="e">
        <f>+'Jul-24'!J778+'Aug-24'!J778+'Sep-24'!J778+'Oct-24'!J778+'Nov-24'!J778+'Dec-24'!J778+'Jan-25'!J778+'Feb-25'!J778+#REF!+#REF!+#REF!+'Dec-25'!J778</f>
        <v>#REF!</v>
      </c>
      <c r="K778" s="42" t="e">
        <f>+'Jul-24'!K778+'Aug-24'!K778+'Sep-24'!K778+'Oct-24'!K778+'Nov-24'!K778+'Dec-24'!K778+'Jan-25'!K778+'Feb-25'!K778+#REF!+#REF!+#REF!+'Dec-25'!K778</f>
        <v>#REF!</v>
      </c>
      <c r="L778" s="35" t="e">
        <f t="shared" si="198"/>
        <v>#REF!</v>
      </c>
      <c r="M778" s="35" t="e">
        <f t="shared" si="197"/>
        <v>#REF!</v>
      </c>
      <c r="N778" s="32"/>
      <c r="P778" s="50"/>
    </row>
    <row r="779" spans="1:24" x14ac:dyDescent="0.25">
      <c r="A779" s="14"/>
      <c r="B779" s="27"/>
      <c r="C779" s="28"/>
      <c r="D779" s="28" t="s">
        <v>12</v>
      </c>
      <c r="E779" s="28"/>
      <c r="F779" s="28"/>
      <c r="G779" s="43" t="e">
        <f>+'Jul-24'!G779+'Aug-24'!G779+'Sep-24'!G779+'Oct-24'!G779+'Nov-24'!G779+'Dec-24'!G779+'Jan-25'!G779+'Feb-25'!G779+#REF!+#REF!+#REF!+'Dec-25'!G779</f>
        <v>#REF!</v>
      </c>
      <c r="H779" s="43" t="e">
        <f>+'Jul-24'!H779+'Aug-24'!H779+'Sep-24'!H779+'Oct-24'!H779+'Nov-24'!H779+'Dec-24'!H779+'Jan-25'!H779+'Feb-25'!H779+#REF!+#REF!+#REF!+'Dec-25'!H779</f>
        <v>#REF!</v>
      </c>
      <c r="I779" s="43" t="e">
        <f>+'Jul-24'!I779+'Aug-24'!I779+'Sep-24'!I779+'Oct-24'!I779+'Nov-24'!I779+'Dec-24'!I779+'Jan-25'!I779+'Feb-25'!I779+#REF!+#REF!+#REF!+'Dec-25'!I779</f>
        <v>#REF!</v>
      </c>
      <c r="J779" s="43" t="e">
        <f>+'Jul-24'!J779+'Aug-24'!J779+'Sep-24'!J779+'Oct-24'!J779+'Nov-24'!J779+'Dec-24'!J779+'Jan-25'!J779+'Feb-25'!J779+#REF!+#REF!+#REF!+'Dec-25'!J779</f>
        <v>#REF!</v>
      </c>
      <c r="K779" s="43" t="e">
        <f>+'Jul-24'!K779+'Aug-24'!K779+'Sep-24'!K779+'Oct-24'!K779+'Nov-24'!K779+'Dec-24'!K779+'Jan-25'!K779+'Feb-25'!K779+#REF!+#REF!+#REF!+'Dec-25'!K779</f>
        <v>#REF!</v>
      </c>
      <c r="L779" s="31" t="e">
        <f t="shared" si="198"/>
        <v>#REF!</v>
      </c>
      <c r="M779" s="31" t="e">
        <f t="shared" si="197"/>
        <v>#REF!</v>
      </c>
      <c r="N779" s="32"/>
      <c r="P779" s="50"/>
    </row>
    <row r="780" spans="1:24" x14ac:dyDescent="0.25">
      <c r="A780" s="14"/>
      <c r="B780" s="27"/>
      <c r="C780" s="28" t="s">
        <v>13</v>
      </c>
      <c r="D780" s="28"/>
      <c r="E780" s="28"/>
      <c r="F780" s="28"/>
      <c r="G780" s="42" t="e">
        <f>+'Jul-24'!G780+'Aug-24'!G780+'Sep-24'!G780+'Oct-24'!G780+'Nov-24'!G780+'Dec-24'!G780+'Jan-25'!G780+'Feb-25'!G780+#REF!+#REF!+#REF!+'Dec-25'!G780</f>
        <v>#REF!</v>
      </c>
      <c r="H780" s="42" t="e">
        <f>+'Jul-24'!H780+'Aug-24'!H780+'Sep-24'!H780+'Oct-24'!H780+'Nov-24'!H780+'Dec-24'!H780+'Jan-25'!H780+'Feb-25'!H780+#REF!+#REF!+#REF!+'Dec-25'!H780</f>
        <v>#REF!</v>
      </c>
      <c r="I780" s="42" t="e">
        <f>+'Jul-24'!I780+'Aug-24'!I780+'Sep-24'!I780+'Oct-24'!I780+'Nov-24'!I780+'Dec-24'!I780+'Jan-25'!I780+'Feb-25'!I780+#REF!+#REF!+#REF!+'Dec-25'!I780</f>
        <v>#REF!</v>
      </c>
      <c r="J780" s="42" t="e">
        <f>+'Jul-24'!J780+'Aug-24'!J780+'Sep-24'!J780+'Oct-24'!J780+'Nov-24'!J780+'Dec-24'!J780+'Jan-25'!J780+'Feb-25'!J780+#REF!+#REF!+#REF!+'Dec-25'!J780</f>
        <v>#REF!</v>
      </c>
      <c r="K780" s="42" t="e">
        <f>+'Jul-24'!K780+'Aug-24'!K780+'Sep-24'!K780+'Oct-24'!K780+'Nov-24'!K780+'Dec-24'!K780+'Jan-25'!K780+'Feb-25'!K780+#REF!+#REF!+#REF!+'Dec-25'!K780</f>
        <v>#REF!</v>
      </c>
      <c r="L780" s="35" t="e">
        <f t="shared" si="198"/>
        <v>#REF!</v>
      </c>
      <c r="M780" s="35" t="e">
        <f t="shared" si="197"/>
        <v>#REF!</v>
      </c>
      <c r="N780" s="32"/>
      <c r="P780" s="50"/>
    </row>
    <row r="781" spans="1:24" x14ac:dyDescent="0.25">
      <c r="A781" s="14"/>
      <c r="B781" s="27"/>
      <c r="C781" s="28" t="s">
        <v>14</v>
      </c>
      <c r="D781" s="28"/>
      <c r="E781" s="28"/>
      <c r="F781" s="28"/>
      <c r="G781" s="42" t="e">
        <f>+'Jul-24'!G781+'Aug-24'!G781+'Sep-24'!G781+'Oct-24'!G781+'Nov-24'!G781+'Dec-24'!G781+'Jan-25'!G781+'Feb-25'!G781+#REF!+#REF!+#REF!+'Dec-25'!G781</f>
        <v>#REF!</v>
      </c>
      <c r="H781" s="42" t="e">
        <f>+'Jul-24'!H781+'Aug-24'!H781+'Sep-24'!H781+'Oct-24'!H781+'Nov-24'!H781+'Dec-24'!H781+'Jan-25'!H781+'Feb-25'!H781+#REF!+#REF!+#REF!+'Dec-25'!H781</f>
        <v>#REF!</v>
      </c>
      <c r="I781" s="42" t="e">
        <f>+'Jul-24'!I781+'Aug-24'!I781+'Sep-24'!I781+'Oct-24'!I781+'Nov-24'!I781+'Dec-24'!I781+'Jan-25'!I781+'Feb-25'!I781+#REF!+#REF!+#REF!+'Dec-25'!I781</f>
        <v>#REF!</v>
      </c>
      <c r="J781" s="42" t="e">
        <f>+'Jul-24'!J781+'Aug-24'!J781+'Sep-24'!J781+'Oct-24'!J781+'Nov-24'!J781+'Dec-24'!J781+'Jan-25'!J781+'Feb-25'!J781+#REF!+#REF!+#REF!+'Dec-25'!J781</f>
        <v>#REF!</v>
      </c>
      <c r="K781" s="42" t="e">
        <f>+'Jul-24'!K781+'Aug-24'!K781+'Sep-24'!K781+'Oct-24'!K781+'Nov-24'!K781+'Dec-24'!K781+'Jan-25'!K781+'Feb-25'!K781+#REF!+#REF!+#REF!+'Dec-25'!K781</f>
        <v>#REF!</v>
      </c>
      <c r="L781" s="35" t="e">
        <f t="shared" si="198"/>
        <v>#REF!</v>
      </c>
      <c r="M781" s="35" t="e">
        <f t="shared" si="197"/>
        <v>#REF!</v>
      </c>
      <c r="N781" s="32"/>
      <c r="P781" s="50"/>
    </row>
    <row r="782" spans="1:24" x14ac:dyDescent="0.25">
      <c r="A782" s="14"/>
      <c r="B782" s="27"/>
      <c r="C782" s="28" t="s">
        <v>4</v>
      </c>
      <c r="D782" s="28"/>
      <c r="E782" s="28"/>
      <c r="F782" s="28"/>
      <c r="G782" s="42" t="e">
        <f>+'Jul-24'!G782+'Aug-24'!G782+'Sep-24'!G782+'Oct-24'!G782+'Nov-24'!G782+'Dec-24'!G782+'Jan-25'!G782+'Feb-25'!G782+#REF!+#REF!+#REF!+'Dec-25'!G782</f>
        <v>#REF!</v>
      </c>
      <c r="H782" s="42" t="e">
        <f>+'Jul-24'!H782+'Aug-24'!H782+'Sep-24'!H782+'Oct-24'!H782+'Nov-24'!H782+'Dec-24'!H782+'Jan-25'!H782+'Feb-25'!H782+#REF!+#REF!+#REF!+'Dec-25'!H782</f>
        <v>#REF!</v>
      </c>
      <c r="I782" s="42" t="e">
        <f>+'Jul-24'!I782+'Aug-24'!I782+'Sep-24'!I782+'Oct-24'!I782+'Nov-24'!I782+'Dec-24'!I782+'Jan-25'!I782+'Feb-25'!I782+#REF!+#REF!+#REF!+'Dec-25'!I782</f>
        <v>#REF!</v>
      </c>
      <c r="J782" s="42" t="e">
        <f>+'Jul-24'!J782+'Aug-24'!J782+'Sep-24'!J782+'Oct-24'!J782+'Nov-24'!J782+'Dec-24'!J782+'Jan-25'!J782+'Feb-25'!J782+#REF!+#REF!+#REF!+'Dec-25'!J782</f>
        <v>#REF!</v>
      </c>
      <c r="K782" s="42" t="e">
        <f>+'Jul-24'!K782+'Aug-24'!K782+'Sep-24'!K782+'Oct-24'!K782+'Nov-24'!K782+'Dec-24'!K782+'Jan-25'!K782+'Feb-25'!K782+#REF!+#REF!+#REF!+'Dec-25'!K782</f>
        <v>#REF!</v>
      </c>
      <c r="L782" s="35" t="e">
        <f t="shared" si="198"/>
        <v>#REF!</v>
      </c>
      <c r="M782" s="35" t="e">
        <f t="shared" si="197"/>
        <v>#REF!</v>
      </c>
      <c r="N782" s="32"/>
      <c r="P782" s="50"/>
    </row>
    <row r="783" spans="1:24" x14ac:dyDescent="0.25">
      <c r="A783" s="14"/>
      <c r="B783" s="27"/>
      <c r="C783" s="28" t="s">
        <v>15</v>
      </c>
      <c r="D783" s="28"/>
      <c r="E783" s="28"/>
      <c r="F783" s="28"/>
      <c r="G783" s="42" t="e">
        <f>+'Jul-24'!G783+'Aug-24'!G783+'Sep-24'!G783+'Oct-24'!G783+'Nov-24'!G783+'Dec-24'!G783+'Jan-25'!G783+'Feb-25'!G783+#REF!+#REF!+#REF!+'Dec-25'!G783</f>
        <v>#REF!</v>
      </c>
      <c r="H783" s="42" t="e">
        <f>+'Jul-24'!H783+'Aug-24'!H783+'Sep-24'!H783+'Oct-24'!H783+'Nov-24'!H783+'Dec-24'!H783+'Jan-25'!H783+'Feb-25'!H783+#REF!+#REF!+#REF!+'Dec-25'!H783</f>
        <v>#REF!</v>
      </c>
      <c r="I783" s="42" t="e">
        <f>+'Jul-24'!I783+'Aug-24'!I783+'Sep-24'!I783+'Oct-24'!I783+'Nov-24'!I783+'Dec-24'!I783+'Jan-25'!I783+'Feb-25'!I783+#REF!+#REF!+#REF!+'Dec-25'!I783</f>
        <v>#REF!</v>
      </c>
      <c r="J783" s="42" t="e">
        <f>+'Jul-24'!J783+'Aug-24'!J783+'Sep-24'!J783+'Oct-24'!J783+'Nov-24'!J783+'Dec-24'!J783+'Jan-25'!J783+'Feb-25'!J783+#REF!+#REF!+#REF!+'Dec-25'!J783</f>
        <v>#REF!</v>
      </c>
      <c r="K783" s="42" t="e">
        <f>+'Jul-24'!K783+'Aug-24'!K783+'Sep-24'!K783+'Oct-24'!K783+'Nov-24'!K783+'Dec-24'!K783+'Jan-25'!K783+'Feb-25'!K783+#REF!+#REF!+#REF!+'Dec-25'!K783</f>
        <v>#REF!</v>
      </c>
      <c r="L783" s="35" t="e">
        <f t="shared" si="198"/>
        <v>#REF!</v>
      </c>
      <c r="M783" s="35" t="e">
        <f t="shared" si="197"/>
        <v>#REF!</v>
      </c>
      <c r="N783" s="32"/>
      <c r="P783" s="50"/>
    </row>
    <row r="784" spans="1:24" x14ac:dyDescent="0.25">
      <c r="A784" s="14"/>
      <c r="B784" s="27"/>
      <c r="C784" s="28" t="s">
        <v>16</v>
      </c>
      <c r="D784" s="28"/>
      <c r="E784" s="28"/>
      <c r="F784" s="28"/>
      <c r="G784" s="42" t="e">
        <f>+'Jul-24'!G784+'Aug-24'!G784+'Sep-24'!G784+'Oct-24'!G784+'Nov-24'!G784+'Dec-24'!G784+'Jan-25'!G784+'Feb-25'!G784+#REF!+#REF!+#REF!+'Dec-25'!G784</f>
        <v>#REF!</v>
      </c>
      <c r="H784" s="42" t="e">
        <f>+'Jul-24'!H784+'Aug-24'!H784+'Sep-24'!H784+'Oct-24'!H784+'Nov-24'!H784+'Dec-24'!H784+'Jan-25'!H784+'Feb-25'!H784+#REF!+#REF!+#REF!+'Dec-25'!H784</f>
        <v>#REF!</v>
      </c>
      <c r="I784" s="42" t="e">
        <f>+'Jul-24'!I784+'Aug-24'!I784+'Sep-24'!I784+'Oct-24'!I784+'Nov-24'!I784+'Dec-24'!I784+'Jan-25'!I784+'Feb-25'!I784+#REF!+#REF!+#REF!+'Dec-25'!I784</f>
        <v>#REF!</v>
      </c>
      <c r="J784" s="42" t="e">
        <f>+'Jul-24'!J784+'Aug-24'!J784+'Sep-24'!J784+'Oct-24'!J784+'Nov-24'!J784+'Dec-24'!J784+'Jan-25'!J784+'Feb-25'!J784+#REF!+#REF!+#REF!+'Dec-25'!J784</f>
        <v>#REF!</v>
      </c>
      <c r="K784" s="42" t="e">
        <f>+'Jul-24'!K784+'Aug-24'!K784+'Sep-24'!K784+'Oct-24'!K784+'Nov-24'!K784+'Dec-24'!K784+'Jan-25'!K784+'Feb-25'!K784+#REF!+#REF!+#REF!+'Dec-25'!K784</f>
        <v>#REF!</v>
      </c>
      <c r="L784" s="35" t="e">
        <f t="shared" si="198"/>
        <v>#REF!</v>
      </c>
      <c r="M784" s="35" t="e">
        <f t="shared" si="197"/>
        <v>#REF!</v>
      </c>
      <c r="N784" s="32"/>
      <c r="P784" s="50"/>
    </row>
    <row r="785" spans="1:24" ht="15.75" thickBot="1" x14ac:dyDescent="0.3">
      <c r="A785" s="14"/>
      <c r="B785" s="36"/>
      <c r="C785" s="37"/>
      <c r="D785" s="37"/>
      <c r="E785" s="37"/>
      <c r="F785" s="37"/>
      <c r="G785" s="38"/>
      <c r="H785" s="38"/>
      <c r="I785" s="38"/>
      <c r="J785" s="38"/>
      <c r="K785" s="38"/>
      <c r="L785" s="38"/>
      <c r="M785" s="38"/>
      <c r="N785" s="39"/>
      <c r="P785" s="50"/>
    </row>
    <row r="786" spans="1:24" ht="15.75" thickBot="1" x14ac:dyDescent="0.3">
      <c r="A786" s="14"/>
      <c r="G786" s="33"/>
      <c r="H786" s="33"/>
      <c r="I786" s="33"/>
      <c r="J786" s="33"/>
      <c r="K786" s="33"/>
      <c r="L786" s="33"/>
      <c r="M786" s="33"/>
      <c r="N786" s="33"/>
      <c r="P786" s="50"/>
    </row>
    <row r="787" spans="1:24" x14ac:dyDescent="0.25">
      <c r="A787" s="4">
        <f>+A771+1</f>
        <v>49</v>
      </c>
      <c r="B787" s="40"/>
      <c r="C787" s="6" t="s">
        <v>54</v>
      </c>
      <c r="D787" s="7"/>
      <c r="E787" s="8"/>
      <c r="F787" s="8"/>
      <c r="G787" s="10">
        <f>+$G$3</f>
        <v>2024</v>
      </c>
      <c r="H787" s="10">
        <f>+G787</f>
        <v>2024</v>
      </c>
      <c r="I787" s="10">
        <f t="shared" ref="I787:M788" si="199">+H787</f>
        <v>2024</v>
      </c>
      <c r="J787" s="10">
        <f t="shared" si="199"/>
        <v>2024</v>
      </c>
      <c r="K787" s="10">
        <f t="shared" si="199"/>
        <v>2024</v>
      </c>
      <c r="L787" s="10">
        <f t="shared" si="199"/>
        <v>2024</v>
      </c>
      <c r="M787" s="10">
        <f t="shared" si="199"/>
        <v>2024</v>
      </c>
      <c r="N787" s="11"/>
      <c r="P787" s="50"/>
      <c r="S787" s="12" t="str">
        <f>+C787</f>
        <v>ICBC Details</v>
      </c>
      <c r="T787" s="13" t="e">
        <f>+L791</f>
        <v>#REF!</v>
      </c>
      <c r="U787" s="13" t="e">
        <f>+L792+L793</f>
        <v>#REF!</v>
      </c>
      <c r="V787" s="13" t="e">
        <f>+L794+L795</f>
        <v>#REF!</v>
      </c>
      <c r="W787" s="13" t="e">
        <f>+L798</f>
        <v>#REF!</v>
      </c>
      <c r="X787" s="13" t="e">
        <f>+L796</f>
        <v>#REF!</v>
      </c>
    </row>
    <row r="788" spans="1:24" x14ac:dyDescent="0.25">
      <c r="A788" s="14"/>
      <c r="B788" s="15"/>
      <c r="C788" s="41" t="str">
        <f>+$C772</f>
        <v>Year to Date 2024/2025</v>
      </c>
      <c r="D788" s="18"/>
      <c r="E788" s="18"/>
      <c r="F788" s="18"/>
      <c r="G788" s="20" t="str">
        <f>+$G$4</f>
        <v>Week</v>
      </c>
      <c r="H788" s="20" t="str">
        <f>+G788</f>
        <v>Week</v>
      </c>
      <c r="I788" s="20" t="str">
        <f t="shared" si="199"/>
        <v>Week</v>
      </c>
      <c r="J788" s="20" t="str">
        <f t="shared" si="199"/>
        <v>Week</v>
      </c>
      <c r="K788" s="20" t="str">
        <f t="shared" si="199"/>
        <v>Week</v>
      </c>
      <c r="L788" s="20" t="str">
        <f t="shared" si="199"/>
        <v>Week</v>
      </c>
      <c r="M788" s="20" t="str">
        <f t="shared" si="199"/>
        <v>Week</v>
      </c>
      <c r="N788" s="21"/>
      <c r="P788" s="50"/>
    </row>
    <row r="789" spans="1:24" ht="15.75" thickBot="1" x14ac:dyDescent="0.3">
      <c r="A789" s="14"/>
      <c r="B789" s="22"/>
      <c r="C789" s="23"/>
      <c r="D789" s="23"/>
      <c r="E789" s="23"/>
      <c r="F789" s="23"/>
      <c r="G789" s="25">
        <f>+$G$5</f>
        <v>1</v>
      </c>
      <c r="H789" s="25">
        <f>+$H$5</f>
        <v>2</v>
      </c>
      <c r="I789" s="25">
        <f>+$I$5</f>
        <v>3</v>
      </c>
      <c r="J789" s="25">
        <f>+$J$5</f>
        <v>4</v>
      </c>
      <c r="K789" s="25">
        <f>+$K$5</f>
        <v>5</v>
      </c>
      <c r="L789" s="25" t="s">
        <v>6</v>
      </c>
      <c r="M789" s="25" t="s">
        <v>7</v>
      </c>
      <c r="N789" s="26"/>
      <c r="P789" s="50"/>
    </row>
    <row r="790" spans="1:24" x14ac:dyDescent="0.25">
      <c r="A790" s="14"/>
      <c r="B790" s="27"/>
      <c r="C790" s="28"/>
      <c r="D790" s="28"/>
      <c r="E790" s="28"/>
      <c r="F790" s="28"/>
      <c r="G790" s="29"/>
      <c r="H790" s="29"/>
      <c r="I790" s="29"/>
      <c r="J790" s="29"/>
      <c r="K790" s="28"/>
      <c r="L790" s="28"/>
      <c r="M790" s="28"/>
      <c r="N790" s="30"/>
      <c r="P790" s="50"/>
    </row>
    <row r="791" spans="1:24" x14ac:dyDescent="0.25">
      <c r="A791" s="14"/>
      <c r="B791" s="27"/>
      <c r="C791" s="28" t="s">
        <v>8</v>
      </c>
      <c r="D791" s="28"/>
      <c r="E791" s="28"/>
      <c r="F791" s="28"/>
      <c r="G791" s="31" t="e">
        <f>SUM(G792:G795)</f>
        <v>#REF!</v>
      </c>
      <c r="H791" s="31" t="e">
        <f t="shared" ref="H791:L791" si="200">SUM(H792:H795)</f>
        <v>#REF!</v>
      </c>
      <c r="I791" s="31" t="e">
        <f t="shared" si="200"/>
        <v>#REF!</v>
      </c>
      <c r="J791" s="31" t="e">
        <f t="shared" si="200"/>
        <v>#REF!</v>
      </c>
      <c r="K791" s="31" t="e">
        <f t="shared" si="200"/>
        <v>#REF!</v>
      </c>
      <c r="L791" s="31" t="e">
        <f t="shared" si="200"/>
        <v>#REF!</v>
      </c>
      <c r="M791" s="31" t="e">
        <f>ROUND((L791/$E$1),0)</f>
        <v>#REF!</v>
      </c>
      <c r="N791" s="32"/>
      <c r="P791" s="50"/>
    </row>
    <row r="792" spans="1:24" x14ac:dyDescent="0.25">
      <c r="A792" s="14"/>
      <c r="B792" s="27"/>
      <c r="C792" s="28"/>
      <c r="D792" s="28" t="s">
        <v>9</v>
      </c>
      <c r="E792" s="28"/>
      <c r="F792" s="28"/>
      <c r="G792" s="42" t="e">
        <f>+'Jul-24'!G792+'Aug-24'!G792+'Sep-24'!G792+'Oct-24'!G792+'Nov-24'!G792+'Dec-24'!G792+'Jan-25'!G792+'Feb-25'!G792+#REF!+#REF!+#REF!+'Dec-25'!G792</f>
        <v>#REF!</v>
      </c>
      <c r="H792" s="42" t="e">
        <f>+'Jul-24'!H792+'Aug-24'!H792+'Sep-24'!H792+'Oct-24'!H792+'Nov-24'!H792+'Dec-24'!H792+'Jan-25'!H792+'Feb-25'!H792+#REF!+#REF!+#REF!+'Dec-25'!H792</f>
        <v>#REF!</v>
      </c>
      <c r="I792" s="42" t="e">
        <f>+'Jul-24'!I792+'Aug-24'!I792+'Sep-24'!I792+'Oct-24'!I792+'Nov-24'!I792+'Dec-24'!I792+'Jan-25'!I792+'Feb-25'!I792+#REF!+#REF!+#REF!+'Dec-25'!I792</f>
        <v>#REF!</v>
      </c>
      <c r="J792" s="42" t="e">
        <f>+'Jul-24'!J792+'Aug-24'!J792+'Sep-24'!J792+'Oct-24'!J792+'Nov-24'!J792+'Dec-24'!J792+'Jan-25'!J792+'Feb-25'!J792+#REF!+#REF!+#REF!+'Dec-25'!J792</f>
        <v>#REF!</v>
      </c>
      <c r="K792" s="42" t="e">
        <f>+'Jul-24'!K792+'Aug-24'!K792+'Sep-24'!K792+'Oct-24'!K792+'Nov-24'!K792+'Dec-24'!K792+'Jan-25'!K792+'Feb-25'!K792+#REF!+#REF!+#REF!+'Dec-25'!K792</f>
        <v>#REF!</v>
      </c>
      <c r="L792" s="35" t="e">
        <f>SUM(G792:K792)</f>
        <v>#REF!</v>
      </c>
      <c r="M792" s="35" t="e">
        <f t="shared" ref="M792:M800" si="201">ROUND((L792/$E$1),0)</f>
        <v>#REF!</v>
      </c>
      <c r="N792" s="32"/>
      <c r="P792" s="50"/>
    </row>
    <row r="793" spans="1:24" x14ac:dyDescent="0.25">
      <c r="A793" s="14"/>
      <c r="B793" s="27"/>
      <c r="C793" s="28"/>
      <c r="D793" s="28" t="s">
        <v>10</v>
      </c>
      <c r="E793" s="28"/>
      <c r="F793" s="28"/>
      <c r="G793" s="42" t="e">
        <f>+'Jul-24'!G793+'Aug-24'!G793+'Sep-24'!G793+'Oct-24'!G793+'Nov-24'!G793+'Dec-24'!G793+'Jan-25'!G793+'Feb-25'!G793+#REF!+#REF!+#REF!+'Dec-25'!G793</f>
        <v>#REF!</v>
      </c>
      <c r="H793" s="42" t="e">
        <f>+'Jul-24'!H793+'Aug-24'!H793+'Sep-24'!H793+'Oct-24'!H793+'Nov-24'!H793+'Dec-24'!H793+'Jan-25'!H793+'Feb-25'!H793+#REF!+#REF!+#REF!+'Dec-25'!H793</f>
        <v>#REF!</v>
      </c>
      <c r="I793" s="42" t="e">
        <f>+'Jul-24'!I793+'Aug-24'!I793+'Sep-24'!I793+'Oct-24'!I793+'Nov-24'!I793+'Dec-24'!I793+'Jan-25'!I793+'Feb-25'!I793+#REF!+#REF!+#REF!+'Dec-25'!I793</f>
        <v>#REF!</v>
      </c>
      <c r="J793" s="42" t="e">
        <f>+'Jul-24'!J793+'Aug-24'!J793+'Sep-24'!J793+'Oct-24'!J793+'Nov-24'!J793+'Dec-24'!J793+'Jan-25'!J793+'Feb-25'!J793+#REF!+#REF!+#REF!+'Dec-25'!J793</f>
        <v>#REF!</v>
      </c>
      <c r="K793" s="42" t="e">
        <f>+'Jul-24'!K793+'Aug-24'!K793+'Sep-24'!K793+'Oct-24'!K793+'Nov-24'!K793+'Dec-24'!K793+'Jan-25'!K793+'Feb-25'!K793+#REF!+#REF!+#REF!+'Dec-25'!K793</f>
        <v>#REF!</v>
      </c>
      <c r="L793" s="35" t="e">
        <f t="shared" ref="L793:L800" si="202">SUM(G793:K793)</f>
        <v>#REF!</v>
      </c>
      <c r="M793" s="35" t="e">
        <f t="shared" si="201"/>
        <v>#REF!</v>
      </c>
      <c r="N793" s="32"/>
      <c r="P793" s="50"/>
    </row>
    <row r="794" spans="1:24" x14ac:dyDescent="0.25">
      <c r="A794" s="14"/>
      <c r="B794" s="27"/>
      <c r="C794" s="28"/>
      <c r="D794" s="28" t="s">
        <v>11</v>
      </c>
      <c r="E794" s="28"/>
      <c r="F794" s="28"/>
      <c r="G794" s="42" t="e">
        <f>+'Jul-24'!G794+'Aug-24'!G794+'Sep-24'!G794+'Oct-24'!G794+'Nov-24'!G794+'Dec-24'!G794+'Jan-25'!G794+'Feb-25'!G794+#REF!+#REF!+#REF!+'Dec-25'!G794</f>
        <v>#REF!</v>
      </c>
      <c r="H794" s="42" t="e">
        <f>+'Jul-24'!H794+'Aug-24'!H794+'Sep-24'!H794+'Oct-24'!H794+'Nov-24'!H794+'Dec-24'!H794+'Jan-25'!H794+'Feb-25'!H794+#REF!+#REF!+#REF!+'Dec-25'!H794</f>
        <v>#REF!</v>
      </c>
      <c r="I794" s="42" t="e">
        <f>+'Jul-24'!I794+'Aug-24'!I794+'Sep-24'!I794+'Oct-24'!I794+'Nov-24'!I794+'Dec-24'!I794+'Jan-25'!I794+'Feb-25'!I794+#REF!+#REF!+#REF!+'Dec-25'!I794</f>
        <v>#REF!</v>
      </c>
      <c r="J794" s="42" t="e">
        <f>+'Jul-24'!J794+'Aug-24'!J794+'Sep-24'!J794+'Oct-24'!J794+'Nov-24'!J794+'Dec-24'!J794+'Jan-25'!J794+'Feb-25'!J794+#REF!+#REF!+#REF!+'Dec-25'!J794</f>
        <v>#REF!</v>
      </c>
      <c r="K794" s="42" t="e">
        <f>+'Jul-24'!K794+'Aug-24'!K794+'Sep-24'!K794+'Oct-24'!K794+'Nov-24'!K794+'Dec-24'!K794+'Jan-25'!K794+'Feb-25'!K794+#REF!+#REF!+#REF!+'Dec-25'!K794</f>
        <v>#REF!</v>
      </c>
      <c r="L794" s="35" t="e">
        <f t="shared" si="202"/>
        <v>#REF!</v>
      </c>
      <c r="M794" s="35" t="e">
        <f t="shared" si="201"/>
        <v>#REF!</v>
      </c>
      <c r="N794" s="32"/>
      <c r="P794" s="50"/>
    </row>
    <row r="795" spans="1:24" x14ac:dyDescent="0.25">
      <c r="A795" s="14"/>
      <c r="B795" s="27"/>
      <c r="C795" s="28"/>
      <c r="D795" s="28" t="s">
        <v>12</v>
      </c>
      <c r="E795" s="28"/>
      <c r="F795" s="28"/>
      <c r="G795" s="43" t="e">
        <f>+'Jul-24'!G795+'Aug-24'!G795+'Sep-24'!G795+'Oct-24'!G795+'Nov-24'!G795+'Dec-24'!G795+'Jan-25'!G795+'Feb-25'!G795+#REF!+#REF!+#REF!+'Dec-25'!G795</f>
        <v>#REF!</v>
      </c>
      <c r="H795" s="43" t="e">
        <f>+'Jul-24'!H795+'Aug-24'!H795+'Sep-24'!H795+'Oct-24'!H795+'Nov-24'!H795+'Dec-24'!H795+'Jan-25'!H795+'Feb-25'!H795+#REF!+#REF!+#REF!+'Dec-25'!H795</f>
        <v>#REF!</v>
      </c>
      <c r="I795" s="43" t="e">
        <f>+'Jul-24'!I795+'Aug-24'!I795+'Sep-24'!I795+'Oct-24'!I795+'Nov-24'!I795+'Dec-24'!I795+'Jan-25'!I795+'Feb-25'!I795+#REF!+#REF!+#REF!+'Dec-25'!I795</f>
        <v>#REF!</v>
      </c>
      <c r="J795" s="43" t="e">
        <f>+'Jul-24'!J795+'Aug-24'!J795+'Sep-24'!J795+'Oct-24'!J795+'Nov-24'!J795+'Dec-24'!J795+'Jan-25'!J795+'Feb-25'!J795+#REF!+#REF!+#REF!+'Dec-25'!J795</f>
        <v>#REF!</v>
      </c>
      <c r="K795" s="43" t="e">
        <f>+'Jul-24'!K795+'Aug-24'!K795+'Sep-24'!K795+'Oct-24'!K795+'Nov-24'!K795+'Dec-24'!K795+'Jan-25'!K795+'Feb-25'!K795+#REF!+#REF!+#REF!+'Dec-25'!K795</f>
        <v>#REF!</v>
      </c>
      <c r="L795" s="31" t="e">
        <f t="shared" si="202"/>
        <v>#REF!</v>
      </c>
      <c r="M795" s="31" t="e">
        <f t="shared" si="201"/>
        <v>#REF!</v>
      </c>
      <c r="N795" s="32"/>
      <c r="P795" s="50"/>
    </row>
    <row r="796" spans="1:24" x14ac:dyDescent="0.25">
      <c r="A796" s="14"/>
      <c r="B796" s="27"/>
      <c r="C796" s="28" t="s">
        <v>13</v>
      </c>
      <c r="D796" s="28"/>
      <c r="E796" s="28"/>
      <c r="F796" s="28"/>
      <c r="G796" s="42" t="e">
        <f>+'Jul-24'!G796+'Aug-24'!G796+'Sep-24'!G796+'Oct-24'!G796+'Nov-24'!G796+'Dec-24'!G796+'Jan-25'!G796+'Feb-25'!G796+#REF!+#REF!+#REF!+'Dec-25'!G796</f>
        <v>#REF!</v>
      </c>
      <c r="H796" s="42" t="e">
        <f>+'Jul-24'!H796+'Aug-24'!H796+'Sep-24'!H796+'Oct-24'!H796+'Nov-24'!H796+'Dec-24'!H796+'Jan-25'!H796+'Feb-25'!H796+#REF!+#REF!+#REF!+'Dec-25'!H796</f>
        <v>#REF!</v>
      </c>
      <c r="I796" s="42" t="e">
        <f>+'Jul-24'!I796+'Aug-24'!I796+'Sep-24'!I796+'Oct-24'!I796+'Nov-24'!I796+'Dec-24'!I796+'Jan-25'!I796+'Feb-25'!I796+#REF!+#REF!+#REF!+'Dec-25'!I796</f>
        <v>#REF!</v>
      </c>
      <c r="J796" s="42" t="e">
        <f>+'Jul-24'!J796+'Aug-24'!J796+'Sep-24'!J796+'Oct-24'!J796+'Nov-24'!J796+'Dec-24'!J796+'Jan-25'!J796+'Feb-25'!J796+#REF!+#REF!+#REF!+'Dec-25'!J796</f>
        <v>#REF!</v>
      </c>
      <c r="K796" s="42" t="e">
        <f>+'Jul-24'!K796+'Aug-24'!K796+'Sep-24'!K796+'Oct-24'!K796+'Nov-24'!K796+'Dec-24'!K796+'Jan-25'!K796+'Feb-25'!K796+#REF!+#REF!+#REF!+'Dec-25'!K796</f>
        <v>#REF!</v>
      </c>
      <c r="L796" s="35" t="e">
        <f t="shared" si="202"/>
        <v>#REF!</v>
      </c>
      <c r="M796" s="35" t="e">
        <f t="shared" si="201"/>
        <v>#REF!</v>
      </c>
      <c r="N796" s="32"/>
      <c r="P796" s="50"/>
    </row>
    <row r="797" spans="1:24" x14ac:dyDescent="0.25">
      <c r="A797" s="14"/>
      <c r="B797" s="27"/>
      <c r="C797" s="28" t="s">
        <v>14</v>
      </c>
      <c r="D797" s="28"/>
      <c r="E797" s="28"/>
      <c r="F797" s="28"/>
      <c r="G797" s="42" t="e">
        <f>+'Jul-24'!G797+'Aug-24'!G797+'Sep-24'!G797+'Oct-24'!G797+'Nov-24'!G797+'Dec-24'!G797+'Jan-25'!G797+'Feb-25'!G797+#REF!+#REF!+#REF!+'Dec-25'!G797</f>
        <v>#REF!</v>
      </c>
      <c r="H797" s="42" t="e">
        <f>+'Jul-24'!H797+'Aug-24'!H797+'Sep-24'!H797+'Oct-24'!H797+'Nov-24'!H797+'Dec-24'!H797+'Jan-25'!H797+'Feb-25'!H797+#REF!+#REF!+#REF!+'Dec-25'!H797</f>
        <v>#REF!</v>
      </c>
      <c r="I797" s="42" t="e">
        <f>+'Jul-24'!I797+'Aug-24'!I797+'Sep-24'!I797+'Oct-24'!I797+'Nov-24'!I797+'Dec-24'!I797+'Jan-25'!I797+'Feb-25'!I797+#REF!+#REF!+#REF!+'Dec-25'!I797</f>
        <v>#REF!</v>
      </c>
      <c r="J797" s="42" t="e">
        <f>+'Jul-24'!J797+'Aug-24'!J797+'Sep-24'!J797+'Oct-24'!J797+'Nov-24'!J797+'Dec-24'!J797+'Jan-25'!J797+'Feb-25'!J797+#REF!+#REF!+#REF!+'Dec-25'!J797</f>
        <v>#REF!</v>
      </c>
      <c r="K797" s="42" t="e">
        <f>+'Jul-24'!K797+'Aug-24'!K797+'Sep-24'!K797+'Oct-24'!K797+'Nov-24'!K797+'Dec-24'!K797+'Jan-25'!K797+'Feb-25'!K797+#REF!+#REF!+#REF!+'Dec-25'!K797</f>
        <v>#REF!</v>
      </c>
      <c r="L797" s="35" t="e">
        <f t="shared" si="202"/>
        <v>#REF!</v>
      </c>
      <c r="M797" s="35" t="e">
        <f t="shared" si="201"/>
        <v>#REF!</v>
      </c>
      <c r="N797" s="32"/>
      <c r="P797" s="50"/>
    </row>
    <row r="798" spans="1:24" x14ac:dyDescent="0.25">
      <c r="A798" s="14"/>
      <c r="B798" s="27"/>
      <c r="C798" s="28" t="s">
        <v>4</v>
      </c>
      <c r="D798" s="28"/>
      <c r="E798" s="28"/>
      <c r="F798" s="28"/>
      <c r="G798" s="42" t="e">
        <f>+'Jul-24'!G798+'Aug-24'!G798+'Sep-24'!G798+'Oct-24'!G798+'Nov-24'!G798+'Dec-24'!G798+'Jan-25'!G798+'Feb-25'!G798+#REF!+#REF!+#REF!+'Dec-25'!G798</f>
        <v>#REF!</v>
      </c>
      <c r="H798" s="42" t="e">
        <f>+'Jul-24'!H798+'Aug-24'!H798+'Sep-24'!H798+'Oct-24'!H798+'Nov-24'!H798+'Dec-24'!H798+'Jan-25'!H798+'Feb-25'!H798+#REF!+#REF!+#REF!+'Dec-25'!H798</f>
        <v>#REF!</v>
      </c>
      <c r="I798" s="42" t="e">
        <f>+'Jul-24'!I798+'Aug-24'!I798+'Sep-24'!I798+'Oct-24'!I798+'Nov-24'!I798+'Dec-24'!I798+'Jan-25'!I798+'Feb-25'!I798+#REF!+#REF!+#REF!+'Dec-25'!I798</f>
        <v>#REF!</v>
      </c>
      <c r="J798" s="42" t="e">
        <f>+'Jul-24'!J798+'Aug-24'!J798+'Sep-24'!J798+'Oct-24'!J798+'Nov-24'!J798+'Dec-24'!J798+'Jan-25'!J798+'Feb-25'!J798+#REF!+#REF!+#REF!+'Dec-25'!J798</f>
        <v>#REF!</v>
      </c>
      <c r="K798" s="42" t="e">
        <f>+'Jul-24'!K798+'Aug-24'!K798+'Sep-24'!K798+'Oct-24'!K798+'Nov-24'!K798+'Dec-24'!K798+'Jan-25'!K798+'Feb-25'!K798+#REF!+#REF!+#REF!+'Dec-25'!K798</f>
        <v>#REF!</v>
      </c>
      <c r="L798" s="35" t="e">
        <f t="shared" si="202"/>
        <v>#REF!</v>
      </c>
      <c r="M798" s="35" t="e">
        <f t="shared" si="201"/>
        <v>#REF!</v>
      </c>
      <c r="N798" s="32"/>
      <c r="P798" s="50"/>
    </row>
    <row r="799" spans="1:24" x14ac:dyDescent="0.25">
      <c r="A799" s="14"/>
      <c r="B799" s="27"/>
      <c r="C799" s="28" t="s">
        <v>15</v>
      </c>
      <c r="D799" s="28"/>
      <c r="E799" s="28"/>
      <c r="F799" s="28"/>
      <c r="G799" s="42" t="e">
        <f>+'Jul-24'!G799+'Aug-24'!G799+'Sep-24'!G799+'Oct-24'!G799+'Nov-24'!G799+'Dec-24'!G799+'Jan-25'!G799+'Feb-25'!G799+#REF!+#REF!+#REF!+'Dec-25'!G799</f>
        <v>#REF!</v>
      </c>
      <c r="H799" s="42" t="e">
        <f>+'Jul-24'!H799+'Aug-24'!H799+'Sep-24'!H799+'Oct-24'!H799+'Nov-24'!H799+'Dec-24'!H799+'Jan-25'!H799+'Feb-25'!H799+#REF!+#REF!+#REF!+'Dec-25'!H799</f>
        <v>#REF!</v>
      </c>
      <c r="I799" s="42" t="e">
        <f>+'Jul-24'!I799+'Aug-24'!I799+'Sep-24'!I799+'Oct-24'!I799+'Nov-24'!I799+'Dec-24'!I799+'Jan-25'!I799+'Feb-25'!I799+#REF!+#REF!+#REF!+'Dec-25'!I799</f>
        <v>#REF!</v>
      </c>
      <c r="J799" s="42" t="e">
        <f>+'Jul-24'!J799+'Aug-24'!J799+'Sep-24'!J799+'Oct-24'!J799+'Nov-24'!J799+'Dec-24'!J799+'Jan-25'!J799+'Feb-25'!J799+#REF!+#REF!+#REF!+'Dec-25'!J799</f>
        <v>#REF!</v>
      </c>
      <c r="K799" s="42" t="e">
        <f>+'Jul-24'!K799+'Aug-24'!K799+'Sep-24'!K799+'Oct-24'!K799+'Nov-24'!K799+'Dec-24'!K799+'Jan-25'!K799+'Feb-25'!K799+#REF!+#REF!+#REF!+'Dec-25'!K799</f>
        <v>#REF!</v>
      </c>
      <c r="L799" s="35" t="e">
        <f t="shared" si="202"/>
        <v>#REF!</v>
      </c>
      <c r="M799" s="35" t="e">
        <f t="shared" si="201"/>
        <v>#REF!</v>
      </c>
      <c r="N799" s="32"/>
      <c r="P799" s="50"/>
    </row>
    <row r="800" spans="1:24" x14ac:dyDescent="0.25">
      <c r="A800" s="14"/>
      <c r="B800" s="27"/>
      <c r="C800" s="28" t="s">
        <v>16</v>
      </c>
      <c r="D800" s="28"/>
      <c r="E800" s="28"/>
      <c r="F800" s="28"/>
      <c r="G800" s="42" t="e">
        <f>+'Jul-24'!G800+'Aug-24'!G800+'Sep-24'!G800+'Oct-24'!G800+'Nov-24'!G800+'Dec-24'!G800+'Jan-25'!G800+'Feb-25'!G800+#REF!+#REF!+#REF!+'Dec-25'!G800</f>
        <v>#REF!</v>
      </c>
      <c r="H800" s="42" t="e">
        <f>+'Jul-24'!H800+'Aug-24'!H800+'Sep-24'!H800+'Oct-24'!H800+'Nov-24'!H800+'Dec-24'!H800+'Jan-25'!H800+'Feb-25'!H800+#REF!+#REF!+#REF!+'Dec-25'!H800</f>
        <v>#REF!</v>
      </c>
      <c r="I800" s="42" t="e">
        <f>+'Jul-24'!I800+'Aug-24'!I800+'Sep-24'!I800+'Oct-24'!I800+'Nov-24'!I800+'Dec-24'!I800+'Jan-25'!I800+'Feb-25'!I800+#REF!+#REF!+#REF!+'Dec-25'!I800</f>
        <v>#REF!</v>
      </c>
      <c r="J800" s="42" t="e">
        <f>+'Jul-24'!J800+'Aug-24'!J800+'Sep-24'!J800+'Oct-24'!J800+'Nov-24'!J800+'Dec-24'!J800+'Jan-25'!J800+'Feb-25'!J800+#REF!+#REF!+#REF!+'Dec-25'!J800</f>
        <v>#REF!</v>
      </c>
      <c r="K800" s="42" t="e">
        <f>+'Jul-24'!K800+'Aug-24'!K800+'Sep-24'!K800+'Oct-24'!K800+'Nov-24'!K800+'Dec-24'!K800+'Jan-25'!K800+'Feb-25'!K800+#REF!+#REF!+#REF!+'Dec-25'!K800</f>
        <v>#REF!</v>
      </c>
      <c r="L800" s="35" t="e">
        <f t="shared" si="202"/>
        <v>#REF!</v>
      </c>
      <c r="M800" s="35" t="e">
        <f t="shared" si="201"/>
        <v>#REF!</v>
      </c>
      <c r="N800" s="32"/>
      <c r="P800" s="50"/>
    </row>
    <row r="801" spans="1:24" ht="15.75" thickBot="1" x14ac:dyDescent="0.3">
      <c r="A801" s="14"/>
      <c r="B801" s="36"/>
      <c r="C801" s="37"/>
      <c r="D801" s="37"/>
      <c r="E801" s="37"/>
      <c r="F801" s="37"/>
      <c r="G801" s="38"/>
      <c r="H801" s="38"/>
      <c r="I801" s="38"/>
      <c r="J801" s="38"/>
      <c r="K801" s="38"/>
      <c r="L801" s="38"/>
      <c r="M801" s="38"/>
      <c r="N801" s="39"/>
      <c r="P801" s="50"/>
    </row>
    <row r="802" spans="1:24" ht="15.75" thickBot="1" x14ac:dyDescent="0.3">
      <c r="P802" s="50"/>
    </row>
    <row r="803" spans="1:24" x14ac:dyDescent="0.25">
      <c r="A803" s="4">
        <f>+A787+1</f>
        <v>50</v>
      </c>
      <c r="B803" s="40"/>
      <c r="C803" s="6" t="s">
        <v>54</v>
      </c>
      <c r="D803" s="7"/>
      <c r="E803" s="8"/>
      <c r="F803" s="8"/>
      <c r="G803" s="10">
        <f>+$G$3</f>
        <v>2024</v>
      </c>
      <c r="H803" s="10">
        <f>+G803</f>
        <v>2024</v>
      </c>
      <c r="I803" s="10">
        <f t="shared" ref="I803:M804" si="203">+H803</f>
        <v>2024</v>
      </c>
      <c r="J803" s="10">
        <f t="shared" si="203"/>
        <v>2024</v>
      </c>
      <c r="K803" s="10">
        <f t="shared" si="203"/>
        <v>2024</v>
      </c>
      <c r="L803" s="10">
        <f t="shared" si="203"/>
        <v>2024</v>
      </c>
      <c r="M803" s="10">
        <f t="shared" si="203"/>
        <v>2024</v>
      </c>
      <c r="N803" s="11"/>
      <c r="P803" s="50"/>
      <c r="S803" s="12" t="str">
        <f>+C803</f>
        <v>ICBC Details</v>
      </c>
      <c r="T803" s="13" t="e">
        <f>+L807</f>
        <v>#REF!</v>
      </c>
      <c r="U803" s="13" t="e">
        <f>+L808+L809</f>
        <v>#REF!</v>
      </c>
      <c r="V803" s="13" t="e">
        <f>+L810+L811</f>
        <v>#REF!</v>
      </c>
      <c r="W803" s="13" t="e">
        <f>+L814</f>
        <v>#REF!</v>
      </c>
      <c r="X803" s="13" t="e">
        <f>+L812</f>
        <v>#REF!</v>
      </c>
    </row>
    <row r="804" spans="1:24" x14ac:dyDescent="0.25">
      <c r="A804" s="14"/>
      <c r="B804" s="15"/>
      <c r="C804" s="41" t="str">
        <f>+$C788</f>
        <v>Year to Date 2024/2025</v>
      </c>
      <c r="D804" s="18"/>
      <c r="E804" s="18"/>
      <c r="F804" s="18"/>
      <c r="G804" s="20" t="str">
        <f>+$G$4</f>
        <v>Week</v>
      </c>
      <c r="H804" s="20" t="str">
        <f>+G804</f>
        <v>Week</v>
      </c>
      <c r="I804" s="20" t="str">
        <f t="shared" si="203"/>
        <v>Week</v>
      </c>
      <c r="J804" s="20" t="str">
        <f t="shared" si="203"/>
        <v>Week</v>
      </c>
      <c r="K804" s="20" t="str">
        <f t="shared" si="203"/>
        <v>Week</v>
      </c>
      <c r="L804" s="20" t="str">
        <f t="shared" si="203"/>
        <v>Week</v>
      </c>
      <c r="M804" s="20" t="str">
        <f t="shared" si="203"/>
        <v>Week</v>
      </c>
      <c r="N804" s="21"/>
      <c r="P804" s="50"/>
    </row>
    <row r="805" spans="1:24" ht="15.75" thickBot="1" x14ac:dyDescent="0.3">
      <c r="A805" s="14"/>
      <c r="B805" s="22"/>
      <c r="C805" s="23"/>
      <c r="D805" s="23"/>
      <c r="E805" s="23"/>
      <c r="F805" s="23"/>
      <c r="G805" s="25">
        <f>+$G$5</f>
        <v>1</v>
      </c>
      <c r="H805" s="25">
        <f>+$H$5</f>
        <v>2</v>
      </c>
      <c r="I805" s="25">
        <f>+$I$5</f>
        <v>3</v>
      </c>
      <c r="J805" s="25">
        <f>+$J$5</f>
        <v>4</v>
      </c>
      <c r="K805" s="25">
        <f>+$K$5</f>
        <v>5</v>
      </c>
      <c r="L805" s="25" t="s">
        <v>6</v>
      </c>
      <c r="M805" s="25" t="s">
        <v>7</v>
      </c>
      <c r="N805" s="26"/>
      <c r="P805" s="50"/>
    </row>
    <row r="806" spans="1:24" x14ac:dyDescent="0.25">
      <c r="A806" s="14"/>
      <c r="B806" s="27"/>
      <c r="C806" s="28"/>
      <c r="D806" s="28"/>
      <c r="E806" s="28"/>
      <c r="F806" s="28"/>
      <c r="G806" s="29"/>
      <c r="H806" s="29"/>
      <c r="I806" s="29"/>
      <c r="J806" s="29"/>
      <c r="K806" s="28"/>
      <c r="L806" s="28"/>
      <c r="M806" s="28"/>
      <c r="N806" s="30"/>
      <c r="P806" s="50"/>
    </row>
    <row r="807" spans="1:24" x14ac:dyDescent="0.25">
      <c r="A807" s="14"/>
      <c r="B807" s="27"/>
      <c r="C807" s="28" t="s">
        <v>8</v>
      </c>
      <c r="D807" s="28"/>
      <c r="E807" s="28"/>
      <c r="F807" s="28"/>
      <c r="G807" s="31" t="e">
        <f>SUM(G808:G811)</f>
        <v>#REF!</v>
      </c>
      <c r="H807" s="31" t="e">
        <f t="shared" ref="H807:L807" si="204">SUM(H808:H811)</f>
        <v>#REF!</v>
      </c>
      <c r="I807" s="31" t="e">
        <f t="shared" si="204"/>
        <v>#REF!</v>
      </c>
      <c r="J807" s="31" t="e">
        <f t="shared" si="204"/>
        <v>#REF!</v>
      </c>
      <c r="K807" s="31" t="e">
        <f t="shared" si="204"/>
        <v>#REF!</v>
      </c>
      <c r="L807" s="31" t="e">
        <f t="shared" si="204"/>
        <v>#REF!</v>
      </c>
      <c r="M807" s="31" t="e">
        <f>ROUND((L807/$E$1),0)</f>
        <v>#REF!</v>
      </c>
      <c r="N807" s="32"/>
      <c r="P807" s="50"/>
    </row>
    <row r="808" spans="1:24" x14ac:dyDescent="0.25">
      <c r="A808" s="14"/>
      <c r="B808" s="27"/>
      <c r="C808" s="28"/>
      <c r="D808" s="28" t="s">
        <v>9</v>
      </c>
      <c r="E808" s="28"/>
      <c r="F808" s="28"/>
      <c r="G808" s="42" t="e">
        <f>+'Jul-24'!G808+'Aug-24'!G808+'Sep-24'!G808+'Oct-24'!G808+'Nov-24'!G808+'Dec-24'!G808+'Jan-25'!G808+'Feb-25'!G808+#REF!+#REF!+#REF!+'Dec-25'!G808</f>
        <v>#REF!</v>
      </c>
      <c r="H808" s="42" t="e">
        <f>+'Jul-24'!H808+'Aug-24'!H808+'Sep-24'!H808+'Oct-24'!H808+'Nov-24'!H808+'Dec-24'!H808+'Jan-25'!H808+'Feb-25'!H808+#REF!+#REF!+#REF!+'Dec-25'!H808</f>
        <v>#REF!</v>
      </c>
      <c r="I808" s="42" t="e">
        <f>+'Jul-24'!I808+'Aug-24'!I808+'Sep-24'!I808+'Oct-24'!I808+'Nov-24'!I808+'Dec-24'!I808+'Jan-25'!I808+'Feb-25'!I808+#REF!+#REF!+#REF!+'Dec-25'!I808</f>
        <v>#REF!</v>
      </c>
      <c r="J808" s="42" t="e">
        <f>+'Jul-24'!J808+'Aug-24'!J808+'Sep-24'!J808+'Oct-24'!J808+'Nov-24'!J808+'Dec-24'!J808+'Jan-25'!J808+'Feb-25'!J808+#REF!+#REF!+#REF!+'Dec-25'!J808</f>
        <v>#REF!</v>
      </c>
      <c r="K808" s="42" t="e">
        <f>+'Jul-24'!K808+'Aug-24'!K808+'Sep-24'!K808+'Oct-24'!K808+'Nov-24'!K808+'Dec-24'!K808+'Jan-25'!K808+'Feb-25'!K808+#REF!+#REF!+#REF!+'Dec-25'!K808</f>
        <v>#REF!</v>
      </c>
      <c r="L808" s="35" t="e">
        <f>SUM(G808:K808)</f>
        <v>#REF!</v>
      </c>
      <c r="M808" s="35" t="e">
        <f t="shared" ref="M808:M816" si="205">ROUND((L808/$E$1),0)</f>
        <v>#REF!</v>
      </c>
      <c r="N808" s="32"/>
      <c r="P808" s="50"/>
    </row>
    <row r="809" spans="1:24" x14ac:dyDescent="0.25">
      <c r="A809" s="14"/>
      <c r="B809" s="27"/>
      <c r="C809" s="28"/>
      <c r="D809" s="28" t="s">
        <v>10</v>
      </c>
      <c r="E809" s="28"/>
      <c r="F809" s="28"/>
      <c r="G809" s="42" t="e">
        <f>+'Jul-24'!G809+'Aug-24'!G809+'Sep-24'!G809+'Oct-24'!G809+'Nov-24'!G809+'Dec-24'!G809+'Jan-25'!G809+'Feb-25'!G809+#REF!+#REF!+#REF!+'Dec-25'!G809</f>
        <v>#REF!</v>
      </c>
      <c r="H809" s="42" t="e">
        <f>+'Jul-24'!H809+'Aug-24'!H809+'Sep-24'!H809+'Oct-24'!H809+'Nov-24'!H809+'Dec-24'!H809+'Jan-25'!H809+'Feb-25'!H809+#REF!+#REF!+#REF!+'Dec-25'!H809</f>
        <v>#REF!</v>
      </c>
      <c r="I809" s="42" t="e">
        <f>+'Jul-24'!I809+'Aug-24'!I809+'Sep-24'!I809+'Oct-24'!I809+'Nov-24'!I809+'Dec-24'!I809+'Jan-25'!I809+'Feb-25'!I809+#REF!+#REF!+#REF!+'Dec-25'!I809</f>
        <v>#REF!</v>
      </c>
      <c r="J809" s="42" t="e">
        <f>+'Jul-24'!J809+'Aug-24'!J809+'Sep-24'!J809+'Oct-24'!J809+'Nov-24'!J809+'Dec-24'!J809+'Jan-25'!J809+'Feb-25'!J809+#REF!+#REF!+#REF!+'Dec-25'!J809</f>
        <v>#REF!</v>
      </c>
      <c r="K809" s="42" t="e">
        <f>+'Jul-24'!K809+'Aug-24'!K809+'Sep-24'!K809+'Oct-24'!K809+'Nov-24'!K809+'Dec-24'!K809+'Jan-25'!K809+'Feb-25'!K809+#REF!+#REF!+#REF!+'Dec-25'!K809</f>
        <v>#REF!</v>
      </c>
      <c r="L809" s="35" t="e">
        <f t="shared" ref="L809:L816" si="206">SUM(G809:K809)</f>
        <v>#REF!</v>
      </c>
      <c r="M809" s="35" t="e">
        <f t="shared" si="205"/>
        <v>#REF!</v>
      </c>
      <c r="N809" s="32"/>
      <c r="P809" s="50"/>
    </row>
    <row r="810" spans="1:24" x14ac:dyDescent="0.25">
      <c r="A810" s="14"/>
      <c r="B810" s="27"/>
      <c r="C810" s="28"/>
      <c r="D810" s="28" t="s">
        <v>11</v>
      </c>
      <c r="E810" s="28"/>
      <c r="F810" s="28"/>
      <c r="G810" s="42" t="e">
        <f>+'Jul-24'!G810+'Aug-24'!G810+'Sep-24'!G810+'Oct-24'!G810+'Nov-24'!G810+'Dec-24'!G810+'Jan-25'!G810+'Feb-25'!G810+#REF!+#REF!+#REF!+'Dec-25'!G810</f>
        <v>#REF!</v>
      </c>
      <c r="H810" s="42" t="e">
        <f>+'Jul-24'!H810+'Aug-24'!H810+'Sep-24'!H810+'Oct-24'!H810+'Nov-24'!H810+'Dec-24'!H810+'Jan-25'!H810+'Feb-25'!H810+#REF!+#REF!+#REF!+'Dec-25'!H810</f>
        <v>#REF!</v>
      </c>
      <c r="I810" s="42" t="e">
        <f>+'Jul-24'!I810+'Aug-24'!I810+'Sep-24'!I810+'Oct-24'!I810+'Nov-24'!I810+'Dec-24'!I810+'Jan-25'!I810+'Feb-25'!I810+#REF!+#REF!+#REF!+'Dec-25'!I810</f>
        <v>#REF!</v>
      </c>
      <c r="J810" s="42" t="e">
        <f>+'Jul-24'!J810+'Aug-24'!J810+'Sep-24'!J810+'Oct-24'!J810+'Nov-24'!J810+'Dec-24'!J810+'Jan-25'!J810+'Feb-25'!J810+#REF!+#REF!+#REF!+'Dec-25'!J810</f>
        <v>#REF!</v>
      </c>
      <c r="K810" s="42" t="e">
        <f>+'Jul-24'!K810+'Aug-24'!K810+'Sep-24'!K810+'Oct-24'!K810+'Nov-24'!K810+'Dec-24'!K810+'Jan-25'!K810+'Feb-25'!K810+#REF!+#REF!+#REF!+'Dec-25'!K810</f>
        <v>#REF!</v>
      </c>
      <c r="L810" s="35" t="e">
        <f t="shared" si="206"/>
        <v>#REF!</v>
      </c>
      <c r="M810" s="35" t="e">
        <f t="shared" si="205"/>
        <v>#REF!</v>
      </c>
      <c r="N810" s="32"/>
      <c r="P810" s="50"/>
    </row>
    <row r="811" spans="1:24" x14ac:dyDescent="0.25">
      <c r="A811" s="14"/>
      <c r="B811" s="27"/>
      <c r="C811" s="28"/>
      <c r="D811" s="28" t="s">
        <v>12</v>
      </c>
      <c r="E811" s="28"/>
      <c r="F811" s="28"/>
      <c r="G811" s="43" t="e">
        <f>+'Jul-24'!G811+'Aug-24'!G811+'Sep-24'!G811+'Oct-24'!G811+'Nov-24'!G811+'Dec-24'!G811+'Jan-25'!G811+'Feb-25'!G811+#REF!+#REF!+#REF!+'Dec-25'!G811</f>
        <v>#REF!</v>
      </c>
      <c r="H811" s="43" t="e">
        <f>+'Jul-24'!H811+'Aug-24'!H811+'Sep-24'!H811+'Oct-24'!H811+'Nov-24'!H811+'Dec-24'!H811+'Jan-25'!H811+'Feb-25'!H811+#REF!+#REF!+#REF!+'Dec-25'!H811</f>
        <v>#REF!</v>
      </c>
      <c r="I811" s="43" t="e">
        <f>+'Jul-24'!I811+'Aug-24'!I811+'Sep-24'!I811+'Oct-24'!I811+'Nov-24'!I811+'Dec-24'!I811+'Jan-25'!I811+'Feb-25'!I811+#REF!+#REF!+#REF!+'Dec-25'!I811</f>
        <v>#REF!</v>
      </c>
      <c r="J811" s="43" t="e">
        <f>+'Jul-24'!J811+'Aug-24'!J811+'Sep-24'!J811+'Oct-24'!J811+'Nov-24'!J811+'Dec-24'!J811+'Jan-25'!J811+'Feb-25'!J811+#REF!+#REF!+#REF!+'Dec-25'!J811</f>
        <v>#REF!</v>
      </c>
      <c r="K811" s="43" t="e">
        <f>+'Jul-24'!K811+'Aug-24'!K811+'Sep-24'!K811+'Oct-24'!K811+'Nov-24'!K811+'Dec-24'!K811+'Jan-25'!K811+'Feb-25'!K811+#REF!+#REF!+#REF!+'Dec-25'!K811</f>
        <v>#REF!</v>
      </c>
      <c r="L811" s="31" t="e">
        <f t="shared" si="206"/>
        <v>#REF!</v>
      </c>
      <c r="M811" s="31" t="e">
        <f t="shared" si="205"/>
        <v>#REF!</v>
      </c>
      <c r="N811" s="32"/>
      <c r="P811" s="50"/>
    </row>
    <row r="812" spans="1:24" x14ac:dyDescent="0.25">
      <c r="A812" s="14"/>
      <c r="B812" s="27"/>
      <c r="C812" s="28" t="s">
        <v>13</v>
      </c>
      <c r="D812" s="28"/>
      <c r="E812" s="28"/>
      <c r="F812" s="28"/>
      <c r="G812" s="42" t="e">
        <f>+'Jul-24'!G812+'Aug-24'!G812+'Sep-24'!G812+'Oct-24'!G812+'Nov-24'!G812+'Dec-24'!G812+'Jan-25'!G812+'Feb-25'!G812+#REF!+#REF!+#REF!+'Dec-25'!G812</f>
        <v>#REF!</v>
      </c>
      <c r="H812" s="42" t="e">
        <f>+'Jul-24'!H812+'Aug-24'!H812+'Sep-24'!H812+'Oct-24'!H812+'Nov-24'!H812+'Dec-24'!H812+'Jan-25'!H812+'Feb-25'!H812+#REF!+#REF!+#REF!+'Dec-25'!H812</f>
        <v>#REF!</v>
      </c>
      <c r="I812" s="42" t="e">
        <f>+'Jul-24'!I812+'Aug-24'!I812+'Sep-24'!I812+'Oct-24'!I812+'Nov-24'!I812+'Dec-24'!I812+'Jan-25'!I812+'Feb-25'!I812+#REF!+#REF!+#REF!+'Dec-25'!I812</f>
        <v>#REF!</v>
      </c>
      <c r="J812" s="42" t="e">
        <f>+'Jul-24'!J812+'Aug-24'!J812+'Sep-24'!J812+'Oct-24'!J812+'Nov-24'!J812+'Dec-24'!J812+'Jan-25'!J812+'Feb-25'!J812+#REF!+#REF!+#REF!+'Dec-25'!J812</f>
        <v>#REF!</v>
      </c>
      <c r="K812" s="42" t="e">
        <f>+'Jul-24'!K812+'Aug-24'!K812+'Sep-24'!K812+'Oct-24'!K812+'Nov-24'!K812+'Dec-24'!K812+'Jan-25'!K812+'Feb-25'!K812+#REF!+#REF!+#REF!+'Dec-25'!K812</f>
        <v>#REF!</v>
      </c>
      <c r="L812" s="35" t="e">
        <f t="shared" si="206"/>
        <v>#REF!</v>
      </c>
      <c r="M812" s="35" t="e">
        <f t="shared" si="205"/>
        <v>#REF!</v>
      </c>
      <c r="N812" s="32"/>
      <c r="P812" s="50"/>
    </row>
    <row r="813" spans="1:24" x14ac:dyDescent="0.25">
      <c r="A813" s="14"/>
      <c r="B813" s="27"/>
      <c r="C813" s="28" t="s">
        <v>14</v>
      </c>
      <c r="D813" s="28"/>
      <c r="E813" s="28"/>
      <c r="F813" s="28"/>
      <c r="G813" s="42" t="e">
        <f>+'Jul-24'!G813+'Aug-24'!G813+'Sep-24'!G813+'Oct-24'!G813+'Nov-24'!G813+'Dec-24'!G813+'Jan-25'!G813+'Feb-25'!G813+#REF!+#REF!+#REF!+'Dec-25'!G813</f>
        <v>#REF!</v>
      </c>
      <c r="H813" s="42" t="e">
        <f>+'Jul-24'!H813+'Aug-24'!H813+'Sep-24'!H813+'Oct-24'!H813+'Nov-24'!H813+'Dec-24'!H813+'Jan-25'!H813+'Feb-25'!H813+#REF!+#REF!+#REF!+'Dec-25'!H813</f>
        <v>#REF!</v>
      </c>
      <c r="I813" s="42" t="e">
        <f>+'Jul-24'!I813+'Aug-24'!I813+'Sep-24'!I813+'Oct-24'!I813+'Nov-24'!I813+'Dec-24'!I813+'Jan-25'!I813+'Feb-25'!I813+#REF!+#REF!+#REF!+'Dec-25'!I813</f>
        <v>#REF!</v>
      </c>
      <c r="J813" s="42" t="e">
        <f>+'Jul-24'!J813+'Aug-24'!J813+'Sep-24'!J813+'Oct-24'!J813+'Nov-24'!J813+'Dec-24'!J813+'Jan-25'!J813+'Feb-25'!J813+#REF!+#REF!+#REF!+'Dec-25'!J813</f>
        <v>#REF!</v>
      </c>
      <c r="K813" s="42" t="e">
        <f>+'Jul-24'!K813+'Aug-24'!K813+'Sep-24'!K813+'Oct-24'!K813+'Nov-24'!K813+'Dec-24'!K813+'Jan-25'!K813+'Feb-25'!K813+#REF!+#REF!+#REF!+'Dec-25'!K813</f>
        <v>#REF!</v>
      </c>
      <c r="L813" s="35" t="e">
        <f t="shared" si="206"/>
        <v>#REF!</v>
      </c>
      <c r="M813" s="35" t="e">
        <f t="shared" si="205"/>
        <v>#REF!</v>
      </c>
      <c r="N813" s="32"/>
      <c r="P813" s="50"/>
    </row>
    <row r="814" spans="1:24" x14ac:dyDescent="0.25">
      <c r="A814" s="14"/>
      <c r="B814" s="27"/>
      <c r="C814" s="28" t="s">
        <v>4</v>
      </c>
      <c r="D814" s="28"/>
      <c r="E814" s="28"/>
      <c r="F814" s="28"/>
      <c r="G814" s="42" t="e">
        <f>+'Jul-24'!G814+'Aug-24'!G814+'Sep-24'!G814+'Oct-24'!G814+'Nov-24'!G814+'Dec-24'!G814+'Jan-25'!G814+'Feb-25'!G814+#REF!+#REF!+#REF!+'Dec-25'!G814</f>
        <v>#REF!</v>
      </c>
      <c r="H814" s="42" t="e">
        <f>+'Jul-24'!H814+'Aug-24'!H814+'Sep-24'!H814+'Oct-24'!H814+'Nov-24'!H814+'Dec-24'!H814+'Jan-25'!H814+'Feb-25'!H814+#REF!+#REF!+#REF!+'Dec-25'!H814</f>
        <v>#REF!</v>
      </c>
      <c r="I814" s="42" t="e">
        <f>+'Jul-24'!I814+'Aug-24'!I814+'Sep-24'!I814+'Oct-24'!I814+'Nov-24'!I814+'Dec-24'!I814+'Jan-25'!I814+'Feb-25'!I814+#REF!+#REF!+#REF!+'Dec-25'!I814</f>
        <v>#REF!</v>
      </c>
      <c r="J814" s="42" t="e">
        <f>+'Jul-24'!J814+'Aug-24'!J814+'Sep-24'!J814+'Oct-24'!J814+'Nov-24'!J814+'Dec-24'!J814+'Jan-25'!J814+'Feb-25'!J814+#REF!+#REF!+#REF!+'Dec-25'!J814</f>
        <v>#REF!</v>
      </c>
      <c r="K814" s="42" t="e">
        <f>+'Jul-24'!K814+'Aug-24'!K814+'Sep-24'!K814+'Oct-24'!K814+'Nov-24'!K814+'Dec-24'!K814+'Jan-25'!K814+'Feb-25'!K814+#REF!+#REF!+#REF!+'Dec-25'!K814</f>
        <v>#REF!</v>
      </c>
      <c r="L814" s="35" t="e">
        <f t="shared" si="206"/>
        <v>#REF!</v>
      </c>
      <c r="M814" s="35" t="e">
        <f t="shared" si="205"/>
        <v>#REF!</v>
      </c>
      <c r="N814" s="32"/>
      <c r="P814" s="50"/>
    </row>
    <row r="815" spans="1:24" x14ac:dyDescent="0.25">
      <c r="A815" s="14"/>
      <c r="B815" s="27"/>
      <c r="C815" s="28" t="s">
        <v>15</v>
      </c>
      <c r="D815" s="28"/>
      <c r="E815" s="28"/>
      <c r="F815" s="28"/>
      <c r="G815" s="42" t="e">
        <f>+'Jul-24'!G815+'Aug-24'!G815+'Sep-24'!G815+'Oct-24'!G815+'Nov-24'!G815+'Dec-24'!G815+'Jan-25'!G815+'Feb-25'!G815+#REF!+#REF!+#REF!+'Dec-25'!G815</f>
        <v>#REF!</v>
      </c>
      <c r="H815" s="42" t="e">
        <f>+'Jul-24'!H815+'Aug-24'!H815+'Sep-24'!H815+'Oct-24'!H815+'Nov-24'!H815+'Dec-24'!H815+'Jan-25'!H815+'Feb-25'!H815+#REF!+#REF!+#REF!+'Dec-25'!H815</f>
        <v>#REF!</v>
      </c>
      <c r="I815" s="42" t="e">
        <f>+'Jul-24'!I815+'Aug-24'!I815+'Sep-24'!I815+'Oct-24'!I815+'Nov-24'!I815+'Dec-24'!I815+'Jan-25'!I815+'Feb-25'!I815+#REF!+#REF!+#REF!+'Dec-25'!I815</f>
        <v>#REF!</v>
      </c>
      <c r="J815" s="42" t="e">
        <f>+'Jul-24'!J815+'Aug-24'!J815+'Sep-24'!J815+'Oct-24'!J815+'Nov-24'!J815+'Dec-24'!J815+'Jan-25'!J815+'Feb-25'!J815+#REF!+#REF!+#REF!+'Dec-25'!J815</f>
        <v>#REF!</v>
      </c>
      <c r="K815" s="42" t="e">
        <f>+'Jul-24'!K815+'Aug-24'!K815+'Sep-24'!K815+'Oct-24'!K815+'Nov-24'!K815+'Dec-24'!K815+'Jan-25'!K815+'Feb-25'!K815+#REF!+#REF!+#REF!+'Dec-25'!K815</f>
        <v>#REF!</v>
      </c>
      <c r="L815" s="35" t="e">
        <f t="shared" si="206"/>
        <v>#REF!</v>
      </c>
      <c r="M815" s="35" t="e">
        <f t="shared" si="205"/>
        <v>#REF!</v>
      </c>
      <c r="N815" s="32"/>
      <c r="P815" s="50"/>
    </row>
    <row r="816" spans="1:24" x14ac:dyDescent="0.25">
      <c r="A816" s="14"/>
      <c r="B816" s="27"/>
      <c r="C816" s="28" t="s">
        <v>16</v>
      </c>
      <c r="D816" s="28"/>
      <c r="E816" s="28"/>
      <c r="F816" s="28"/>
      <c r="G816" s="42" t="e">
        <f>+'Jul-24'!G816+'Aug-24'!G816+'Sep-24'!G816+'Oct-24'!G816+'Nov-24'!G816+'Dec-24'!G816+'Jan-25'!G816+'Feb-25'!G816+#REF!+#REF!+#REF!+'Dec-25'!G816</f>
        <v>#REF!</v>
      </c>
      <c r="H816" s="42" t="e">
        <f>+'Jul-24'!H816+'Aug-24'!H816+'Sep-24'!H816+'Oct-24'!H816+'Nov-24'!H816+'Dec-24'!H816+'Jan-25'!H816+'Feb-25'!H816+#REF!+#REF!+#REF!+'Dec-25'!H816</f>
        <v>#REF!</v>
      </c>
      <c r="I816" s="42" t="e">
        <f>+'Jul-24'!I816+'Aug-24'!I816+'Sep-24'!I816+'Oct-24'!I816+'Nov-24'!I816+'Dec-24'!I816+'Jan-25'!I816+'Feb-25'!I816+#REF!+#REF!+#REF!+'Dec-25'!I816</f>
        <v>#REF!</v>
      </c>
      <c r="J816" s="42" t="e">
        <f>+'Jul-24'!J816+'Aug-24'!J816+'Sep-24'!J816+'Oct-24'!J816+'Nov-24'!J816+'Dec-24'!J816+'Jan-25'!J816+'Feb-25'!J816+#REF!+#REF!+#REF!+'Dec-25'!J816</f>
        <v>#REF!</v>
      </c>
      <c r="K816" s="42" t="e">
        <f>+'Jul-24'!K816+'Aug-24'!K816+'Sep-24'!K816+'Oct-24'!K816+'Nov-24'!K816+'Dec-24'!K816+'Jan-25'!K816+'Feb-25'!K816+#REF!+#REF!+#REF!+'Dec-25'!K816</f>
        <v>#REF!</v>
      </c>
      <c r="L816" s="35" t="e">
        <f t="shared" si="206"/>
        <v>#REF!</v>
      </c>
      <c r="M816" s="35" t="e">
        <f t="shared" si="205"/>
        <v>#REF!</v>
      </c>
      <c r="N816" s="32"/>
      <c r="P816" s="50"/>
    </row>
    <row r="817" spans="1:16" ht="15.75" thickBot="1" x14ac:dyDescent="0.3">
      <c r="A817" s="14"/>
      <c r="B817" s="36"/>
      <c r="C817" s="37"/>
      <c r="D817" s="37"/>
      <c r="E817" s="37"/>
      <c r="F817" s="37"/>
      <c r="G817" s="38"/>
      <c r="H817" s="38"/>
      <c r="I817" s="38"/>
      <c r="J817" s="38"/>
      <c r="K817" s="38"/>
      <c r="L817" s="38"/>
      <c r="M817" s="38"/>
      <c r="N817" s="39"/>
      <c r="P817" s="50"/>
    </row>
    <row r="818" spans="1:16" x14ac:dyDescent="0.25">
      <c r="P818" s="50"/>
    </row>
    <row r="819" spans="1:16" x14ac:dyDescent="0.25">
      <c r="P819" s="50"/>
    </row>
    <row r="820" spans="1:16" x14ac:dyDescent="0.25">
      <c r="P820" s="50"/>
    </row>
    <row r="821" spans="1:16" x14ac:dyDescent="0.25">
      <c r="P821" s="50"/>
    </row>
    <row r="822" spans="1:16" x14ac:dyDescent="0.25">
      <c r="P822" s="50"/>
    </row>
    <row r="823" spans="1:16" x14ac:dyDescent="0.25">
      <c r="P823" s="50"/>
    </row>
    <row r="824" spans="1:16" x14ac:dyDescent="0.25">
      <c r="P824" s="50"/>
    </row>
    <row r="825" spans="1:16" x14ac:dyDescent="0.25">
      <c r="P825" s="50"/>
    </row>
    <row r="826" spans="1:16" x14ac:dyDescent="0.25">
      <c r="P826" s="50"/>
    </row>
    <row r="827" spans="1:16" x14ac:dyDescent="0.25">
      <c r="P827" s="50"/>
    </row>
    <row r="828" spans="1:16" x14ac:dyDescent="0.25">
      <c r="P828" s="50"/>
    </row>
    <row r="829" spans="1:16" x14ac:dyDescent="0.25">
      <c r="P829" s="50"/>
    </row>
    <row r="830" spans="1:16" x14ac:dyDescent="0.25">
      <c r="P830" s="50"/>
    </row>
    <row r="831" spans="1:16" x14ac:dyDescent="0.25">
      <c r="P831" s="50"/>
    </row>
    <row r="832" spans="1:16" x14ac:dyDescent="0.25">
      <c r="P832" s="50"/>
    </row>
    <row r="833" spans="16:16" x14ac:dyDescent="0.25">
      <c r="P833" s="50"/>
    </row>
    <row r="834" spans="16:16" x14ac:dyDescent="0.25">
      <c r="P834" s="50"/>
    </row>
    <row r="835" spans="16:16" x14ac:dyDescent="0.25">
      <c r="P835" s="50"/>
    </row>
    <row r="836" spans="16:16" x14ac:dyDescent="0.25">
      <c r="P836" s="50"/>
    </row>
    <row r="837" spans="16:16" x14ac:dyDescent="0.25">
      <c r="P837" s="50"/>
    </row>
    <row r="838" spans="16:16" x14ac:dyDescent="0.25">
      <c r="P838" s="50"/>
    </row>
    <row r="839" spans="16:16" x14ac:dyDescent="0.25">
      <c r="P839" s="50"/>
    </row>
    <row r="840" spans="16:16" x14ac:dyDescent="0.25">
      <c r="P840" s="50"/>
    </row>
    <row r="841" spans="16:16" x14ac:dyDescent="0.25">
      <c r="P841" s="50"/>
    </row>
    <row r="842" spans="16:16" x14ac:dyDescent="0.25">
      <c r="P842" s="50"/>
    </row>
    <row r="843" spans="16:16" x14ac:dyDescent="0.25">
      <c r="P843" s="50"/>
    </row>
    <row r="844" spans="16:16" x14ac:dyDescent="0.25">
      <c r="P844" s="50"/>
    </row>
    <row r="845" spans="16:16" x14ac:dyDescent="0.25">
      <c r="P845" s="50"/>
    </row>
    <row r="846" spans="16:16" x14ac:dyDescent="0.25">
      <c r="P846" s="50"/>
    </row>
    <row r="847" spans="16:16" x14ac:dyDescent="0.25">
      <c r="P847" s="50"/>
    </row>
    <row r="848" spans="16:16" x14ac:dyDescent="0.25">
      <c r="P848" s="50"/>
    </row>
    <row r="849" spans="16:16" x14ac:dyDescent="0.25">
      <c r="P849" s="50"/>
    </row>
    <row r="850" spans="16:16" x14ac:dyDescent="0.25">
      <c r="P850" s="50"/>
    </row>
    <row r="851" spans="16:16" x14ac:dyDescent="0.25">
      <c r="P851" s="5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8"/>
  <sheetViews>
    <sheetView workbookViewId="0"/>
  </sheetViews>
  <sheetFormatPr defaultRowHeight="15" x14ac:dyDescent="0.25"/>
  <cols>
    <col min="1" max="1" width="1.140625" customWidth="1"/>
    <col min="2" max="2" width="0.85546875" customWidth="1"/>
    <col min="3" max="3" width="6.85546875" customWidth="1"/>
    <col min="4" max="4" width="16.7109375" customWidth="1"/>
    <col min="5" max="5" width="0.28515625" customWidth="1"/>
    <col min="6" max="6" width="1.42578125" customWidth="1"/>
    <col min="14" max="14" width="1.140625" customWidth="1"/>
  </cols>
  <sheetData>
    <row r="1" spans="1:19" ht="15.75" thickBo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x14ac:dyDescent="0.25">
      <c r="A2" s="4"/>
      <c r="B2" s="5"/>
      <c r="C2" s="53" t="s">
        <v>5</v>
      </c>
      <c r="D2" s="8"/>
      <c r="E2" s="8"/>
      <c r="F2" s="8"/>
      <c r="G2" s="10" t="s">
        <v>65</v>
      </c>
      <c r="H2" s="10" t="str">
        <f>+G2</f>
        <v>2024/25</v>
      </c>
      <c r="I2" s="10" t="str">
        <f t="shared" ref="I2:M3" si="0">+H2</f>
        <v>2024/25</v>
      </c>
      <c r="J2" s="10" t="str">
        <f t="shared" si="0"/>
        <v>2024/25</v>
      </c>
      <c r="K2" s="10" t="str">
        <f t="shared" si="0"/>
        <v>2024/25</v>
      </c>
      <c r="L2" s="10" t="str">
        <f t="shared" si="0"/>
        <v>2024/25</v>
      </c>
      <c r="M2" s="10" t="str">
        <f t="shared" si="0"/>
        <v>2024/25</v>
      </c>
      <c r="N2" s="11"/>
      <c r="O2" s="1"/>
    </row>
    <row r="3" spans="1:19" x14ac:dyDescent="0.25">
      <c r="A3" s="14"/>
      <c r="B3" s="15"/>
      <c r="C3" s="41" t="s">
        <v>66</v>
      </c>
      <c r="D3" s="18"/>
      <c r="E3" s="18"/>
      <c r="F3" s="18"/>
      <c r="G3" s="54" t="s">
        <v>102</v>
      </c>
      <c r="H3" s="20" t="str">
        <f>+G3</f>
        <v>Jan</v>
      </c>
      <c r="I3" s="20" t="str">
        <f t="shared" si="0"/>
        <v>Jan</v>
      </c>
      <c r="J3" s="20" t="str">
        <f t="shared" si="0"/>
        <v>Jan</v>
      </c>
      <c r="K3" s="20" t="str">
        <f t="shared" si="0"/>
        <v>Jan</v>
      </c>
      <c r="L3" s="20" t="str">
        <f t="shared" si="0"/>
        <v>Jan</v>
      </c>
      <c r="M3" s="20" t="str">
        <f t="shared" si="0"/>
        <v>Jan</v>
      </c>
      <c r="N3" s="21"/>
      <c r="O3" s="1"/>
    </row>
    <row r="4" spans="1:19" ht="15.75" thickBot="1" x14ac:dyDescent="0.3">
      <c r="A4" s="14"/>
      <c r="B4" s="22"/>
      <c r="C4" s="58" t="s">
        <v>64</v>
      </c>
      <c r="D4" s="25" t="e">
        <f>+'Tot-2425'!E1</f>
        <v>#REF!</v>
      </c>
      <c r="E4" s="23"/>
      <c r="F4" s="23"/>
      <c r="G4" s="25">
        <v>1</v>
      </c>
      <c r="H4" s="25">
        <v>2</v>
      </c>
      <c r="I4" s="25">
        <v>3</v>
      </c>
      <c r="J4" s="25">
        <v>4</v>
      </c>
      <c r="K4" s="25">
        <v>5</v>
      </c>
      <c r="L4" s="25" t="s">
        <v>6</v>
      </c>
      <c r="M4" s="25" t="s">
        <v>7</v>
      </c>
      <c r="N4" s="26"/>
      <c r="O4" s="1"/>
    </row>
    <row r="5" spans="1:19" x14ac:dyDescent="0.25">
      <c r="A5" s="14"/>
      <c r="B5" s="27"/>
      <c r="C5" s="28"/>
      <c r="D5" s="28"/>
      <c r="E5" s="28"/>
      <c r="F5" s="28"/>
      <c r="G5" s="29"/>
      <c r="H5" s="29"/>
      <c r="I5" s="29"/>
      <c r="J5" s="29"/>
      <c r="K5" s="28"/>
      <c r="L5" s="28"/>
      <c r="M5" s="28"/>
      <c r="N5" s="30"/>
      <c r="O5" s="1"/>
    </row>
    <row r="6" spans="1:19" x14ac:dyDescent="0.25">
      <c r="A6" s="14"/>
      <c r="B6" s="27"/>
      <c r="C6" s="55" t="s">
        <v>8</v>
      </c>
      <c r="D6" s="55"/>
      <c r="E6" s="55"/>
      <c r="F6" s="55"/>
      <c r="G6" s="56" t="e">
        <f>SUM(G7:G10)</f>
        <v>#REF!</v>
      </c>
      <c r="H6" s="56" t="e">
        <f t="shared" ref="H6:L6" si="1">SUM(H7:H10)</f>
        <v>#REF!</v>
      </c>
      <c r="I6" s="56" t="e">
        <f t="shared" si="1"/>
        <v>#REF!</v>
      </c>
      <c r="J6" s="56" t="e">
        <f t="shared" si="1"/>
        <v>#REF!</v>
      </c>
      <c r="K6" s="56" t="e">
        <f t="shared" si="1"/>
        <v>#REF!</v>
      </c>
      <c r="L6" s="56" t="e">
        <f t="shared" si="1"/>
        <v>#REF!</v>
      </c>
      <c r="M6" s="56" t="e">
        <f t="shared" ref="M6:M13" si="2">ROUND((L6/$D$4),0)</f>
        <v>#REF!</v>
      </c>
      <c r="N6" s="32"/>
      <c r="O6" s="33"/>
      <c r="P6" s="56"/>
      <c r="S6" s="57"/>
    </row>
    <row r="7" spans="1:19" x14ac:dyDescent="0.25">
      <c r="A7" s="14"/>
      <c r="B7" s="27"/>
      <c r="C7" s="28"/>
      <c r="D7" s="28" t="s">
        <v>9</v>
      </c>
      <c r="E7" s="28"/>
      <c r="F7" s="28"/>
      <c r="G7" s="35" t="e">
        <f>+'Tot-2425'!G8</f>
        <v>#REF!</v>
      </c>
      <c r="H7" s="35" t="e">
        <f>+'Tot-2425'!H8</f>
        <v>#REF!</v>
      </c>
      <c r="I7" s="35" t="e">
        <f>+'Tot-2425'!I8</f>
        <v>#REF!</v>
      </c>
      <c r="J7" s="35" t="e">
        <f>+'Tot-2425'!J8</f>
        <v>#REF!</v>
      </c>
      <c r="K7" s="35" t="e">
        <f>+'Tot-2425'!K8</f>
        <v>#REF!</v>
      </c>
      <c r="L7" s="35" t="e">
        <f>SUM(G7:K7)</f>
        <v>#REF!</v>
      </c>
      <c r="M7" s="35" t="e">
        <f t="shared" si="2"/>
        <v>#REF!</v>
      </c>
      <c r="N7" s="32"/>
      <c r="O7" s="33"/>
      <c r="P7" s="35"/>
      <c r="Q7" s="35"/>
      <c r="S7" s="57"/>
    </row>
    <row r="8" spans="1:19" x14ac:dyDescent="0.25">
      <c r="A8" s="14"/>
      <c r="B8" s="27"/>
      <c r="C8" s="28"/>
      <c r="D8" s="28" t="s">
        <v>10</v>
      </c>
      <c r="E8" s="28"/>
      <c r="F8" s="28"/>
      <c r="G8" s="35" t="e">
        <f>+'Tot-2425'!G9</f>
        <v>#REF!</v>
      </c>
      <c r="H8" s="35" t="e">
        <f>+'Tot-2425'!H9</f>
        <v>#REF!</v>
      </c>
      <c r="I8" s="35" t="e">
        <f>+'Tot-2425'!I9</f>
        <v>#REF!</v>
      </c>
      <c r="J8" s="35" t="e">
        <f>+'Tot-2425'!J9</f>
        <v>#REF!</v>
      </c>
      <c r="K8" s="35" t="e">
        <f>+'Tot-2425'!K9</f>
        <v>#REF!</v>
      </c>
      <c r="L8" s="35" t="e">
        <f t="shared" ref="L8:L13" si="3">SUM(G8:K8)</f>
        <v>#REF!</v>
      </c>
      <c r="M8" s="35" t="e">
        <f t="shared" si="2"/>
        <v>#REF!</v>
      </c>
      <c r="N8" s="32"/>
      <c r="O8" s="33"/>
      <c r="P8" s="35"/>
      <c r="Q8" s="35"/>
      <c r="S8" s="57"/>
    </row>
    <row r="9" spans="1:19" x14ac:dyDescent="0.25">
      <c r="A9" s="14"/>
      <c r="B9" s="27"/>
      <c r="C9" s="28"/>
      <c r="D9" s="28" t="s">
        <v>11</v>
      </c>
      <c r="E9" s="28"/>
      <c r="F9" s="28"/>
      <c r="G9" s="35" t="e">
        <f>+'Tot-2425'!G10</f>
        <v>#REF!</v>
      </c>
      <c r="H9" s="35" t="e">
        <f>+'Tot-2425'!H10</f>
        <v>#REF!</v>
      </c>
      <c r="I9" s="35" t="e">
        <f>+'Tot-2425'!I10</f>
        <v>#REF!</v>
      </c>
      <c r="J9" s="35" t="e">
        <f>+'Tot-2425'!J10</f>
        <v>#REF!</v>
      </c>
      <c r="K9" s="35" t="e">
        <f>+'Tot-2425'!K10</f>
        <v>#REF!</v>
      </c>
      <c r="L9" s="35" t="e">
        <f t="shared" si="3"/>
        <v>#REF!</v>
      </c>
      <c r="M9" s="35" t="e">
        <f t="shared" si="2"/>
        <v>#REF!</v>
      </c>
      <c r="N9" s="32"/>
      <c r="O9" s="33"/>
      <c r="P9" s="35"/>
      <c r="Q9" s="35"/>
      <c r="S9" s="57"/>
    </row>
    <row r="10" spans="1:19" x14ac:dyDescent="0.25">
      <c r="A10" s="14"/>
      <c r="B10" s="27"/>
      <c r="C10" s="28"/>
      <c r="D10" s="28" t="s">
        <v>12</v>
      </c>
      <c r="E10" s="28"/>
      <c r="F10" s="28"/>
      <c r="G10" s="35" t="e">
        <f>+'Tot-2425'!G11</f>
        <v>#REF!</v>
      </c>
      <c r="H10" s="35" t="e">
        <f>+'Tot-2425'!H11</f>
        <v>#REF!</v>
      </c>
      <c r="I10" s="35" t="e">
        <f>+'Tot-2425'!I11</f>
        <v>#REF!</v>
      </c>
      <c r="J10" s="35" t="e">
        <f>+'Tot-2425'!J11</f>
        <v>#REF!</v>
      </c>
      <c r="K10" s="35" t="e">
        <f>+'Tot-2425'!K11</f>
        <v>#REF!</v>
      </c>
      <c r="L10" s="35" t="e">
        <f t="shared" si="3"/>
        <v>#REF!</v>
      </c>
      <c r="M10" s="35" t="e">
        <f t="shared" si="2"/>
        <v>#REF!</v>
      </c>
      <c r="N10" s="32"/>
      <c r="O10" s="33"/>
      <c r="P10" s="35"/>
      <c r="Q10" s="35"/>
      <c r="S10" s="57"/>
    </row>
    <row r="11" spans="1:19" x14ac:dyDescent="0.25">
      <c r="A11" s="14"/>
      <c r="B11" s="27"/>
      <c r="C11" s="28" t="s">
        <v>13</v>
      </c>
      <c r="D11" s="28"/>
      <c r="E11" s="28"/>
      <c r="F11" s="28"/>
      <c r="G11" s="35" t="e">
        <f>+'Tot-2425'!G12</f>
        <v>#REF!</v>
      </c>
      <c r="H11" s="35" t="e">
        <f>+'Tot-2425'!H12</f>
        <v>#REF!</v>
      </c>
      <c r="I11" s="35" t="e">
        <f>+'Tot-2425'!I12</f>
        <v>#REF!</v>
      </c>
      <c r="J11" s="35" t="e">
        <f>+'Tot-2425'!J12</f>
        <v>#REF!</v>
      </c>
      <c r="K11" s="35" t="e">
        <f>+'Tot-2425'!K12</f>
        <v>#REF!</v>
      </c>
      <c r="L11" s="35" t="e">
        <f t="shared" si="3"/>
        <v>#REF!</v>
      </c>
      <c r="M11" s="35" t="e">
        <f t="shared" si="2"/>
        <v>#REF!</v>
      </c>
      <c r="N11" s="32"/>
      <c r="O11" s="33"/>
      <c r="P11" s="35"/>
      <c r="Q11" s="35"/>
      <c r="S11" s="57"/>
    </row>
    <row r="12" spans="1:19" x14ac:dyDescent="0.25">
      <c r="A12" s="14"/>
      <c r="B12" s="27"/>
      <c r="C12" s="28" t="s">
        <v>14</v>
      </c>
      <c r="D12" s="28"/>
      <c r="E12" s="28"/>
      <c r="F12" s="28"/>
      <c r="G12" s="35" t="e">
        <f>+'Tot-2425'!G13</f>
        <v>#REF!</v>
      </c>
      <c r="H12" s="35" t="e">
        <f>+'Tot-2425'!H13</f>
        <v>#REF!</v>
      </c>
      <c r="I12" s="35" t="e">
        <f>+'Tot-2425'!I13</f>
        <v>#REF!</v>
      </c>
      <c r="J12" s="35" t="e">
        <f>+'Tot-2425'!J13</f>
        <v>#REF!</v>
      </c>
      <c r="K12" s="35" t="e">
        <f>+'Tot-2425'!K13</f>
        <v>#REF!</v>
      </c>
      <c r="L12" s="35" t="e">
        <f t="shared" si="3"/>
        <v>#REF!</v>
      </c>
      <c r="M12" s="35" t="e">
        <f t="shared" si="2"/>
        <v>#REF!</v>
      </c>
      <c r="N12" s="32"/>
      <c r="O12" s="33"/>
      <c r="P12" s="35"/>
      <c r="Q12" s="35"/>
      <c r="S12" s="57"/>
    </row>
    <row r="13" spans="1:19" x14ac:dyDescent="0.25">
      <c r="A13" s="14"/>
      <c r="B13" s="27"/>
      <c r="C13" s="28" t="s">
        <v>4</v>
      </c>
      <c r="D13" s="28"/>
      <c r="E13" s="28"/>
      <c r="F13" s="28"/>
      <c r="G13" s="35" t="e">
        <f>+'Tot-2425'!G14</f>
        <v>#REF!</v>
      </c>
      <c r="H13" s="35" t="e">
        <f>+'Tot-2425'!H14</f>
        <v>#REF!</v>
      </c>
      <c r="I13" s="35" t="e">
        <f>+'Tot-2425'!I14</f>
        <v>#REF!</v>
      </c>
      <c r="J13" s="35" t="e">
        <f>+'Tot-2425'!J14</f>
        <v>#REF!</v>
      </c>
      <c r="K13" s="35" t="e">
        <f>+'Tot-2425'!K14</f>
        <v>#REF!</v>
      </c>
      <c r="L13" s="35" t="e">
        <f t="shared" si="3"/>
        <v>#REF!</v>
      </c>
      <c r="M13" s="35" t="e">
        <f t="shared" si="2"/>
        <v>#REF!</v>
      </c>
      <c r="N13" s="32"/>
      <c r="O13" s="33"/>
      <c r="P13" s="35"/>
      <c r="Q13" s="35"/>
      <c r="S13" s="57"/>
    </row>
    <row r="14" spans="1:19" ht="15.75" thickBot="1" x14ac:dyDescent="0.3">
      <c r="A14" s="14"/>
      <c r="B14" s="36"/>
      <c r="C14" s="37"/>
      <c r="D14" s="37"/>
      <c r="E14" s="37"/>
      <c r="F14" s="37"/>
      <c r="G14" s="38"/>
      <c r="H14" s="38"/>
      <c r="I14" s="38"/>
      <c r="J14" s="38"/>
      <c r="K14" s="38"/>
      <c r="L14" s="38"/>
      <c r="M14" s="38"/>
      <c r="N14" s="39"/>
      <c r="O14" s="33"/>
    </row>
    <row r="15" spans="1:19" ht="15.75" thickBot="1" x14ac:dyDescent="0.3">
      <c r="A15" s="14"/>
      <c r="B15" s="1"/>
      <c r="C15" s="1"/>
      <c r="D15" s="1"/>
      <c r="E15" s="1"/>
      <c r="F15" s="1"/>
      <c r="G15" s="33"/>
      <c r="H15" s="33"/>
      <c r="I15" s="33"/>
      <c r="J15" s="33"/>
      <c r="K15" s="33"/>
      <c r="L15" s="33"/>
      <c r="M15" s="33"/>
      <c r="N15" s="33"/>
      <c r="O15" s="33"/>
    </row>
    <row r="16" spans="1:19" x14ac:dyDescent="0.25">
      <c r="B16" s="5"/>
      <c r="C16" s="53" t="s">
        <v>5</v>
      </c>
      <c r="D16" s="8"/>
      <c r="E16" s="8"/>
      <c r="F16" s="8"/>
      <c r="G16" s="10" t="s">
        <v>65</v>
      </c>
      <c r="H16" s="10" t="str">
        <f>+G16</f>
        <v>2024/25</v>
      </c>
      <c r="I16" s="10" t="str">
        <f t="shared" ref="I16:I17" si="4">+H16</f>
        <v>2024/25</v>
      </c>
      <c r="J16" s="10" t="str">
        <f t="shared" ref="J16:J17" si="5">+I16</f>
        <v>2024/25</v>
      </c>
      <c r="K16" s="10" t="str">
        <f t="shared" ref="K16:K17" si="6">+J16</f>
        <v>2024/25</v>
      </c>
      <c r="L16" s="10" t="str">
        <f t="shared" ref="L16:L17" si="7">+K16</f>
        <v>2024/25</v>
      </c>
      <c r="M16" s="10" t="str">
        <f t="shared" ref="M16:M17" si="8">+L16</f>
        <v>2024/25</v>
      </c>
      <c r="N16" s="11"/>
    </row>
    <row r="17" spans="2:14" x14ac:dyDescent="0.25">
      <c r="B17" s="15"/>
      <c r="C17" s="41" t="s">
        <v>67</v>
      </c>
      <c r="D17" s="18"/>
      <c r="E17" s="18"/>
      <c r="F17" s="18"/>
      <c r="G17" s="54" t="str">
        <f>+G3</f>
        <v>Jan</v>
      </c>
      <c r="H17" s="20" t="str">
        <f>+G17</f>
        <v>Jan</v>
      </c>
      <c r="I17" s="20" t="str">
        <f t="shared" si="4"/>
        <v>Jan</v>
      </c>
      <c r="J17" s="20" t="str">
        <f t="shared" si="5"/>
        <v>Jan</v>
      </c>
      <c r="K17" s="20" t="str">
        <f t="shared" si="6"/>
        <v>Jan</v>
      </c>
      <c r="L17" s="20" t="str">
        <f t="shared" si="7"/>
        <v>Jan</v>
      </c>
      <c r="M17" s="20" t="str">
        <f t="shared" si="8"/>
        <v>Jan</v>
      </c>
      <c r="N17" s="21"/>
    </row>
    <row r="18" spans="2:14" ht="15.75" thickBot="1" x14ac:dyDescent="0.3">
      <c r="B18" s="22"/>
      <c r="C18" s="58" t="s">
        <v>64</v>
      </c>
      <c r="D18" s="25">
        <f>+'Jan-25'!E1</f>
        <v>4</v>
      </c>
      <c r="E18" s="23"/>
      <c r="F18" s="23"/>
      <c r="G18" s="25">
        <v>1</v>
      </c>
      <c r="H18" s="25">
        <v>2</v>
      </c>
      <c r="I18" s="25">
        <v>3</v>
      </c>
      <c r="J18" s="25">
        <v>4</v>
      </c>
      <c r="K18" s="25">
        <v>5</v>
      </c>
      <c r="L18" s="25" t="s">
        <v>6</v>
      </c>
      <c r="M18" s="25" t="s">
        <v>7</v>
      </c>
      <c r="N18" s="26"/>
    </row>
    <row r="19" spans="2:14" x14ac:dyDescent="0.25">
      <c r="B19" s="27"/>
      <c r="C19" s="28"/>
      <c r="D19" s="28"/>
      <c r="E19" s="28"/>
      <c r="F19" s="28"/>
      <c r="G19" s="29"/>
      <c r="H19" s="29"/>
      <c r="I19" s="29"/>
      <c r="J19" s="29"/>
      <c r="K19" s="28"/>
      <c r="L19" s="28"/>
      <c r="M19" s="28"/>
      <c r="N19" s="30"/>
    </row>
    <row r="20" spans="2:14" x14ac:dyDescent="0.25">
      <c r="B20" s="27"/>
      <c r="C20" s="55" t="s">
        <v>8</v>
      </c>
      <c r="D20" s="55"/>
      <c r="E20" s="55"/>
      <c r="F20" s="55"/>
      <c r="G20" s="56">
        <f>SUM(G21:G24)</f>
        <v>2749</v>
      </c>
      <c r="H20" s="56">
        <f t="shared" ref="H20:L20" si="9">SUM(H21:H24)</f>
        <v>2639</v>
      </c>
      <c r="I20" s="56">
        <f t="shared" si="9"/>
        <v>3058</v>
      </c>
      <c r="J20" s="56">
        <f t="shared" si="9"/>
        <v>3126</v>
      </c>
      <c r="K20" s="56">
        <f t="shared" si="9"/>
        <v>0</v>
      </c>
      <c r="L20" s="56">
        <f t="shared" si="9"/>
        <v>11572</v>
      </c>
      <c r="M20" s="56">
        <f>ROUND((L20/$D$18),0)</f>
        <v>2893</v>
      </c>
      <c r="N20" s="32"/>
    </row>
    <row r="21" spans="2:14" x14ac:dyDescent="0.25">
      <c r="B21" s="27"/>
      <c r="C21" s="28"/>
      <c r="D21" s="28" t="s">
        <v>9</v>
      </c>
      <c r="E21" s="28"/>
      <c r="F21" s="28"/>
      <c r="G21" s="35">
        <f>+'Jan-25'!G8</f>
        <v>180</v>
      </c>
      <c r="H21" s="35">
        <f>+'Jan-25'!H8</f>
        <v>199</v>
      </c>
      <c r="I21" s="35">
        <f>+'Jan-25'!I8</f>
        <v>186</v>
      </c>
      <c r="J21" s="35">
        <f>+'Jan-25'!J8</f>
        <v>199</v>
      </c>
      <c r="K21" s="35">
        <f>+'Jan-25'!K8</f>
        <v>0</v>
      </c>
      <c r="L21" s="35">
        <f>SUM(G21:K21)</f>
        <v>764</v>
      </c>
      <c r="M21" s="56">
        <f t="shared" ref="M21:M27" si="10">ROUND((L21/$D$18),0)</f>
        <v>191</v>
      </c>
      <c r="N21" s="32"/>
    </row>
    <row r="22" spans="2:14" x14ac:dyDescent="0.25">
      <c r="B22" s="27"/>
      <c r="C22" s="28"/>
      <c r="D22" s="28" t="s">
        <v>10</v>
      </c>
      <c r="E22" s="28"/>
      <c r="F22" s="28"/>
      <c r="G22" s="35">
        <f>+'Jan-25'!G9</f>
        <v>492</v>
      </c>
      <c r="H22" s="35">
        <f>+'Jan-25'!H9</f>
        <v>491</v>
      </c>
      <c r="I22" s="35">
        <f>+'Jan-25'!I9</f>
        <v>570</v>
      </c>
      <c r="J22" s="35">
        <f>+'Jan-25'!J9</f>
        <v>554</v>
      </c>
      <c r="K22" s="35">
        <f>+'Jan-25'!K9</f>
        <v>0</v>
      </c>
      <c r="L22" s="35">
        <f t="shared" ref="L22:L27" si="11">SUM(G22:K22)</f>
        <v>2107</v>
      </c>
      <c r="M22" s="56">
        <f t="shared" si="10"/>
        <v>527</v>
      </c>
      <c r="N22" s="32"/>
    </row>
    <row r="23" spans="2:14" x14ac:dyDescent="0.25">
      <c r="B23" s="27"/>
      <c r="C23" s="28"/>
      <c r="D23" s="28" t="s">
        <v>11</v>
      </c>
      <c r="E23" s="28"/>
      <c r="F23" s="28"/>
      <c r="G23" s="35">
        <f>+'Jan-25'!G10</f>
        <v>712</v>
      </c>
      <c r="H23" s="35">
        <f>+'Jan-25'!H10</f>
        <v>706</v>
      </c>
      <c r="I23" s="35">
        <f>+'Jan-25'!I10</f>
        <v>746</v>
      </c>
      <c r="J23" s="35">
        <f>+'Jan-25'!J10</f>
        <v>816</v>
      </c>
      <c r="K23" s="35">
        <f>+'Jan-25'!K10</f>
        <v>0</v>
      </c>
      <c r="L23" s="35">
        <f t="shared" si="11"/>
        <v>2980</v>
      </c>
      <c r="M23" s="56">
        <f t="shared" si="10"/>
        <v>745</v>
      </c>
      <c r="N23" s="32"/>
    </row>
    <row r="24" spans="2:14" x14ac:dyDescent="0.25">
      <c r="B24" s="27"/>
      <c r="C24" s="28"/>
      <c r="D24" s="28" t="s">
        <v>12</v>
      </c>
      <c r="E24" s="28"/>
      <c r="F24" s="28"/>
      <c r="G24" s="35">
        <f>+'Jan-25'!G11</f>
        <v>1365</v>
      </c>
      <c r="H24" s="35">
        <f>+'Jan-25'!H11</f>
        <v>1243</v>
      </c>
      <c r="I24" s="35">
        <f>+'Jan-25'!I11</f>
        <v>1556</v>
      </c>
      <c r="J24" s="35">
        <f>+'Jan-25'!J11</f>
        <v>1557</v>
      </c>
      <c r="K24" s="35">
        <f>+'Jan-25'!K11</f>
        <v>0</v>
      </c>
      <c r="L24" s="35">
        <f t="shared" si="11"/>
        <v>5721</v>
      </c>
      <c r="M24" s="56">
        <f t="shared" si="10"/>
        <v>1430</v>
      </c>
      <c r="N24" s="32"/>
    </row>
    <row r="25" spans="2:14" x14ac:dyDescent="0.25">
      <c r="B25" s="27"/>
      <c r="C25" s="28" t="s">
        <v>13</v>
      </c>
      <c r="D25" s="28"/>
      <c r="E25" s="28"/>
      <c r="F25" s="28"/>
      <c r="G25" s="35">
        <f>+'Jan-25'!G12</f>
        <v>41</v>
      </c>
      <c r="H25" s="35">
        <f>+'Jan-25'!H12</f>
        <v>45</v>
      </c>
      <c r="I25" s="35">
        <f>+'Jan-25'!I12</f>
        <v>34</v>
      </c>
      <c r="J25" s="35">
        <f>+'Jan-25'!J12</f>
        <v>62</v>
      </c>
      <c r="K25" s="35">
        <f>+'Jan-25'!K12</f>
        <v>0</v>
      </c>
      <c r="L25" s="35">
        <f t="shared" si="11"/>
        <v>182</v>
      </c>
      <c r="M25" s="56">
        <f t="shared" si="10"/>
        <v>46</v>
      </c>
      <c r="N25" s="32"/>
    </row>
    <row r="26" spans="2:14" x14ac:dyDescent="0.25">
      <c r="B26" s="27"/>
      <c r="C26" s="28" t="s">
        <v>14</v>
      </c>
      <c r="D26" s="28"/>
      <c r="E26" s="28"/>
      <c r="F26" s="28"/>
      <c r="G26" s="35">
        <f>+'Jan-25'!G13</f>
        <v>0</v>
      </c>
      <c r="H26" s="35">
        <f>+'Jan-25'!H13</f>
        <v>0</v>
      </c>
      <c r="I26" s="35">
        <f>+'Jan-25'!I13</f>
        <v>0</v>
      </c>
      <c r="J26" s="35">
        <f>+'Jan-25'!J13</f>
        <v>0</v>
      </c>
      <c r="K26" s="35">
        <f>+'Jan-25'!K13</f>
        <v>0</v>
      </c>
      <c r="L26" s="35">
        <f t="shared" si="11"/>
        <v>0</v>
      </c>
      <c r="M26" s="56">
        <f t="shared" si="10"/>
        <v>0</v>
      </c>
      <c r="N26" s="32"/>
    </row>
    <row r="27" spans="2:14" x14ac:dyDescent="0.25">
      <c r="B27" s="27"/>
      <c r="C27" s="28" t="s">
        <v>4</v>
      </c>
      <c r="D27" s="28"/>
      <c r="E27" s="28"/>
      <c r="F27" s="28"/>
      <c r="G27" s="35">
        <f>+'Jan-25'!G14</f>
        <v>99</v>
      </c>
      <c r="H27" s="35">
        <f>+'Jan-25'!H14</f>
        <v>114</v>
      </c>
      <c r="I27" s="35">
        <f>+'Jan-25'!I14</f>
        <v>133</v>
      </c>
      <c r="J27" s="35">
        <f>+'Jan-25'!J14</f>
        <v>101</v>
      </c>
      <c r="K27" s="35">
        <f>+'Jan-25'!K14</f>
        <v>0</v>
      </c>
      <c r="L27" s="35">
        <f t="shared" si="11"/>
        <v>447</v>
      </c>
      <c r="M27" s="56">
        <f t="shared" si="10"/>
        <v>112</v>
      </c>
      <c r="N27" s="32"/>
    </row>
    <row r="28" spans="2:14" ht="15.75" thickBot="1" x14ac:dyDescent="0.3">
      <c r="B28" s="36"/>
      <c r="C28" s="37"/>
      <c r="D28" s="37"/>
      <c r="E28" s="37"/>
      <c r="F28" s="37"/>
      <c r="G28" s="38"/>
      <c r="H28" s="38"/>
      <c r="I28" s="38"/>
      <c r="J28" s="38"/>
      <c r="K28" s="38"/>
      <c r="L28" s="38"/>
      <c r="M28" s="38"/>
      <c r="N28" s="39"/>
    </row>
  </sheetData>
  <pageMargins left="0.59055118110236227" right="0.19685039370078741" top="0.39370078740157483" bottom="0.19685039370078741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8"/>
  <sheetViews>
    <sheetView zoomScaleNormal="100" workbookViewId="0"/>
  </sheetViews>
  <sheetFormatPr defaultRowHeight="15" x14ac:dyDescent="0.25"/>
  <cols>
    <col min="1" max="1" width="18.5703125" bestFit="1" customWidth="1"/>
    <col min="9" max="9" width="4" customWidth="1"/>
  </cols>
  <sheetData>
    <row r="1" spans="1:14" x14ac:dyDescent="0.25">
      <c r="A1" s="74"/>
      <c r="B1" s="87" t="s">
        <v>76</v>
      </c>
      <c r="C1" s="88"/>
      <c r="D1" s="88"/>
      <c r="E1" s="88"/>
      <c r="F1" s="88"/>
      <c r="G1" s="88"/>
      <c r="H1" s="89"/>
      <c r="J1" s="90" t="s">
        <v>77</v>
      </c>
      <c r="K1" s="91"/>
      <c r="L1" s="91"/>
      <c r="M1" s="91"/>
      <c r="N1" s="91"/>
    </row>
    <row r="2" spans="1:14" ht="45" x14ac:dyDescent="0.25">
      <c r="A2" s="86" t="s">
        <v>104</v>
      </c>
      <c r="B2" s="75" t="s">
        <v>68</v>
      </c>
      <c r="C2" s="75" t="s">
        <v>2</v>
      </c>
      <c r="D2" s="75" t="s">
        <v>3</v>
      </c>
      <c r="E2" s="75" t="s">
        <v>4</v>
      </c>
      <c r="F2" s="75" t="s">
        <v>13</v>
      </c>
      <c r="G2" s="75" t="s">
        <v>69</v>
      </c>
      <c r="H2" s="75" t="s">
        <v>70</v>
      </c>
      <c r="J2" s="75" t="s">
        <v>68</v>
      </c>
      <c r="K2" s="75" t="s">
        <v>2</v>
      </c>
      <c r="L2" s="75" t="s">
        <v>3</v>
      </c>
      <c r="M2" s="75" t="s">
        <v>4</v>
      </c>
      <c r="N2" s="75" t="s">
        <v>13</v>
      </c>
    </row>
    <row r="3" spans="1:14" ht="6.75" customHeight="1" x14ac:dyDescent="0.25">
      <c r="A3" s="76"/>
      <c r="B3" s="77"/>
      <c r="C3" s="77"/>
      <c r="D3" s="77"/>
      <c r="E3" s="77"/>
      <c r="F3" s="77"/>
      <c r="G3" s="78"/>
      <c r="H3" s="76"/>
      <c r="J3" s="77"/>
      <c r="K3" s="77"/>
      <c r="L3" s="77"/>
      <c r="M3" s="77"/>
      <c r="N3" s="77"/>
    </row>
    <row r="4" spans="1:14" x14ac:dyDescent="0.25">
      <c r="A4" s="76" t="s">
        <v>38</v>
      </c>
      <c r="B4" s="79">
        <v>110</v>
      </c>
      <c r="C4" s="79">
        <v>13</v>
      </c>
      <c r="D4" s="79">
        <v>97</v>
      </c>
      <c r="E4" s="79">
        <v>24</v>
      </c>
      <c r="F4" s="79">
        <v>13</v>
      </c>
      <c r="G4" s="80">
        <v>10</v>
      </c>
      <c r="H4" s="80">
        <v>1</v>
      </c>
      <c r="J4" s="79">
        <v>1037</v>
      </c>
      <c r="K4" s="79">
        <v>129</v>
      </c>
      <c r="L4" s="79">
        <v>908</v>
      </c>
      <c r="M4" s="79">
        <v>178</v>
      </c>
      <c r="N4" s="79">
        <v>68</v>
      </c>
    </row>
    <row r="5" spans="1:14" x14ac:dyDescent="0.25">
      <c r="A5" s="76" t="s">
        <v>20</v>
      </c>
      <c r="B5" s="79">
        <v>448</v>
      </c>
      <c r="C5" s="79">
        <v>74</v>
      </c>
      <c r="D5" s="79">
        <v>374</v>
      </c>
      <c r="E5" s="79">
        <v>14</v>
      </c>
      <c r="F5" s="79">
        <v>16</v>
      </c>
      <c r="G5" s="80">
        <v>37</v>
      </c>
      <c r="H5" s="80">
        <v>2</v>
      </c>
      <c r="J5" s="79">
        <v>3150</v>
      </c>
      <c r="K5" s="79">
        <v>499</v>
      </c>
      <c r="L5" s="79">
        <v>2651</v>
      </c>
      <c r="M5" s="79">
        <v>56</v>
      </c>
      <c r="N5" s="79">
        <v>144</v>
      </c>
    </row>
    <row r="6" spans="1:14" x14ac:dyDescent="0.25">
      <c r="A6" s="76" t="s">
        <v>31</v>
      </c>
      <c r="B6" s="79">
        <v>512</v>
      </c>
      <c r="C6" s="79">
        <v>56</v>
      </c>
      <c r="D6" s="79">
        <v>456</v>
      </c>
      <c r="E6" s="79">
        <v>39</v>
      </c>
      <c r="F6" s="79">
        <v>0</v>
      </c>
      <c r="G6" s="80">
        <v>40</v>
      </c>
      <c r="H6" s="80">
        <v>2</v>
      </c>
      <c r="J6" s="79">
        <v>3412</v>
      </c>
      <c r="K6" s="79">
        <v>450</v>
      </c>
      <c r="L6" s="79">
        <v>2962</v>
      </c>
      <c r="M6" s="79">
        <v>267</v>
      </c>
      <c r="N6" s="79">
        <v>0</v>
      </c>
    </row>
    <row r="7" spans="1:14" x14ac:dyDescent="0.25">
      <c r="A7" s="76" t="s">
        <v>23</v>
      </c>
      <c r="B7" s="79">
        <v>261</v>
      </c>
      <c r="C7" s="79">
        <v>59</v>
      </c>
      <c r="D7" s="79">
        <v>202</v>
      </c>
      <c r="E7" s="79">
        <v>1</v>
      </c>
      <c r="F7" s="79">
        <v>8</v>
      </c>
      <c r="G7" s="80">
        <v>30</v>
      </c>
      <c r="H7" s="80">
        <v>2</v>
      </c>
      <c r="J7" s="79">
        <v>1858</v>
      </c>
      <c r="K7" s="79">
        <v>461</v>
      </c>
      <c r="L7" s="79">
        <v>1397</v>
      </c>
      <c r="M7" s="79">
        <v>122</v>
      </c>
      <c r="N7" s="79">
        <v>66</v>
      </c>
    </row>
    <row r="8" spans="1:14" x14ac:dyDescent="0.25">
      <c r="A8" s="76" t="s">
        <v>48</v>
      </c>
      <c r="B8" s="79">
        <v>260</v>
      </c>
      <c r="C8" s="79">
        <v>79</v>
      </c>
      <c r="D8" s="79">
        <v>181</v>
      </c>
      <c r="E8" s="79">
        <v>12</v>
      </c>
      <c r="F8" s="79">
        <v>23</v>
      </c>
      <c r="G8" s="80">
        <v>36</v>
      </c>
      <c r="H8" s="80">
        <v>2</v>
      </c>
      <c r="J8" s="79">
        <v>1579</v>
      </c>
      <c r="K8" s="79">
        <v>482</v>
      </c>
      <c r="L8" s="79">
        <v>1097</v>
      </c>
      <c r="M8" s="79">
        <v>78</v>
      </c>
      <c r="N8" s="79">
        <v>59</v>
      </c>
    </row>
    <row r="9" spans="1:14" x14ac:dyDescent="0.25">
      <c r="A9" s="76" t="s">
        <v>17</v>
      </c>
      <c r="B9" s="79">
        <v>957</v>
      </c>
      <c r="C9" s="79">
        <v>295</v>
      </c>
      <c r="D9" s="79">
        <v>662</v>
      </c>
      <c r="E9" s="79">
        <v>16</v>
      </c>
      <c r="F9" s="79">
        <v>5</v>
      </c>
      <c r="G9" s="80">
        <v>23</v>
      </c>
      <c r="H9" s="80">
        <v>2</v>
      </c>
      <c r="J9" s="79">
        <v>6594</v>
      </c>
      <c r="K9" s="79">
        <v>2130</v>
      </c>
      <c r="L9" s="79">
        <v>4464</v>
      </c>
      <c r="M9" s="79">
        <v>130</v>
      </c>
      <c r="N9" s="79">
        <v>6</v>
      </c>
    </row>
    <row r="10" spans="1:14" x14ac:dyDescent="0.25">
      <c r="A10" s="76" t="s">
        <v>43</v>
      </c>
      <c r="B10" s="79">
        <v>107</v>
      </c>
      <c r="C10" s="79">
        <v>23</v>
      </c>
      <c r="D10" s="79">
        <v>84</v>
      </c>
      <c r="E10" s="79">
        <v>10</v>
      </c>
      <c r="F10" s="79">
        <v>0</v>
      </c>
      <c r="G10" s="80">
        <v>20</v>
      </c>
      <c r="H10" s="80">
        <v>1</v>
      </c>
      <c r="J10" s="79">
        <v>618</v>
      </c>
      <c r="K10" s="79">
        <v>159</v>
      </c>
      <c r="L10" s="79">
        <v>459</v>
      </c>
      <c r="M10" s="79">
        <v>66</v>
      </c>
      <c r="N10" s="79">
        <v>0</v>
      </c>
    </row>
    <row r="11" spans="1:14" x14ac:dyDescent="0.25">
      <c r="A11" s="76" t="s">
        <v>35</v>
      </c>
      <c r="B11" s="79">
        <v>295</v>
      </c>
      <c r="C11" s="79">
        <v>69</v>
      </c>
      <c r="D11" s="79">
        <v>226</v>
      </c>
      <c r="E11" s="79">
        <v>0</v>
      </c>
      <c r="F11" s="79">
        <v>0</v>
      </c>
      <c r="G11" s="80">
        <v>40</v>
      </c>
      <c r="H11" s="80">
        <v>2</v>
      </c>
      <c r="J11" s="79">
        <v>2308</v>
      </c>
      <c r="K11" s="79">
        <v>505</v>
      </c>
      <c r="L11" s="79">
        <v>1803</v>
      </c>
      <c r="M11" s="79">
        <v>637</v>
      </c>
      <c r="N11" s="79">
        <v>11</v>
      </c>
    </row>
    <row r="12" spans="1:14" x14ac:dyDescent="0.25">
      <c r="A12" s="76" t="s">
        <v>36</v>
      </c>
      <c r="B12" s="79">
        <v>307</v>
      </c>
      <c r="C12" s="79">
        <v>88</v>
      </c>
      <c r="D12" s="79">
        <v>219</v>
      </c>
      <c r="E12" s="79">
        <v>39</v>
      </c>
      <c r="F12" s="79">
        <v>11</v>
      </c>
      <c r="G12" s="80">
        <v>37</v>
      </c>
      <c r="H12" s="80">
        <v>2</v>
      </c>
      <c r="J12" s="79">
        <v>1828</v>
      </c>
      <c r="K12" s="79">
        <v>588</v>
      </c>
      <c r="L12" s="79">
        <v>1240</v>
      </c>
      <c r="M12" s="79">
        <v>291</v>
      </c>
      <c r="N12" s="79">
        <v>60</v>
      </c>
    </row>
    <row r="13" spans="1:14" x14ac:dyDescent="0.25">
      <c r="A13" s="76" t="s">
        <v>19</v>
      </c>
      <c r="B13" s="79">
        <v>214</v>
      </c>
      <c r="C13" s="79">
        <v>63</v>
      </c>
      <c r="D13" s="79">
        <v>151</v>
      </c>
      <c r="E13" s="79">
        <v>27</v>
      </c>
      <c r="F13" s="79">
        <v>0</v>
      </c>
      <c r="G13" s="80">
        <v>32</v>
      </c>
      <c r="H13" s="80">
        <v>2</v>
      </c>
      <c r="J13" s="79">
        <v>1935</v>
      </c>
      <c r="K13" s="79">
        <v>509</v>
      </c>
      <c r="L13" s="79">
        <v>1426</v>
      </c>
      <c r="M13" s="79">
        <v>195</v>
      </c>
      <c r="N13" s="79">
        <v>0</v>
      </c>
    </row>
    <row r="14" spans="1:14" x14ac:dyDescent="0.25">
      <c r="A14" s="76" t="s">
        <v>32</v>
      </c>
      <c r="B14" s="79">
        <v>153</v>
      </c>
      <c r="C14" s="79">
        <v>21</v>
      </c>
      <c r="D14" s="79">
        <v>132</v>
      </c>
      <c r="E14" s="79">
        <v>1</v>
      </c>
      <c r="F14" s="79">
        <v>0</v>
      </c>
      <c r="G14" s="80">
        <v>14</v>
      </c>
      <c r="H14" s="80">
        <v>1</v>
      </c>
      <c r="J14" s="79">
        <v>1170</v>
      </c>
      <c r="K14" s="79">
        <v>161</v>
      </c>
      <c r="L14" s="79">
        <v>1009</v>
      </c>
      <c r="M14" s="79">
        <v>14</v>
      </c>
      <c r="N14" s="79">
        <v>3</v>
      </c>
    </row>
    <row r="15" spans="1:14" x14ac:dyDescent="0.25">
      <c r="A15" s="76" t="s">
        <v>30</v>
      </c>
      <c r="B15" s="79">
        <v>312</v>
      </c>
      <c r="C15" s="79">
        <v>118</v>
      </c>
      <c r="D15" s="79">
        <v>194</v>
      </c>
      <c r="E15" s="79">
        <v>7</v>
      </c>
      <c r="F15" s="79">
        <v>26</v>
      </c>
      <c r="G15" s="80">
        <v>28</v>
      </c>
      <c r="H15" s="80">
        <v>2</v>
      </c>
      <c r="J15" s="79">
        <v>2180</v>
      </c>
      <c r="K15" s="79">
        <v>870</v>
      </c>
      <c r="L15" s="79">
        <v>1310</v>
      </c>
      <c r="M15" s="79">
        <v>66</v>
      </c>
      <c r="N15" s="79">
        <v>86</v>
      </c>
    </row>
    <row r="16" spans="1:14" x14ac:dyDescent="0.25">
      <c r="A16" s="76" t="s">
        <v>46</v>
      </c>
      <c r="B16" s="79">
        <v>238</v>
      </c>
      <c r="C16" s="79">
        <v>59</v>
      </c>
      <c r="D16" s="79">
        <v>179</v>
      </c>
      <c r="E16" s="79">
        <v>2</v>
      </c>
      <c r="F16" s="79">
        <v>25</v>
      </c>
      <c r="G16" s="80">
        <v>20</v>
      </c>
      <c r="H16" s="80">
        <v>2</v>
      </c>
      <c r="J16" s="79">
        <v>1440</v>
      </c>
      <c r="K16" s="79">
        <v>501</v>
      </c>
      <c r="L16" s="79">
        <v>939</v>
      </c>
      <c r="M16" s="79">
        <v>76</v>
      </c>
      <c r="N16" s="79">
        <v>29</v>
      </c>
    </row>
    <row r="17" spans="1:14" x14ac:dyDescent="0.25">
      <c r="A17" s="76" t="s">
        <v>61</v>
      </c>
      <c r="B17" s="79">
        <v>144</v>
      </c>
      <c r="C17" s="79">
        <v>50</v>
      </c>
      <c r="D17" s="79">
        <v>94</v>
      </c>
      <c r="E17" s="79">
        <v>0</v>
      </c>
      <c r="F17" s="79">
        <v>0</v>
      </c>
      <c r="G17" s="80">
        <v>0</v>
      </c>
      <c r="H17" s="80">
        <v>0</v>
      </c>
      <c r="J17" s="79">
        <v>1121</v>
      </c>
      <c r="K17" s="79">
        <v>325</v>
      </c>
      <c r="L17" s="79">
        <v>796</v>
      </c>
      <c r="M17" s="79">
        <v>2</v>
      </c>
      <c r="N17" s="79">
        <v>0</v>
      </c>
    </row>
    <row r="18" spans="1:14" x14ac:dyDescent="0.25">
      <c r="A18" s="76" t="s">
        <v>53</v>
      </c>
      <c r="B18" s="79">
        <v>369</v>
      </c>
      <c r="C18" s="79">
        <v>89</v>
      </c>
      <c r="D18" s="79">
        <v>280</v>
      </c>
      <c r="E18" s="79">
        <v>0</v>
      </c>
      <c r="F18" s="79">
        <v>0</v>
      </c>
      <c r="G18" s="80">
        <v>0</v>
      </c>
      <c r="H18" s="80">
        <v>0</v>
      </c>
      <c r="J18" s="79">
        <v>2194</v>
      </c>
      <c r="K18" s="79">
        <v>481</v>
      </c>
      <c r="L18" s="79">
        <v>1713</v>
      </c>
      <c r="M18" s="79">
        <v>21</v>
      </c>
      <c r="N18" s="79">
        <v>3</v>
      </c>
    </row>
    <row r="19" spans="1:14" x14ac:dyDescent="0.25">
      <c r="A19" s="76" t="s">
        <v>34</v>
      </c>
      <c r="B19" s="79">
        <v>211</v>
      </c>
      <c r="C19" s="79">
        <v>27</v>
      </c>
      <c r="D19" s="79">
        <v>184</v>
      </c>
      <c r="E19" s="79">
        <v>12</v>
      </c>
      <c r="F19" s="79">
        <v>0</v>
      </c>
      <c r="G19" s="80">
        <v>29</v>
      </c>
      <c r="H19" s="80">
        <v>2</v>
      </c>
      <c r="J19" s="79">
        <v>1538</v>
      </c>
      <c r="K19" s="79">
        <v>222</v>
      </c>
      <c r="L19" s="79">
        <v>1316</v>
      </c>
      <c r="M19" s="79">
        <v>78</v>
      </c>
      <c r="N19" s="79">
        <v>0</v>
      </c>
    </row>
    <row r="20" spans="1:14" x14ac:dyDescent="0.25">
      <c r="A20" s="76" t="s">
        <v>52</v>
      </c>
      <c r="B20" s="79">
        <v>264</v>
      </c>
      <c r="C20" s="79">
        <v>66</v>
      </c>
      <c r="D20" s="79">
        <v>198</v>
      </c>
      <c r="E20" s="79">
        <v>11</v>
      </c>
      <c r="F20" s="79">
        <v>0</v>
      </c>
      <c r="G20" s="80">
        <v>0</v>
      </c>
      <c r="H20" s="80">
        <v>0</v>
      </c>
      <c r="J20" s="79">
        <v>1284</v>
      </c>
      <c r="K20" s="79">
        <v>284</v>
      </c>
      <c r="L20" s="79">
        <v>1000</v>
      </c>
      <c r="M20" s="79">
        <v>79</v>
      </c>
      <c r="N20" s="79">
        <v>0</v>
      </c>
    </row>
    <row r="21" spans="1:14" x14ac:dyDescent="0.25">
      <c r="A21" s="76" t="s">
        <v>39</v>
      </c>
      <c r="B21" s="79">
        <v>120</v>
      </c>
      <c r="C21" s="79">
        <v>24</v>
      </c>
      <c r="D21" s="79">
        <v>96</v>
      </c>
      <c r="E21" s="79">
        <v>2</v>
      </c>
      <c r="F21" s="79">
        <v>7</v>
      </c>
      <c r="G21" s="80">
        <v>18</v>
      </c>
      <c r="H21" s="80">
        <v>1</v>
      </c>
      <c r="J21" s="79">
        <v>719</v>
      </c>
      <c r="K21" s="79">
        <v>151</v>
      </c>
      <c r="L21" s="79">
        <v>568</v>
      </c>
      <c r="M21" s="79">
        <v>102</v>
      </c>
      <c r="N21" s="79">
        <v>11</v>
      </c>
    </row>
    <row r="22" spans="1:14" x14ac:dyDescent="0.25">
      <c r="A22" s="76" t="s">
        <v>49</v>
      </c>
      <c r="B22" s="79">
        <v>288</v>
      </c>
      <c r="C22" s="79">
        <v>71</v>
      </c>
      <c r="D22" s="79">
        <v>217</v>
      </c>
      <c r="E22" s="79">
        <v>0</v>
      </c>
      <c r="F22" s="79">
        <v>0</v>
      </c>
      <c r="G22" s="80">
        <v>24</v>
      </c>
      <c r="H22" s="80">
        <v>2</v>
      </c>
      <c r="J22" s="79">
        <v>2287</v>
      </c>
      <c r="K22" s="79">
        <v>675</v>
      </c>
      <c r="L22" s="79">
        <v>1612</v>
      </c>
      <c r="M22" s="79">
        <v>16</v>
      </c>
      <c r="N22" s="79">
        <v>2</v>
      </c>
    </row>
    <row r="23" spans="1:14" x14ac:dyDescent="0.25">
      <c r="A23" s="76" t="s">
        <v>42</v>
      </c>
      <c r="B23" s="79">
        <v>135</v>
      </c>
      <c r="C23" s="79">
        <v>33</v>
      </c>
      <c r="D23" s="79">
        <v>102</v>
      </c>
      <c r="E23" s="79">
        <v>0</v>
      </c>
      <c r="F23" s="79">
        <v>0</v>
      </c>
      <c r="G23" s="80">
        <v>0</v>
      </c>
      <c r="H23" s="80">
        <v>0</v>
      </c>
      <c r="J23" s="79">
        <v>1470</v>
      </c>
      <c r="K23" s="79">
        <v>297</v>
      </c>
      <c r="L23" s="79">
        <v>1173</v>
      </c>
      <c r="M23" s="79">
        <v>0</v>
      </c>
      <c r="N23" s="79">
        <v>0</v>
      </c>
    </row>
    <row r="24" spans="1:14" x14ac:dyDescent="0.25">
      <c r="A24" s="76" t="s">
        <v>26</v>
      </c>
      <c r="B24" s="79">
        <v>94</v>
      </c>
      <c r="C24" s="79">
        <v>22</v>
      </c>
      <c r="D24" s="79">
        <v>72</v>
      </c>
      <c r="E24" s="79">
        <v>4</v>
      </c>
      <c r="F24" s="79">
        <v>0</v>
      </c>
      <c r="G24" s="80">
        <v>33</v>
      </c>
      <c r="H24" s="80">
        <v>2</v>
      </c>
      <c r="J24" s="79">
        <v>1000</v>
      </c>
      <c r="K24" s="79">
        <v>264</v>
      </c>
      <c r="L24" s="79">
        <v>736</v>
      </c>
      <c r="M24" s="79">
        <v>60</v>
      </c>
      <c r="N24" s="79">
        <v>1</v>
      </c>
    </row>
    <row r="25" spans="1:14" x14ac:dyDescent="0.25">
      <c r="A25" s="76" t="s">
        <v>29</v>
      </c>
      <c r="B25" s="79">
        <v>337</v>
      </c>
      <c r="C25" s="79">
        <v>51</v>
      </c>
      <c r="D25" s="79">
        <v>286</v>
      </c>
      <c r="E25" s="79">
        <v>13</v>
      </c>
      <c r="F25" s="79">
        <v>1</v>
      </c>
      <c r="G25" s="80">
        <v>40</v>
      </c>
      <c r="H25" s="80">
        <v>2</v>
      </c>
      <c r="J25" s="79">
        <v>2314</v>
      </c>
      <c r="K25" s="79">
        <v>333</v>
      </c>
      <c r="L25" s="79">
        <v>1981</v>
      </c>
      <c r="M25" s="79">
        <v>96</v>
      </c>
      <c r="N25" s="79">
        <v>7</v>
      </c>
    </row>
    <row r="26" spans="1:14" x14ac:dyDescent="0.25">
      <c r="A26" s="76" t="s">
        <v>60</v>
      </c>
      <c r="B26" s="79">
        <v>490</v>
      </c>
      <c r="C26" s="79">
        <v>90</v>
      </c>
      <c r="D26" s="79">
        <v>400</v>
      </c>
      <c r="E26" s="79">
        <v>9</v>
      </c>
      <c r="F26" s="79">
        <v>3</v>
      </c>
      <c r="G26" s="80">
        <v>0</v>
      </c>
      <c r="H26" s="80">
        <v>0</v>
      </c>
      <c r="J26" s="79">
        <v>3084</v>
      </c>
      <c r="K26" s="79">
        <v>639</v>
      </c>
      <c r="L26" s="79">
        <v>2445</v>
      </c>
      <c r="M26" s="79">
        <v>81</v>
      </c>
      <c r="N26" s="79">
        <v>14</v>
      </c>
    </row>
    <row r="27" spans="1:14" x14ac:dyDescent="0.25">
      <c r="A27" s="76" t="s">
        <v>24</v>
      </c>
      <c r="B27" s="79">
        <v>212</v>
      </c>
      <c r="C27" s="79">
        <v>75</v>
      </c>
      <c r="D27" s="79">
        <v>137</v>
      </c>
      <c r="E27" s="79">
        <v>1</v>
      </c>
      <c r="F27" s="79">
        <v>0</v>
      </c>
      <c r="G27" s="80">
        <v>27</v>
      </c>
      <c r="H27" s="80">
        <v>2</v>
      </c>
      <c r="J27" s="79">
        <v>1565</v>
      </c>
      <c r="K27" s="79">
        <v>538</v>
      </c>
      <c r="L27" s="79">
        <v>1027</v>
      </c>
      <c r="M27" s="79">
        <v>17</v>
      </c>
      <c r="N27" s="79">
        <v>0</v>
      </c>
    </row>
    <row r="28" spans="1:14" x14ac:dyDescent="0.25">
      <c r="A28" s="76" t="s">
        <v>37</v>
      </c>
      <c r="B28" s="79">
        <v>575</v>
      </c>
      <c r="C28" s="79">
        <v>240</v>
      </c>
      <c r="D28" s="79">
        <v>335</v>
      </c>
      <c r="E28" s="79">
        <v>23</v>
      </c>
      <c r="F28" s="79">
        <v>17</v>
      </c>
      <c r="G28" s="80">
        <v>40</v>
      </c>
      <c r="H28" s="80">
        <v>2</v>
      </c>
      <c r="J28" s="79">
        <v>4043</v>
      </c>
      <c r="K28" s="79">
        <v>1532</v>
      </c>
      <c r="L28" s="79">
        <v>2511</v>
      </c>
      <c r="M28" s="79">
        <v>165</v>
      </c>
      <c r="N28" s="79">
        <v>186</v>
      </c>
    </row>
    <row r="29" spans="1:14" x14ac:dyDescent="0.25">
      <c r="A29" s="76" t="s">
        <v>25</v>
      </c>
      <c r="B29" s="79">
        <v>530</v>
      </c>
      <c r="C29" s="79">
        <v>194</v>
      </c>
      <c r="D29" s="79">
        <v>336</v>
      </c>
      <c r="E29" s="79">
        <v>8</v>
      </c>
      <c r="F29" s="79">
        <v>4</v>
      </c>
      <c r="G29" s="80">
        <v>37</v>
      </c>
      <c r="H29" s="80">
        <v>2</v>
      </c>
      <c r="J29" s="79">
        <v>3263</v>
      </c>
      <c r="K29" s="79">
        <v>1045</v>
      </c>
      <c r="L29" s="79">
        <v>2218</v>
      </c>
      <c r="M29" s="79">
        <v>58</v>
      </c>
      <c r="N29" s="79">
        <v>111</v>
      </c>
    </row>
    <row r="30" spans="1:14" x14ac:dyDescent="0.25">
      <c r="A30" s="76" t="s">
        <v>22</v>
      </c>
      <c r="B30" s="79">
        <v>319</v>
      </c>
      <c r="C30" s="79">
        <v>110</v>
      </c>
      <c r="D30" s="79">
        <v>209</v>
      </c>
      <c r="E30" s="79">
        <v>0</v>
      </c>
      <c r="F30" s="79">
        <v>0</v>
      </c>
      <c r="G30" s="80">
        <v>40</v>
      </c>
      <c r="H30" s="80">
        <v>2</v>
      </c>
      <c r="J30" s="79">
        <v>2051</v>
      </c>
      <c r="K30" s="79">
        <v>701</v>
      </c>
      <c r="L30" s="79">
        <v>1350</v>
      </c>
      <c r="M30" s="79">
        <v>66</v>
      </c>
      <c r="N30" s="79">
        <v>0</v>
      </c>
    </row>
    <row r="31" spans="1:14" x14ac:dyDescent="0.25">
      <c r="A31" s="76" t="s">
        <v>18</v>
      </c>
      <c r="B31" s="79">
        <v>318</v>
      </c>
      <c r="C31" s="79">
        <v>74</v>
      </c>
      <c r="D31" s="79">
        <v>244</v>
      </c>
      <c r="E31" s="79">
        <v>43</v>
      </c>
      <c r="F31" s="79">
        <v>8</v>
      </c>
      <c r="G31" s="80">
        <v>40</v>
      </c>
      <c r="H31" s="80">
        <v>2</v>
      </c>
      <c r="J31" s="79">
        <v>2328</v>
      </c>
      <c r="K31" s="79">
        <v>612</v>
      </c>
      <c r="L31" s="79">
        <v>1716</v>
      </c>
      <c r="M31" s="79">
        <v>313</v>
      </c>
      <c r="N31" s="79">
        <v>64</v>
      </c>
    </row>
    <row r="32" spans="1:14" x14ac:dyDescent="0.25">
      <c r="A32" s="76" t="s">
        <v>51</v>
      </c>
      <c r="B32" s="79">
        <v>270</v>
      </c>
      <c r="C32" s="79">
        <v>69</v>
      </c>
      <c r="D32" s="79">
        <v>201</v>
      </c>
      <c r="E32" s="79">
        <v>10</v>
      </c>
      <c r="F32" s="79">
        <v>0</v>
      </c>
      <c r="G32" s="80">
        <v>0</v>
      </c>
      <c r="H32" s="80">
        <v>0</v>
      </c>
      <c r="J32" s="79">
        <v>1624</v>
      </c>
      <c r="K32" s="79">
        <v>424</v>
      </c>
      <c r="L32" s="79">
        <v>1200</v>
      </c>
      <c r="M32" s="79">
        <v>86</v>
      </c>
      <c r="N32" s="79">
        <v>30</v>
      </c>
    </row>
    <row r="33" spans="1:14" x14ac:dyDescent="0.25">
      <c r="A33" s="76" t="s">
        <v>41</v>
      </c>
      <c r="B33" s="79">
        <v>255</v>
      </c>
      <c r="C33" s="79">
        <v>66</v>
      </c>
      <c r="D33" s="79">
        <v>189</v>
      </c>
      <c r="E33" s="79">
        <v>31</v>
      </c>
      <c r="F33" s="79">
        <v>0</v>
      </c>
      <c r="G33" s="80">
        <v>25</v>
      </c>
      <c r="H33" s="80">
        <v>2</v>
      </c>
      <c r="J33" s="79">
        <v>2117</v>
      </c>
      <c r="K33" s="79">
        <v>509</v>
      </c>
      <c r="L33" s="79">
        <v>1608</v>
      </c>
      <c r="M33" s="79">
        <v>273</v>
      </c>
      <c r="N33" s="79">
        <v>3</v>
      </c>
    </row>
    <row r="34" spans="1:14" x14ac:dyDescent="0.25">
      <c r="A34" s="76" t="s">
        <v>28</v>
      </c>
      <c r="B34" s="79">
        <v>288</v>
      </c>
      <c r="C34" s="79">
        <v>45</v>
      </c>
      <c r="D34" s="79">
        <v>243</v>
      </c>
      <c r="E34" s="79">
        <v>12</v>
      </c>
      <c r="F34" s="79">
        <v>0</v>
      </c>
      <c r="G34" s="80">
        <v>40</v>
      </c>
      <c r="H34" s="80">
        <v>2</v>
      </c>
      <c r="J34" s="79">
        <v>1863</v>
      </c>
      <c r="K34" s="79">
        <v>419</v>
      </c>
      <c r="L34" s="79">
        <v>1444</v>
      </c>
      <c r="M34" s="79">
        <v>93</v>
      </c>
      <c r="N34" s="79">
        <v>6</v>
      </c>
    </row>
    <row r="35" spans="1:14" x14ac:dyDescent="0.25">
      <c r="A35" s="76" t="s">
        <v>50</v>
      </c>
      <c r="B35" s="79">
        <v>484</v>
      </c>
      <c r="C35" s="79">
        <v>98</v>
      </c>
      <c r="D35" s="79">
        <v>386</v>
      </c>
      <c r="E35" s="79">
        <v>11</v>
      </c>
      <c r="F35" s="79">
        <v>1</v>
      </c>
      <c r="G35" s="80">
        <v>0</v>
      </c>
      <c r="H35" s="80">
        <v>0</v>
      </c>
      <c r="J35" s="79">
        <v>3087</v>
      </c>
      <c r="K35" s="79">
        <v>586</v>
      </c>
      <c r="L35" s="79">
        <v>2501</v>
      </c>
      <c r="M35" s="79">
        <v>72</v>
      </c>
      <c r="N35" s="79">
        <v>19</v>
      </c>
    </row>
    <row r="36" spans="1:14" x14ac:dyDescent="0.25">
      <c r="A36" s="76" t="s">
        <v>98</v>
      </c>
      <c r="B36" s="79">
        <v>174</v>
      </c>
      <c r="C36" s="79">
        <v>46</v>
      </c>
      <c r="D36" s="79">
        <v>128</v>
      </c>
      <c r="E36" s="79">
        <v>0</v>
      </c>
      <c r="F36" s="79">
        <v>8</v>
      </c>
      <c r="G36" s="80">
        <v>0</v>
      </c>
      <c r="H36" s="80">
        <v>0</v>
      </c>
      <c r="J36" s="79">
        <v>174</v>
      </c>
      <c r="K36" s="79">
        <v>46</v>
      </c>
      <c r="L36" s="79">
        <v>128</v>
      </c>
      <c r="M36" s="79">
        <v>0</v>
      </c>
      <c r="N36" s="79">
        <v>8</v>
      </c>
    </row>
    <row r="37" spans="1:14" x14ac:dyDescent="0.25">
      <c r="A37" s="76" t="s">
        <v>21</v>
      </c>
      <c r="B37" s="80">
        <v>0</v>
      </c>
      <c r="C37" s="80">
        <v>0</v>
      </c>
      <c r="D37" s="80">
        <v>0</v>
      </c>
      <c r="E37" s="80">
        <v>0</v>
      </c>
      <c r="F37" s="80">
        <v>0</v>
      </c>
      <c r="G37" s="80">
        <v>0</v>
      </c>
      <c r="H37" s="80">
        <v>0</v>
      </c>
      <c r="J37" s="80">
        <v>0</v>
      </c>
      <c r="K37" s="80">
        <v>0</v>
      </c>
      <c r="L37" s="80">
        <v>0</v>
      </c>
      <c r="M37" s="80">
        <v>0</v>
      </c>
      <c r="N37" s="80">
        <v>0</v>
      </c>
    </row>
    <row r="38" spans="1:14" x14ac:dyDescent="0.25">
      <c r="A38" s="76" t="s">
        <v>45</v>
      </c>
      <c r="B38" s="79">
        <v>289</v>
      </c>
      <c r="C38" s="79">
        <v>77</v>
      </c>
      <c r="D38" s="79">
        <v>212</v>
      </c>
      <c r="E38" s="79">
        <v>13</v>
      </c>
      <c r="F38" s="79">
        <v>0</v>
      </c>
      <c r="G38" s="80">
        <v>40</v>
      </c>
      <c r="H38" s="80">
        <v>2</v>
      </c>
      <c r="J38" s="79">
        <v>2164</v>
      </c>
      <c r="K38" s="79">
        <v>629</v>
      </c>
      <c r="L38" s="79">
        <v>1535</v>
      </c>
      <c r="M38" s="79">
        <v>129</v>
      </c>
      <c r="N38" s="79">
        <v>0</v>
      </c>
    </row>
    <row r="39" spans="1:14" x14ac:dyDescent="0.25">
      <c r="A39" s="76" t="s">
        <v>40</v>
      </c>
      <c r="B39" s="79">
        <v>224</v>
      </c>
      <c r="C39" s="79">
        <v>51</v>
      </c>
      <c r="D39" s="79">
        <v>173</v>
      </c>
      <c r="E39" s="79">
        <v>0</v>
      </c>
      <c r="F39" s="79">
        <v>0</v>
      </c>
      <c r="G39" s="80">
        <v>22</v>
      </c>
      <c r="H39" s="80">
        <v>2</v>
      </c>
      <c r="J39" s="79">
        <v>1855</v>
      </c>
      <c r="K39" s="79">
        <v>456</v>
      </c>
      <c r="L39" s="79">
        <v>1399</v>
      </c>
      <c r="M39" s="79">
        <v>0</v>
      </c>
      <c r="N39" s="79">
        <v>0</v>
      </c>
    </row>
    <row r="40" spans="1:14" x14ac:dyDescent="0.25">
      <c r="A40" s="76" t="s">
        <v>44</v>
      </c>
      <c r="B40" s="79">
        <v>222</v>
      </c>
      <c r="C40" s="79">
        <v>52</v>
      </c>
      <c r="D40" s="79">
        <v>170</v>
      </c>
      <c r="E40" s="79">
        <v>31</v>
      </c>
      <c r="F40" s="79">
        <v>0</v>
      </c>
      <c r="G40" s="80">
        <v>21</v>
      </c>
      <c r="H40" s="80">
        <v>1</v>
      </c>
      <c r="J40" s="79">
        <v>1952</v>
      </c>
      <c r="K40" s="79">
        <v>379</v>
      </c>
      <c r="L40" s="79">
        <v>1573</v>
      </c>
      <c r="M40" s="79">
        <v>187</v>
      </c>
      <c r="N40" s="79">
        <v>0</v>
      </c>
    </row>
    <row r="41" spans="1:14" x14ac:dyDescent="0.25">
      <c r="A41" s="76" t="s">
        <v>47</v>
      </c>
      <c r="B41" s="79">
        <v>285</v>
      </c>
      <c r="C41" s="79">
        <v>50</v>
      </c>
      <c r="D41" s="79">
        <v>235</v>
      </c>
      <c r="E41" s="79">
        <v>6</v>
      </c>
      <c r="F41" s="79">
        <v>5</v>
      </c>
      <c r="G41" s="80">
        <v>34</v>
      </c>
      <c r="H41" s="80">
        <v>2</v>
      </c>
      <c r="J41" s="79">
        <v>2756</v>
      </c>
      <c r="K41" s="79">
        <v>447</v>
      </c>
      <c r="L41" s="79">
        <v>2309</v>
      </c>
      <c r="M41" s="79">
        <v>65</v>
      </c>
      <c r="N41" s="79">
        <v>51</v>
      </c>
    </row>
    <row r="42" spans="1:14" x14ac:dyDescent="0.25">
      <c r="A42" s="76" t="s">
        <v>27</v>
      </c>
      <c r="B42" s="79">
        <v>283</v>
      </c>
      <c r="C42" s="79">
        <v>55</v>
      </c>
      <c r="D42" s="79">
        <v>228</v>
      </c>
      <c r="E42" s="79">
        <v>15</v>
      </c>
      <c r="F42" s="79">
        <v>1</v>
      </c>
      <c r="G42" s="80">
        <v>29</v>
      </c>
      <c r="H42" s="80">
        <v>1</v>
      </c>
      <c r="J42" s="79">
        <v>2052</v>
      </c>
      <c r="K42" s="79">
        <v>408</v>
      </c>
      <c r="L42" s="79">
        <v>1644</v>
      </c>
      <c r="M42" s="79">
        <v>242</v>
      </c>
      <c r="N42" s="79">
        <v>23</v>
      </c>
    </row>
    <row r="43" spans="1:14" x14ac:dyDescent="0.25">
      <c r="A43" s="76" t="s">
        <v>33</v>
      </c>
      <c r="B43" s="79">
        <v>218</v>
      </c>
      <c r="C43" s="79">
        <v>29</v>
      </c>
      <c r="D43" s="79">
        <v>189</v>
      </c>
      <c r="E43" s="79">
        <v>0</v>
      </c>
      <c r="F43" s="79">
        <v>0</v>
      </c>
      <c r="G43" s="80">
        <v>40</v>
      </c>
      <c r="H43" s="80">
        <v>2</v>
      </c>
      <c r="J43" s="79">
        <v>1670</v>
      </c>
      <c r="K43" s="79">
        <v>181</v>
      </c>
      <c r="L43" s="79">
        <v>1489</v>
      </c>
      <c r="M43" s="79">
        <v>7</v>
      </c>
      <c r="N43" s="79">
        <v>2</v>
      </c>
    </row>
    <row r="44" spans="1:14" ht="6" customHeight="1" x14ac:dyDescent="0.25">
      <c r="A44" s="76"/>
      <c r="B44" s="79"/>
      <c r="C44" s="79"/>
      <c r="D44" s="79"/>
      <c r="E44" s="79"/>
      <c r="F44" s="79"/>
      <c r="G44" s="80"/>
      <c r="H44" s="80"/>
      <c r="J44" s="79"/>
      <c r="K44" s="79"/>
      <c r="L44" s="79"/>
      <c r="M44" s="79"/>
      <c r="N44" s="79"/>
    </row>
    <row r="45" spans="1:14" x14ac:dyDescent="0.25">
      <c r="A45" s="81" t="s">
        <v>5</v>
      </c>
      <c r="B45" s="82">
        <v>11572</v>
      </c>
      <c r="C45" s="82">
        <v>2871</v>
      </c>
      <c r="D45" s="82">
        <v>8701</v>
      </c>
      <c r="E45" s="82">
        <v>447</v>
      </c>
      <c r="F45" s="82">
        <v>182</v>
      </c>
      <c r="G45" s="83">
        <v>946</v>
      </c>
      <c r="H45" s="83">
        <v>56</v>
      </c>
      <c r="J45" s="82">
        <v>80684</v>
      </c>
      <c r="K45" s="82">
        <v>20027</v>
      </c>
      <c r="L45" s="82">
        <v>60657</v>
      </c>
      <c r="M45" s="82">
        <v>4484</v>
      </c>
      <c r="N45" s="82">
        <v>1073</v>
      </c>
    </row>
    <row r="46" spans="1:14" x14ac:dyDescent="0.25">
      <c r="A46" s="81" t="s">
        <v>71</v>
      </c>
      <c r="B46" s="82">
        <v>4</v>
      </c>
      <c r="C46" s="82">
        <v>4</v>
      </c>
      <c r="D46" s="82">
        <v>4</v>
      </c>
      <c r="E46" s="82">
        <v>4</v>
      </c>
      <c r="F46" s="82">
        <v>4</v>
      </c>
      <c r="G46" s="83"/>
      <c r="H46" s="83"/>
      <c r="J46" s="82">
        <v>30</v>
      </c>
      <c r="K46" s="82">
        <v>30</v>
      </c>
      <c r="L46" s="82">
        <v>30</v>
      </c>
      <c r="M46" s="82">
        <v>30</v>
      </c>
      <c r="N46" s="82">
        <v>30</v>
      </c>
    </row>
    <row r="47" spans="1:14" x14ac:dyDescent="0.25">
      <c r="A47" s="81" t="s">
        <v>72</v>
      </c>
      <c r="B47" s="82">
        <v>2893</v>
      </c>
      <c r="C47" s="82">
        <v>718</v>
      </c>
      <c r="D47" s="82">
        <v>2175</v>
      </c>
      <c r="E47" s="82">
        <v>112</v>
      </c>
      <c r="F47" s="82">
        <v>46</v>
      </c>
      <c r="G47" s="83"/>
      <c r="H47" s="83"/>
      <c r="J47" s="82">
        <v>2689</v>
      </c>
      <c r="K47" s="82">
        <v>668</v>
      </c>
      <c r="L47" s="82">
        <v>2022</v>
      </c>
      <c r="M47" s="82">
        <v>149</v>
      </c>
      <c r="N47" s="82">
        <v>36</v>
      </c>
    </row>
    <row r="48" spans="1:14" x14ac:dyDescent="0.25">
      <c r="A48" s="61"/>
      <c r="B48" s="84"/>
      <c r="C48" s="84"/>
      <c r="D48" s="84"/>
      <c r="E48" s="84"/>
      <c r="F48" s="84"/>
      <c r="G48" s="85"/>
      <c r="H48" s="85"/>
    </row>
  </sheetData>
  <mergeCells count="2">
    <mergeCell ref="B1:H1"/>
    <mergeCell ref="J1:N1"/>
  </mergeCells>
  <pageMargins left="0.59055118110236227" right="0.19685039370078741" top="0.39370078740157483" bottom="0.19685039370078741" header="0" footer="0"/>
  <pageSetup scale="83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00"/>
  <sheetViews>
    <sheetView topLeftCell="A21" zoomScaleNormal="100" workbookViewId="0"/>
  </sheetViews>
  <sheetFormatPr defaultRowHeight="15" x14ac:dyDescent="0.25"/>
  <cols>
    <col min="1" max="1" width="23.7109375" style="61" bestFit="1" customWidth="1"/>
    <col min="2" max="2" width="12.140625" style="61" customWidth="1"/>
    <col min="3" max="3" width="7.7109375" style="61" customWidth="1"/>
    <col min="4" max="4" width="10" style="61" customWidth="1"/>
    <col min="5" max="5" width="7.7109375" style="61" customWidth="1"/>
    <col min="6" max="6" width="8.85546875" style="61" customWidth="1"/>
    <col min="7" max="7" width="10.42578125" style="61" customWidth="1"/>
    <col min="8" max="8" width="9.28515625" style="61" customWidth="1"/>
    <col min="9" max="9" width="12.5703125" style="61" bestFit="1" customWidth="1"/>
    <col min="10" max="10" width="9.140625" style="61"/>
    <col min="11" max="11" width="20" style="61" bestFit="1" customWidth="1"/>
    <col min="12" max="13" width="9.28515625" style="61" bestFit="1" customWidth="1"/>
    <col min="14" max="14" width="12.7109375" style="61" bestFit="1" customWidth="1"/>
    <col min="15" max="15" width="11.5703125" style="61" bestFit="1" customWidth="1"/>
    <col min="16" max="16384" width="9.140625" style="61"/>
  </cols>
  <sheetData>
    <row r="1" spans="1:18" ht="45" customHeight="1" x14ac:dyDescent="0.25">
      <c r="A1" s="59"/>
      <c r="B1" s="60" t="s">
        <v>68</v>
      </c>
      <c r="C1" s="60" t="s">
        <v>2</v>
      </c>
      <c r="D1" s="60" t="s">
        <v>3</v>
      </c>
      <c r="E1" s="60" t="s">
        <v>4</v>
      </c>
      <c r="F1" s="60" t="s">
        <v>13</v>
      </c>
      <c r="G1" s="60" t="s">
        <v>69</v>
      </c>
      <c r="H1" s="60" t="s">
        <v>70</v>
      </c>
      <c r="K1" s="62"/>
      <c r="L1" s="63"/>
      <c r="M1" s="63"/>
      <c r="N1" s="63"/>
      <c r="O1" s="63"/>
      <c r="P1" s="63"/>
      <c r="Q1" s="63"/>
      <c r="R1" s="63"/>
    </row>
    <row r="2" spans="1:18" x14ac:dyDescent="0.25">
      <c r="K2" s="62"/>
      <c r="L2" s="63"/>
      <c r="M2" s="63"/>
      <c r="N2" s="63"/>
      <c r="O2" s="63"/>
      <c r="P2" s="63"/>
      <c r="Q2" s="63"/>
      <c r="R2" s="63"/>
    </row>
    <row r="3" spans="1:18" x14ac:dyDescent="0.25">
      <c r="A3" s="62" t="s">
        <v>5</v>
      </c>
      <c r="B3" s="63" t="e">
        <f>SUM(#REF!)</f>
        <v>#REF!</v>
      </c>
      <c r="C3" s="63" t="e">
        <f t="shared" ref="C3" si="0">SUM(#REF!)</f>
        <v>#REF!</v>
      </c>
      <c r="D3" s="63" t="e">
        <f t="shared" ref="D3" si="1">SUM(#REF!)</f>
        <v>#REF!</v>
      </c>
      <c r="E3" s="63" t="e">
        <f t="shared" ref="E3" si="2">SUM(#REF!)</f>
        <v>#REF!</v>
      </c>
      <c r="F3" s="63" t="e">
        <f t="shared" ref="F3" si="3">SUM(#REF!)</f>
        <v>#REF!</v>
      </c>
      <c r="G3" s="63" t="e">
        <f t="shared" ref="G3" si="4">SUM(#REF!)</f>
        <v>#REF!</v>
      </c>
      <c r="H3" s="63" t="e">
        <f t="shared" ref="H3" si="5">SUM(#REF!)</f>
        <v>#REF!</v>
      </c>
      <c r="I3" s="64"/>
      <c r="K3" s="62"/>
      <c r="L3" s="62"/>
      <c r="M3" s="62"/>
      <c r="N3" s="62"/>
      <c r="O3" s="62"/>
      <c r="P3" s="62"/>
      <c r="Q3" s="62"/>
      <c r="R3" s="62"/>
    </row>
    <row r="4" spans="1:18" x14ac:dyDescent="0.25">
      <c r="A4" s="62" t="s">
        <v>71</v>
      </c>
      <c r="B4" s="63">
        <v>5</v>
      </c>
      <c r="C4" s="63">
        <v>5</v>
      </c>
      <c r="D4" s="63">
        <v>5</v>
      </c>
      <c r="E4" s="63">
        <v>5</v>
      </c>
      <c r="F4" s="63">
        <v>5</v>
      </c>
      <c r="G4" s="63">
        <v>5</v>
      </c>
      <c r="H4" s="63">
        <v>5</v>
      </c>
      <c r="I4" s="64"/>
    </row>
    <row r="5" spans="1:18" x14ac:dyDescent="0.25">
      <c r="A5" s="62" t="s">
        <v>72</v>
      </c>
      <c r="B5" s="62" t="e">
        <f>ROUND((B3/B4),0)</f>
        <v>#REF!</v>
      </c>
      <c r="C5" s="62" t="e">
        <f t="shared" ref="C5:F5" si="6">ROUND((C3/C4),0)</f>
        <v>#REF!</v>
      </c>
      <c r="D5" s="62" t="e">
        <f t="shared" si="6"/>
        <v>#REF!</v>
      </c>
      <c r="E5" s="62" t="e">
        <f t="shared" si="6"/>
        <v>#REF!</v>
      </c>
      <c r="F5" s="62" t="e">
        <f t="shared" si="6"/>
        <v>#REF!</v>
      </c>
      <c r="G5" s="62">
        <v>0</v>
      </c>
      <c r="H5" s="62">
        <v>0</v>
      </c>
      <c r="I5" s="64"/>
    </row>
    <row r="6" spans="1:18" x14ac:dyDescent="0.25">
      <c r="B6" s="65"/>
      <c r="C6" s="65"/>
      <c r="D6" s="65"/>
      <c r="E6" s="65"/>
      <c r="F6" s="65"/>
      <c r="G6" s="66"/>
      <c r="H6" s="66"/>
      <c r="K6" s="67" t="s">
        <v>6</v>
      </c>
      <c r="L6" s="67">
        <v>946</v>
      </c>
      <c r="M6" s="67">
        <v>56</v>
      </c>
      <c r="N6" s="67">
        <f t="shared" ref="N6" si="7">SUM(N8:N64)</f>
        <v>0</v>
      </c>
      <c r="O6" s="67">
        <v>234659</v>
      </c>
    </row>
    <row r="7" spans="1:18" x14ac:dyDescent="0.25">
      <c r="B7" s="65"/>
      <c r="C7" s="65"/>
      <c r="D7" s="65"/>
      <c r="E7" s="65"/>
      <c r="F7" s="65"/>
      <c r="G7" s="66"/>
      <c r="H7" s="66"/>
      <c r="J7" s="61" t="str">
        <f>IF(A7=K7,"","NONONO")</f>
        <v/>
      </c>
      <c r="K7" s="67"/>
      <c r="L7" s="67"/>
      <c r="M7" s="67"/>
      <c r="N7" s="67"/>
    </row>
    <row r="8" spans="1:18" x14ac:dyDescent="0.25">
      <c r="A8" s="61" t="s">
        <v>38</v>
      </c>
      <c r="B8" s="61">
        <v>110</v>
      </c>
      <c r="C8" s="61">
        <v>13</v>
      </c>
      <c r="D8" s="61">
        <v>97</v>
      </c>
      <c r="E8" s="61">
        <v>24</v>
      </c>
      <c r="F8" s="61">
        <v>13</v>
      </c>
      <c r="G8" s="66">
        <v>10</v>
      </c>
      <c r="H8" s="66">
        <v>1</v>
      </c>
      <c r="J8" s="61" t="str">
        <f t="shared" ref="J8:J47" si="8">IF(A8=K8,"","NONONO")</f>
        <v/>
      </c>
      <c r="K8" s="67" t="s">
        <v>38</v>
      </c>
      <c r="L8" s="67">
        <v>10</v>
      </c>
      <c r="M8" s="67">
        <v>1</v>
      </c>
      <c r="O8" s="61">
        <v>2000</v>
      </c>
    </row>
    <row r="9" spans="1:18" x14ac:dyDescent="0.25">
      <c r="A9" s="61" t="s">
        <v>20</v>
      </c>
      <c r="B9" s="66">
        <v>448</v>
      </c>
      <c r="C9" s="66">
        <v>74</v>
      </c>
      <c r="D9" s="66">
        <v>374</v>
      </c>
      <c r="E9" s="61">
        <v>14</v>
      </c>
      <c r="F9" s="61">
        <v>16</v>
      </c>
      <c r="G9" s="66">
        <v>37</v>
      </c>
      <c r="H9" s="66">
        <v>2</v>
      </c>
      <c r="J9" s="61" t="str">
        <f t="shared" si="8"/>
        <v/>
      </c>
      <c r="K9" s="61" t="s">
        <v>20</v>
      </c>
      <c r="L9" s="67">
        <v>37</v>
      </c>
      <c r="M9" s="67">
        <v>2</v>
      </c>
      <c r="O9" s="61">
        <v>9250</v>
      </c>
    </row>
    <row r="10" spans="1:18" x14ac:dyDescent="0.25">
      <c r="A10" s="61" t="s">
        <v>31</v>
      </c>
      <c r="B10" s="65">
        <v>512</v>
      </c>
      <c r="C10" s="65">
        <v>56</v>
      </c>
      <c r="D10" s="65">
        <v>456</v>
      </c>
      <c r="E10" s="65">
        <v>39</v>
      </c>
      <c r="F10" s="65">
        <v>0</v>
      </c>
      <c r="G10" s="66">
        <v>40</v>
      </c>
      <c r="H10" s="66">
        <v>2</v>
      </c>
      <c r="J10" s="61" t="str">
        <f t="shared" si="8"/>
        <v/>
      </c>
      <c r="K10" s="61" t="s">
        <v>31</v>
      </c>
      <c r="L10" s="67">
        <v>40</v>
      </c>
      <c r="M10" s="67">
        <v>2</v>
      </c>
      <c r="O10" s="61">
        <v>10000</v>
      </c>
    </row>
    <row r="11" spans="1:18" x14ac:dyDescent="0.25">
      <c r="A11" s="61" t="s">
        <v>23</v>
      </c>
      <c r="B11" s="69">
        <v>261</v>
      </c>
      <c r="C11" s="69">
        <v>59</v>
      </c>
      <c r="D11" s="69">
        <v>202</v>
      </c>
      <c r="E11" s="69">
        <v>1</v>
      </c>
      <c r="F11" s="69">
        <v>8</v>
      </c>
      <c r="G11" s="66">
        <v>30</v>
      </c>
      <c r="H11" s="66">
        <v>2</v>
      </c>
      <c r="I11" s="66"/>
      <c r="J11" s="61" t="str">
        <f t="shared" si="8"/>
        <v/>
      </c>
      <c r="K11" s="66" t="s">
        <v>23</v>
      </c>
      <c r="L11" s="66">
        <v>30</v>
      </c>
      <c r="M11" s="67">
        <v>2</v>
      </c>
      <c r="O11" s="61">
        <v>7500</v>
      </c>
    </row>
    <row r="12" spans="1:18" x14ac:dyDescent="0.25">
      <c r="A12" s="61" t="s">
        <v>48</v>
      </c>
      <c r="B12" s="61">
        <v>260</v>
      </c>
      <c r="C12" s="61">
        <v>79</v>
      </c>
      <c r="D12" s="61">
        <v>181</v>
      </c>
      <c r="E12" s="61">
        <v>12</v>
      </c>
      <c r="F12" s="61">
        <v>23</v>
      </c>
      <c r="G12" s="66">
        <v>36</v>
      </c>
      <c r="H12" s="66">
        <v>2</v>
      </c>
      <c r="J12" s="61" t="str">
        <f t="shared" si="8"/>
        <v/>
      </c>
      <c r="K12" s="67" t="s">
        <v>103</v>
      </c>
      <c r="L12" s="67">
        <v>36</v>
      </c>
      <c r="M12" s="67">
        <v>2</v>
      </c>
      <c r="O12" s="61">
        <v>9000</v>
      </c>
    </row>
    <row r="13" spans="1:18" x14ac:dyDescent="0.25">
      <c r="A13" s="61" t="s">
        <v>17</v>
      </c>
      <c r="B13" s="61">
        <v>957</v>
      </c>
      <c r="C13" s="61">
        <v>295</v>
      </c>
      <c r="D13" s="61">
        <v>662</v>
      </c>
      <c r="E13" s="61">
        <v>16</v>
      </c>
      <c r="F13" s="61">
        <v>5</v>
      </c>
      <c r="G13" s="66">
        <v>23</v>
      </c>
      <c r="H13" s="66">
        <v>2</v>
      </c>
      <c r="J13" s="61" t="str">
        <f t="shared" si="8"/>
        <v/>
      </c>
      <c r="K13" s="61" t="s">
        <v>17</v>
      </c>
      <c r="L13" s="67">
        <v>23</v>
      </c>
      <c r="M13" s="67">
        <v>2</v>
      </c>
      <c r="O13" s="61">
        <v>5750</v>
      </c>
    </row>
    <row r="14" spans="1:18" x14ac:dyDescent="0.25">
      <c r="A14" s="61" t="s">
        <v>43</v>
      </c>
      <c r="B14" s="61">
        <v>107</v>
      </c>
      <c r="C14" s="61">
        <v>23</v>
      </c>
      <c r="D14" s="61">
        <v>84</v>
      </c>
      <c r="E14" s="61">
        <v>10</v>
      </c>
      <c r="F14" s="61">
        <v>0</v>
      </c>
      <c r="G14" s="66">
        <v>20</v>
      </c>
      <c r="H14" s="66">
        <v>1</v>
      </c>
      <c r="J14" s="61" t="str">
        <f t="shared" si="8"/>
        <v/>
      </c>
      <c r="K14" s="61" t="s">
        <v>43</v>
      </c>
      <c r="L14" s="67">
        <v>20</v>
      </c>
      <c r="M14" s="67">
        <v>1</v>
      </c>
      <c r="O14" s="61">
        <v>5000</v>
      </c>
    </row>
    <row r="15" spans="1:18" x14ac:dyDescent="0.25">
      <c r="A15" s="61" t="s">
        <v>35</v>
      </c>
      <c r="B15" s="66">
        <v>295</v>
      </c>
      <c r="C15" s="66">
        <v>69</v>
      </c>
      <c r="D15" s="66">
        <v>226</v>
      </c>
      <c r="E15" s="66">
        <v>0</v>
      </c>
      <c r="F15" s="66">
        <v>0</v>
      </c>
      <c r="G15" s="66">
        <v>40</v>
      </c>
      <c r="H15" s="66">
        <v>2</v>
      </c>
      <c r="J15" s="61" t="str">
        <f t="shared" si="8"/>
        <v/>
      </c>
      <c r="K15" s="61" t="s">
        <v>35</v>
      </c>
      <c r="L15" s="67">
        <v>40</v>
      </c>
      <c r="M15" s="67">
        <v>2</v>
      </c>
      <c r="O15" s="61">
        <v>10000</v>
      </c>
    </row>
    <row r="16" spans="1:18" x14ac:dyDescent="0.25">
      <c r="A16" s="61" t="s">
        <v>36</v>
      </c>
      <c r="B16" s="61">
        <v>307</v>
      </c>
      <c r="C16" s="61">
        <v>88</v>
      </c>
      <c r="D16" s="61">
        <v>219</v>
      </c>
      <c r="E16" s="61">
        <v>39</v>
      </c>
      <c r="F16" s="61">
        <v>11</v>
      </c>
      <c r="G16" s="66">
        <v>37</v>
      </c>
      <c r="H16" s="66">
        <v>2</v>
      </c>
      <c r="J16" s="61" t="str">
        <f t="shared" si="8"/>
        <v/>
      </c>
      <c r="K16" s="61" t="s">
        <v>36</v>
      </c>
      <c r="L16" s="67">
        <v>37</v>
      </c>
      <c r="M16" s="67">
        <v>2</v>
      </c>
      <c r="O16" s="61">
        <v>9250</v>
      </c>
    </row>
    <row r="17" spans="1:15" x14ac:dyDescent="0.25">
      <c r="A17" s="61" t="s">
        <v>19</v>
      </c>
      <c r="B17" s="66">
        <v>214</v>
      </c>
      <c r="C17" s="66">
        <v>63</v>
      </c>
      <c r="D17" s="66">
        <v>151</v>
      </c>
      <c r="E17" s="61">
        <v>27</v>
      </c>
      <c r="F17" s="61">
        <v>0</v>
      </c>
      <c r="G17" s="66">
        <v>32</v>
      </c>
      <c r="H17" s="66">
        <v>2</v>
      </c>
      <c r="J17" s="61" t="str">
        <f t="shared" si="8"/>
        <v/>
      </c>
      <c r="K17" s="67" t="s">
        <v>19</v>
      </c>
      <c r="L17" s="67">
        <v>32</v>
      </c>
      <c r="M17" s="67">
        <v>2</v>
      </c>
      <c r="O17" s="61">
        <v>8000</v>
      </c>
    </row>
    <row r="18" spans="1:15" x14ac:dyDescent="0.25">
      <c r="A18" s="61" t="s">
        <v>32</v>
      </c>
      <c r="B18" s="61">
        <v>153</v>
      </c>
      <c r="C18" s="61">
        <v>21</v>
      </c>
      <c r="D18" s="61">
        <v>132</v>
      </c>
      <c r="E18" s="61">
        <v>1</v>
      </c>
      <c r="F18" s="61">
        <v>0</v>
      </c>
      <c r="G18" s="66">
        <v>14</v>
      </c>
      <c r="H18" s="66">
        <v>1</v>
      </c>
      <c r="J18" s="61" t="str">
        <f t="shared" si="8"/>
        <v/>
      </c>
      <c r="K18" s="61" t="s">
        <v>32</v>
      </c>
      <c r="L18" s="67">
        <v>14</v>
      </c>
      <c r="M18" s="67">
        <v>1</v>
      </c>
      <c r="O18" s="61">
        <v>3500</v>
      </c>
    </row>
    <row r="19" spans="1:15" x14ac:dyDescent="0.25">
      <c r="A19" s="61" t="s">
        <v>30</v>
      </c>
      <c r="B19" s="65">
        <v>312</v>
      </c>
      <c r="C19" s="65">
        <v>118</v>
      </c>
      <c r="D19" s="65">
        <v>194</v>
      </c>
      <c r="E19" s="65">
        <v>7</v>
      </c>
      <c r="F19" s="65">
        <v>26</v>
      </c>
      <c r="G19" s="66">
        <v>28</v>
      </c>
      <c r="H19" s="66">
        <v>2</v>
      </c>
      <c r="J19" s="61" t="str">
        <f t="shared" si="8"/>
        <v/>
      </c>
      <c r="K19" s="61" t="s">
        <v>30</v>
      </c>
      <c r="L19" s="67">
        <v>28</v>
      </c>
      <c r="M19" s="67">
        <v>2</v>
      </c>
      <c r="O19" s="61">
        <v>7000</v>
      </c>
    </row>
    <row r="20" spans="1:15" x14ac:dyDescent="0.25">
      <c r="A20" s="61" t="s">
        <v>46</v>
      </c>
      <c r="B20" s="61">
        <v>238</v>
      </c>
      <c r="C20" s="61">
        <v>59</v>
      </c>
      <c r="D20" s="61">
        <v>179</v>
      </c>
      <c r="E20" s="61">
        <v>2</v>
      </c>
      <c r="F20" s="61">
        <v>25</v>
      </c>
      <c r="G20" s="66">
        <v>20</v>
      </c>
      <c r="H20" s="66">
        <v>2</v>
      </c>
      <c r="J20" s="61" t="str">
        <f t="shared" si="8"/>
        <v/>
      </c>
      <c r="K20" s="61" t="s">
        <v>46</v>
      </c>
      <c r="L20" s="67">
        <v>20</v>
      </c>
      <c r="M20" s="67">
        <v>2</v>
      </c>
      <c r="O20" s="61">
        <v>5000</v>
      </c>
    </row>
    <row r="21" spans="1:15" x14ac:dyDescent="0.25">
      <c r="A21" s="61" t="s">
        <v>61</v>
      </c>
      <c r="B21" s="61">
        <v>144</v>
      </c>
      <c r="C21" s="61">
        <v>50</v>
      </c>
      <c r="D21" s="61">
        <v>94</v>
      </c>
      <c r="E21" s="61">
        <v>0</v>
      </c>
      <c r="F21" s="61">
        <v>0</v>
      </c>
      <c r="G21" s="66"/>
      <c r="H21" s="66"/>
      <c r="J21" s="61" t="str">
        <f t="shared" si="8"/>
        <v>NONONO</v>
      </c>
      <c r="K21" s="67"/>
      <c r="L21" s="67"/>
      <c r="M21" s="67"/>
    </row>
    <row r="22" spans="1:15" x14ac:dyDescent="0.25">
      <c r="A22" s="61" t="s">
        <v>53</v>
      </c>
      <c r="B22" s="61">
        <v>369</v>
      </c>
      <c r="C22" s="61">
        <v>89</v>
      </c>
      <c r="D22" s="61">
        <v>280</v>
      </c>
      <c r="E22" s="61">
        <v>0</v>
      </c>
      <c r="F22" s="61">
        <v>0</v>
      </c>
      <c r="G22" s="66"/>
      <c r="H22" s="66"/>
      <c r="J22" s="61" t="str">
        <f t="shared" si="8"/>
        <v>NONONO</v>
      </c>
      <c r="L22" s="67"/>
      <c r="M22" s="67"/>
    </row>
    <row r="23" spans="1:15" x14ac:dyDescent="0.25">
      <c r="A23" s="61" t="s">
        <v>34</v>
      </c>
      <c r="B23" s="61">
        <v>211</v>
      </c>
      <c r="C23" s="61">
        <v>27</v>
      </c>
      <c r="D23" s="61">
        <v>184</v>
      </c>
      <c r="E23" s="61">
        <v>12</v>
      </c>
      <c r="F23" s="61">
        <v>0</v>
      </c>
      <c r="G23" s="66">
        <v>29</v>
      </c>
      <c r="H23" s="66">
        <v>2</v>
      </c>
      <c r="J23" s="61" t="str">
        <f t="shared" si="8"/>
        <v/>
      </c>
      <c r="K23" s="67" t="s">
        <v>34</v>
      </c>
      <c r="L23" s="67">
        <v>29</v>
      </c>
      <c r="M23" s="67">
        <v>2</v>
      </c>
      <c r="O23" s="61">
        <v>7250</v>
      </c>
    </row>
    <row r="24" spans="1:15" x14ac:dyDescent="0.25">
      <c r="A24" s="61" t="s">
        <v>52</v>
      </c>
      <c r="B24" s="61">
        <v>264</v>
      </c>
      <c r="C24" s="61">
        <v>66</v>
      </c>
      <c r="D24" s="61">
        <v>198</v>
      </c>
      <c r="E24" s="61">
        <v>11</v>
      </c>
      <c r="F24" s="61">
        <v>0</v>
      </c>
      <c r="G24" s="66"/>
      <c r="H24" s="66"/>
      <c r="J24" s="61" t="str">
        <f t="shared" si="8"/>
        <v>NONONO</v>
      </c>
      <c r="L24" s="67"/>
      <c r="M24" s="67"/>
    </row>
    <row r="25" spans="1:15" x14ac:dyDescent="0.25">
      <c r="A25" s="61" t="s">
        <v>39</v>
      </c>
      <c r="B25" s="69">
        <v>120</v>
      </c>
      <c r="C25" s="69">
        <v>24</v>
      </c>
      <c r="D25" s="69">
        <v>96</v>
      </c>
      <c r="E25" s="69">
        <v>2</v>
      </c>
      <c r="F25" s="69">
        <v>7</v>
      </c>
      <c r="G25" s="66">
        <v>18</v>
      </c>
      <c r="H25" s="66">
        <v>1</v>
      </c>
      <c r="J25" s="61" t="str">
        <f t="shared" si="8"/>
        <v/>
      </c>
      <c r="K25" s="61" t="s">
        <v>39</v>
      </c>
      <c r="L25" s="67">
        <v>18</v>
      </c>
      <c r="M25" s="67">
        <v>1</v>
      </c>
      <c r="O25" s="61">
        <v>4500</v>
      </c>
    </row>
    <row r="26" spans="1:15" x14ac:dyDescent="0.25">
      <c r="A26" s="61" t="s">
        <v>49</v>
      </c>
      <c r="B26" s="61">
        <v>288</v>
      </c>
      <c r="C26" s="61">
        <v>71</v>
      </c>
      <c r="D26" s="61">
        <v>217</v>
      </c>
      <c r="E26" s="61">
        <v>0</v>
      </c>
      <c r="F26" s="61">
        <v>0</v>
      </c>
      <c r="G26" s="66">
        <v>24</v>
      </c>
      <c r="H26" s="66">
        <v>2</v>
      </c>
      <c r="J26" s="61" t="str">
        <f t="shared" si="8"/>
        <v/>
      </c>
      <c r="K26" s="67" t="s">
        <v>49</v>
      </c>
      <c r="L26" s="67">
        <v>24</v>
      </c>
      <c r="M26" s="67">
        <v>2</v>
      </c>
      <c r="O26" s="61">
        <v>6000</v>
      </c>
    </row>
    <row r="27" spans="1:15" x14ac:dyDescent="0.25">
      <c r="A27" s="61" t="s">
        <v>42</v>
      </c>
      <c r="B27" s="66">
        <v>135</v>
      </c>
      <c r="C27" s="66">
        <v>33</v>
      </c>
      <c r="D27" s="66">
        <v>102</v>
      </c>
      <c r="E27" s="66">
        <v>0</v>
      </c>
      <c r="F27" s="66">
        <v>0</v>
      </c>
      <c r="G27" s="66"/>
      <c r="H27" s="66"/>
      <c r="J27" s="61" t="str">
        <f t="shared" si="8"/>
        <v>NONONO</v>
      </c>
      <c r="K27" s="67"/>
      <c r="L27" s="67"/>
      <c r="M27" s="67"/>
    </row>
    <row r="28" spans="1:15" x14ac:dyDescent="0.25">
      <c r="A28" s="61" t="s">
        <v>26</v>
      </c>
      <c r="B28" s="66">
        <v>94</v>
      </c>
      <c r="C28" s="66">
        <v>22</v>
      </c>
      <c r="D28" s="66">
        <v>72</v>
      </c>
      <c r="E28" s="66">
        <v>4</v>
      </c>
      <c r="F28" s="66">
        <v>0</v>
      </c>
      <c r="G28" s="66">
        <v>33</v>
      </c>
      <c r="H28" s="66">
        <v>2</v>
      </c>
      <c r="J28" s="61" t="str">
        <f t="shared" si="8"/>
        <v/>
      </c>
      <c r="K28" s="67" t="s">
        <v>26</v>
      </c>
      <c r="L28" s="67">
        <v>33</v>
      </c>
      <c r="M28" s="67">
        <v>2</v>
      </c>
      <c r="O28" s="61">
        <v>8250</v>
      </c>
    </row>
    <row r="29" spans="1:15" x14ac:dyDescent="0.25">
      <c r="A29" s="61" t="s">
        <v>29</v>
      </c>
      <c r="B29" s="61">
        <v>337</v>
      </c>
      <c r="C29" s="61">
        <v>51</v>
      </c>
      <c r="D29" s="61">
        <v>286</v>
      </c>
      <c r="E29" s="61">
        <v>13</v>
      </c>
      <c r="F29" s="61">
        <v>1</v>
      </c>
      <c r="G29" s="66">
        <v>40</v>
      </c>
      <c r="H29" s="66">
        <v>2</v>
      </c>
      <c r="J29" s="61" t="str">
        <f t="shared" si="8"/>
        <v/>
      </c>
      <c r="K29" s="67" t="s">
        <v>29</v>
      </c>
      <c r="L29" s="67">
        <v>40</v>
      </c>
      <c r="M29" s="67">
        <v>2</v>
      </c>
      <c r="O29" s="61">
        <v>9965</v>
      </c>
    </row>
    <row r="30" spans="1:15" x14ac:dyDescent="0.25">
      <c r="A30" s="61" t="s">
        <v>60</v>
      </c>
      <c r="B30" s="61">
        <v>490</v>
      </c>
      <c r="C30" s="61">
        <v>90</v>
      </c>
      <c r="D30" s="61">
        <v>400</v>
      </c>
      <c r="E30" s="61">
        <v>9</v>
      </c>
      <c r="F30" s="61">
        <v>3</v>
      </c>
      <c r="G30" s="66"/>
      <c r="H30" s="66"/>
      <c r="J30" s="61" t="str">
        <f t="shared" si="8"/>
        <v>NONONO</v>
      </c>
      <c r="K30" s="67"/>
      <c r="L30" s="67"/>
      <c r="M30" s="67"/>
    </row>
    <row r="31" spans="1:15" x14ac:dyDescent="0.25">
      <c r="A31" s="61" t="s">
        <v>24</v>
      </c>
      <c r="B31" s="61">
        <v>212</v>
      </c>
      <c r="C31" s="61">
        <v>75</v>
      </c>
      <c r="D31" s="61">
        <v>137</v>
      </c>
      <c r="E31" s="61">
        <v>1</v>
      </c>
      <c r="F31" s="61">
        <v>0</v>
      </c>
      <c r="G31" s="66">
        <v>27</v>
      </c>
      <c r="H31" s="66">
        <v>2</v>
      </c>
      <c r="J31" s="61" t="str">
        <f t="shared" si="8"/>
        <v/>
      </c>
      <c r="K31" s="67" t="s">
        <v>24</v>
      </c>
      <c r="L31" s="67">
        <v>27</v>
      </c>
      <c r="M31" s="67">
        <v>2</v>
      </c>
      <c r="O31" s="61">
        <v>6750</v>
      </c>
    </row>
    <row r="32" spans="1:15" x14ac:dyDescent="0.25">
      <c r="A32" s="61" t="s">
        <v>37</v>
      </c>
      <c r="B32" s="65">
        <v>575</v>
      </c>
      <c r="C32" s="65">
        <v>240</v>
      </c>
      <c r="D32" s="65">
        <v>335</v>
      </c>
      <c r="E32" s="65">
        <v>23</v>
      </c>
      <c r="F32" s="65">
        <v>17</v>
      </c>
      <c r="G32" s="66">
        <v>40</v>
      </c>
      <c r="H32" s="66">
        <v>2</v>
      </c>
      <c r="J32" s="61" t="str">
        <f t="shared" si="8"/>
        <v/>
      </c>
      <c r="K32" s="67" t="s">
        <v>37</v>
      </c>
      <c r="L32" s="67">
        <v>40</v>
      </c>
      <c r="M32" s="67">
        <v>2</v>
      </c>
      <c r="O32" s="61">
        <v>10000</v>
      </c>
    </row>
    <row r="33" spans="1:15" x14ac:dyDescent="0.25">
      <c r="A33" s="61" t="s">
        <v>25</v>
      </c>
      <c r="B33" s="66">
        <v>530</v>
      </c>
      <c r="C33" s="66">
        <v>194</v>
      </c>
      <c r="D33" s="66">
        <v>336</v>
      </c>
      <c r="E33" s="66">
        <v>8</v>
      </c>
      <c r="F33" s="66">
        <v>4</v>
      </c>
      <c r="G33" s="66">
        <v>37</v>
      </c>
      <c r="H33" s="66">
        <v>2</v>
      </c>
      <c r="J33" s="61" t="str">
        <f t="shared" si="8"/>
        <v/>
      </c>
      <c r="K33" s="61" t="s">
        <v>25</v>
      </c>
      <c r="L33" s="67">
        <v>37</v>
      </c>
      <c r="M33" s="67">
        <v>2</v>
      </c>
      <c r="O33" s="61">
        <v>8444</v>
      </c>
    </row>
    <row r="34" spans="1:15" x14ac:dyDescent="0.25">
      <c r="A34" s="61" t="s">
        <v>22</v>
      </c>
      <c r="B34" s="69">
        <v>319</v>
      </c>
      <c r="C34" s="69">
        <v>110</v>
      </c>
      <c r="D34" s="69">
        <v>209</v>
      </c>
      <c r="E34" s="69">
        <v>0</v>
      </c>
      <c r="F34" s="69">
        <v>0</v>
      </c>
      <c r="G34" s="66">
        <v>40</v>
      </c>
      <c r="H34" s="66">
        <v>2</v>
      </c>
      <c r="J34" s="61" t="str">
        <f t="shared" si="8"/>
        <v/>
      </c>
      <c r="K34" s="67" t="s">
        <v>22</v>
      </c>
      <c r="L34" s="67">
        <v>40</v>
      </c>
      <c r="M34" s="67">
        <v>2</v>
      </c>
      <c r="O34" s="61">
        <v>10000</v>
      </c>
    </row>
    <row r="35" spans="1:15" x14ac:dyDescent="0.25">
      <c r="A35" s="61" t="s">
        <v>18</v>
      </c>
      <c r="B35" s="66">
        <v>318</v>
      </c>
      <c r="C35" s="66">
        <v>74</v>
      </c>
      <c r="D35" s="66">
        <v>244</v>
      </c>
      <c r="E35" s="66">
        <v>43</v>
      </c>
      <c r="F35" s="66">
        <v>8</v>
      </c>
      <c r="G35" s="66">
        <v>40</v>
      </c>
      <c r="H35" s="66">
        <v>2</v>
      </c>
      <c r="J35" s="61" t="str">
        <f t="shared" si="8"/>
        <v/>
      </c>
      <c r="K35" s="67" t="s">
        <v>18</v>
      </c>
      <c r="L35" s="67">
        <v>40</v>
      </c>
      <c r="M35" s="67">
        <v>2</v>
      </c>
      <c r="O35" s="61">
        <v>10000</v>
      </c>
    </row>
    <row r="36" spans="1:15" x14ac:dyDescent="0.25">
      <c r="A36" s="61" t="s">
        <v>51</v>
      </c>
      <c r="B36" s="61">
        <v>270</v>
      </c>
      <c r="C36" s="61">
        <v>69</v>
      </c>
      <c r="D36" s="61">
        <v>201</v>
      </c>
      <c r="E36" s="61">
        <v>10</v>
      </c>
      <c r="F36" s="61">
        <v>0</v>
      </c>
      <c r="G36" s="66"/>
      <c r="H36" s="66"/>
      <c r="J36" s="61" t="str">
        <f t="shared" si="8"/>
        <v>NONONO</v>
      </c>
      <c r="K36" s="67"/>
      <c r="L36" s="67"/>
      <c r="M36" s="67"/>
    </row>
    <row r="37" spans="1:15" x14ac:dyDescent="0.25">
      <c r="A37" s="66" t="s">
        <v>41</v>
      </c>
      <c r="B37" s="66">
        <v>255</v>
      </c>
      <c r="C37" s="66">
        <v>66</v>
      </c>
      <c r="D37" s="66">
        <v>189</v>
      </c>
      <c r="E37" s="66">
        <v>31</v>
      </c>
      <c r="F37" s="66">
        <v>0</v>
      </c>
      <c r="G37" s="66">
        <v>25</v>
      </c>
      <c r="H37" s="66">
        <v>2</v>
      </c>
      <c r="J37" s="61" t="str">
        <f t="shared" si="8"/>
        <v/>
      </c>
      <c r="K37" s="67" t="s">
        <v>41</v>
      </c>
      <c r="L37" s="67">
        <v>25</v>
      </c>
      <c r="M37" s="67">
        <v>2</v>
      </c>
      <c r="O37" s="61">
        <v>6250</v>
      </c>
    </row>
    <row r="38" spans="1:15" x14ac:dyDescent="0.25">
      <c r="A38" s="61" t="s">
        <v>28</v>
      </c>
      <c r="B38" s="66">
        <v>288</v>
      </c>
      <c r="C38" s="66">
        <v>45</v>
      </c>
      <c r="D38" s="66">
        <v>243</v>
      </c>
      <c r="E38" s="66">
        <v>12</v>
      </c>
      <c r="F38" s="66">
        <v>0</v>
      </c>
      <c r="G38" s="66">
        <v>40</v>
      </c>
      <c r="H38" s="66">
        <v>2</v>
      </c>
      <c r="J38" s="61" t="str">
        <f t="shared" si="8"/>
        <v/>
      </c>
      <c r="K38" s="67" t="s">
        <v>28</v>
      </c>
      <c r="L38" s="67">
        <v>40</v>
      </c>
      <c r="M38" s="67">
        <v>2</v>
      </c>
      <c r="O38" s="61">
        <v>10000</v>
      </c>
    </row>
    <row r="39" spans="1:15" x14ac:dyDescent="0.25">
      <c r="A39" s="61" t="s">
        <v>50</v>
      </c>
      <c r="B39" s="61">
        <v>484</v>
      </c>
      <c r="C39" s="61">
        <v>98</v>
      </c>
      <c r="D39" s="61">
        <v>386</v>
      </c>
      <c r="E39" s="61">
        <v>11</v>
      </c>
      <c r="F39" s="61">
        <v>1</v>
      </c>
      <c r="G39" s="66"/>
      <c r="H39" s="66"/>
      <c r="J39" s="61" t="str">
        <f t="shared" si="8"/>
        <v>NONONO</v>
      </c>
      <c r="K39" s="67"/>
      <c r="L39" s="67"/>
      <c r="M39" s="67"/>
    </row>
    <row r="40" spans="1:15" x14ac:dyDescent="0.25">
      <c r="A40" s="61" t="s">
        <v>98</v>
      </c>
      <c r="B40" s="61">
        <v>174</v>
      </c>
      <c r="C40" s="61">
        <v>46</v>
      </c>
      <c r="D40" s="61">
        <v>128</v>
      </c>
      <c r="E40" s="61">
        <v>0</v>
      </c>
      <c r="F40" s="61">
        <v>8</v>
      </c>
      <c r="G40" s="66"/>
      <c r="H40" s="66"/>
      <c r="J40" s="61" t="str">
        <f t="shared" si="8"/>
        <v>NONONO</v>
      </c>
      <c r="K40" s="67"/>
      <c r="L40" s="67"/>
      <c r="M40" s="67"/>
    </row>
    <row r="41" spans="1:15" x14ac:dyDescent="0.25">
      <c r="A41" s="61" t="s">
        <v>21</v>
      </c>
      <c r="B41" s="66">
        <v>0</v>
      </c>
      <c r="C41" s="66">
        <v>0</v>
      </c>
      <c r="D41" s="66">
        <v>0</v>
      </c>
      <c r="E41" s="66">
        <v>0</v>
      </c>
      <c r="F41" s="66">
        <v>0</v>
      </c>
      <c r="G41" s="66"/>
      <c r="H41" s="66"/>
      <c r="J41" s="61" t="str">
        <f t="shared" si="8"/>
        <v>NONONO</v>
      </c>
      <c r="K41" s="67"/>
      <c r="L41" s="67"/>
      <c r="M41" s="67"/>
    </row>
    <row r="42" spans="1:15" x14ac:dyDescent="0.25">
      <c r="A42" s="61" t="s">
        <v>45</v>
      </c>
      <c r="B42" s="61">
        <v>289</v>
      </c>
      <c r="C42" s="61">
        <v>77</v>
      </c>
      <c r="D42" s="61">
        <v>212</v>
      </c>
      <c r="E42" s="61">
        <v>13</v>
      </c>
      <c r="F42" s="61">
        <v>0</v>
      </c>
      <c r="G42" s="66">
        <v>40</v>
      </c>
      <c r="H42" s="66">
        <v>2</v>
      </c>
      <c r="J42" s="61" t="str">
        <f t="shared" si="8"/>
        <v/>
      </c>
      <c r="K42" s="67" t="s">
        <v>45</v>
      </c>
      <c r="L42" s="67">
        <v>40</v>
      </c>
      <c r="M42" s="67">
        <v>2</v>
      </c>
      <c r="O42" s="61">
        <v>10000</v>
      </c>
    </row>
    <row r="43" spans="1:15" x14ac:dyDescent="0.25">
      <c r="A43" s="61" t="s">
        <v>40</v>
      </c>
      <c r="B43" s="69">
        <v>224</v>
      </c>
      <c r="C43" s="69">
        <v>51</v>
      </c>
      <c r="D43" s="69">
        <v>173</v>
      </c>
      <c r="E43" s="69">
        <v>0</v>
      </c>
      <c r="F43" s="69">
        <v>0</v>
      </c>
      <c r="G43" s="66">
        <v>22</v>
      </c>
      <c r="H43" s="66">
        <v>2</v>
      </c>
      <c r="J43" s="61" t="str">
        <f t="shared" si="8"/>
        <v/>
      </c>
      <c r="K43" s="67" t="s">
        <v>40</v>
      </c>
      <c r="L43" s="67">
        <v>22</v>
      </c>
      <c r="M43" s="67">
        <v>2</v>
      </c>
      <c r="O43" s="61">
        <v>5500</v>
      </c>
    </row>
    <row r="44" spans="1:15" x14ac:dyDescent="0.25">
      <c r="A44" s="61" t="s">
        <v>44</v>
      </c>
      <c r="B44" s="72">
        <v>222</v>
      </c>
      <c r="C44" s="72">
        <v>52</v>
      </c>
      <c r="D44" s="72">
        <v>170</v>
      </c>
      <c r="E44" s="72">
        <v>31</v>
      </c>
      <c r="F44" s="72">
        <v>0</v>
      </c>
      <c r="G44" s="66">
        <v>21</v>
      </c>
      <c r="H44" s="66">
        <v>1</v>
      </c>
      <c r="J44" s="61" t="str">
        <f t="shared" si="8"/>
        <v/>
      </c>
      <c r="K44" s="67" t="s">
        <v>44</v>
      </c>
      <c r="L44" s="67">
        <v>21</v>
      </c>
      <c r="M44" s="67">
        <v>1</v>
      </c>
      <c r="O44" s="61">
        <v>5250</v>
      </c>
    </row>
    <row r="45" spans="1:15" x14ac:dyDescent="0.25">
      <c r="A45" s="61" t="s">
        <v>47</v>
      </c>
      <c r="B45" s="61">
        <v>285</v>
      </c>
      <c r="C45" s="61">
        <v>50</v>
      </c>
      <c r="D45" s="61">
        <v>235</v>
      </c>
      <c r="E45" s="61">
        <v>6</v>
      </c>
      <c r="F45" s="61">
        <v>5</v>
      </c>
      <c r="G45" s="66">
        <v>34</v>
      </c>
      <c r="H45" s="66">
        <v>2</v>
      </c>
      <c r="J45" s="61" t="str">
        <f t="shared" si="8"/>
        <v/>
      </c>
      <c r="K45" s="67" t="s">
        <v>47</v>
      </c>
      <c r="L45" s="67">
        <v>34</v>
      </c>
      <c r="M45" s="67">
        <v>2</v>
      </c>
      <c r="O45" s="61">
        <v>8000</v>
      </c>
    </row>
    <row r="46" spans="1:15" x14ac:dyDescent="0.25">
      <c r="A46" s="61" t="s">
        <v>27</v>
      </c>
      <c r="B46" s="66">
        <v>283</v>
      </c>
      <c r="C46" s="66">
        <v>55</v>
      </c>
      <c r="D46" s="66">
        <v>228</v>
      </c>
      <c r="E46" s="66">
        <v>15</v>
      </c>
      <c r="F46" s="66">
        <v>1</v>
      </c>
      <c r="G46" s="66">
        <v>29</v>
      </c>
      <c r="H46" s="66">
        <v>1</v>
      </c>
      <c r="J46" s="61" t="str">
        <f t="shared" si="8"/>
        <v/>
      </c>
      <c r="K46" s="67" t="s">
        <v>27</v>
      </c>
      <c r="L46" s="67">
        <v>29</v>
      </c>
      <c r="M46" s="67">
        <v>1</v>
      </c>
      <c r="O46" s="61">
        <v>7250</v>
      </c>
    </row>
    <row r="47" spans="1:15" x14ac:dyDescent="0.25">
      <c r="A47" s="61" t="s">
        <v>33</v>
      </c>
      <c r="B47" s="69">
        <v>218</v>
      </c>
      <c r="C47" s="69">
        <v>29</v>
      </c>
      <c r="D47" s="69">
        <v>189</v>
      </c>
      <c r="E47" s="69">
        <v>0</v>
      </c>
      <c r="F47" s="69">
        <v>0</v>
      </c>
      <c r="G47" s="66">
        <v>40</v>
      </c>
      <c r="H47" s="66">
        <v>2</v>
      </c>
      <c r="J47" s="61" t="str">
        <f t="shared" si="8"/>
        <v/>
      </c>
      <c r="K47" s="61" t="s">
        <v>33</v>
      </c>
      <c r="L47" s="67">
        <v>40</v>
      </c>
      <c r="M47" s="67">
        <v>2</v>
      </c>
      <c r="O47" s="61">
        <v>10000</v>
      </c>
    </row>
    <row r="48" spans="1:15" x14ac:dyDescent="0.25">
      <c r="B48" s="69"/>
      <c r="C48" s="69"/>
      <c r="D48" s="69"/>
      <c r="E48" s="69"/>
      <c r="F48" s="69"/>
      <c r="G48" s="63"/>
      <c r="H48" s="63"/>
      <c r="K48" s="67"/>
      <c r="L48" s="67"/>
      <c r="M48" s="67"/>
    </row>
    <row r="49" spans="1:13" x14ac:dyDescent="0.25">
      <c r="A49" s="62" t="s">
        <v>5</v>
      </c>
      <c r="B49" s="63">
        <f>SUM(B8:B48)</f>
        <v>11572</v>
      </c>
      <c r="C49" s="63">
        <f t="shared" ref="C49:H49" si="9">SUM(C8:C48)</f>
        <v>2871</v>
      </c>
      <c r="D49" s="63">
        <f t="shared" si="9"/>
        <v>8701</v>
      </c>
      <c r="E49" s="63">
        <f t="shared" si="9"/>
        <v>447</v>
      </c>
      <c r="F49" s="63">
        <f t="shared" si="9"/>
        <v>182</v>
      </c>
      <c r="G49" s="63">
        <f t="shared" si="9"/>
        <v>946</v>
      </c>
      <c r="H49" s="63">
        <f t="shared" si="9"/>
        <v>56</v>
      </c>
      <c r="K49" s="67"/>
      <c r="L49" s="67"/>
      <c r="M49" s="67"/>
    </row>
    <row r="50" spans="1:13" x14ac:dyDescent="0.25">
      <c r="A50" s="62" t="s">
        <v>71</v>
      </c>
      <c r="B50" s="63">
        <v>4</v>
      </c>
      <c r="C50" s="63">
        <v>4</v>
      </c>
      <c r="D50" s="63">
        <v>4</v>
      </c>
      <c r="E50" s="63">
        <v>4</v>
      </c>
      <c r="F50" s="63">
        <v>4</v>
      </c>
      <c r="G50" s="63">
        <v>4</v>
      </c>
      <c r="H50" s="63">
        <v>4</v>
      </c>
      <c r="K50" s="67"/>
      <c r="L50" s="67"/>
      <c r="M50" s="67"/>
    </row>
    <row r="51" spans="1:13" x14ac:dyDescent="0.25">
      <c r="A51" s="62" t="s">
        <v>72</v>
      </c>
      <c r="B51" s="62">
        <f>ROUND((B49/B50),0)</f>
        <v>2893</v>
      </c>
      <c r="C51" s="62">
        <f t="shared" ref="C51:F51" si="10">ROUND((C49/C50),0)</f>
        <v>718</v>
      </c>
      <c r="D51" s="62">
        <f t="shared" si="10"/>
        <v>2175</v>
      </c>
      <c r="E51" s="62">
        <f t="shared" si="10"/>
        <v>112</v>
      </c>
      <c r="F51" s="62">
        <f t="shared" si="10"/>
        <v>46</v>
      </c>
      <c r="G51" s="62">
        <v>0</v>
      </c>
      <c r="H51" s="62">
        <v>0</v>
      </c>
      <c r="K51" s="67"/>
      <c r="L51" s="67"/>
      <c r="M51" s="67"/>
    </row>
    <row r="52" spans="1:13" x14ac:dyDescent="0.25">
      <c r="G52" s="66"/>
      <c r="H52" s="66"/>
      <c r="K52" s="67"/>
      <c r="L52" s="67"/>
      <c r="M52" s="67"/>
    </row>
    <row r="53" spans="1:13" x14ac:dyDescent="0.25">
      <c r="B53" s="66"/>
      <c r="C53" s="66"/>
      <c r="D53" s="66"/>
      <c r="G53" s="66"/>
      <c r="H53" s="66"/>
      <c r="K53" s="67"/>
      <c r="L53" s="67"/>
      <c r="M53" s="67"/>
    </row>
    <row r="54" spans="1:13" x14ac:dyDescent="0.25">
      <c r="A54" s="61" t="s">
        <v>5</v>
      </c>
      <c r="B54" s="66">
        <v>11572</v>
      </c>
      <c r="C54" s="66">
        <v>2871</v>
      </c>
      <c r="D54" s="66">
        <v>8701</v>
      </c>
      <c r="E54" s="66">
        <v>447</v>
      </c>
      <c r="F54" s="66">
        <v>182</v>
      </c>
      <c r="G54" s="66"/>
      <c r="H54" s="66"/>
    </row>
    <row r="55" spans="1:13" x14ac:dyDescent="0.25">
      <c r="B55" s="65"/>
      <c r="C55" s="65"/>
      <c r="D55" s="65"/>
      <c r="E55" s="65"/>
      <c r="F55" s="65"/>
      <c r="G55" s="66"/>
      <c r="H55" s="66"/>
    </row>
    <row r="56" spans="1:13" x14ac:dyDescent="0.25">
      <c r="B56" s="65"/>
      <c r="C56" s="65"/>
      <c r="D56" s="65"/>
      <c r="E56" s="65"/>
      <c r="F56" s="65"/>
      <c r="G56" s="66"/>
      <c r="H56" s="66"/>
    </row>
    <row r="57" spans="1:13" x14ac:dyDescent="0.25">
      <c r="B57" s="66"/>
      <c r="C57" s="66"/>
      <c r="D57" s="66"/>
      <c r="E57" s="66"/>
      <c r="F57" s="66"/>
    </row>
    <row r="58" spans="1:13" x14ac:dyDescent="0.25">
      <c r="B58" s="72"/>
      <c r="C58" s="72"/>
      <c r="D58" s="72"/>
      <c r="E58" s="72"/>
      <c r="F58" s="72"/>
    </row>
    <row r="59" spans="1:13" x14ac:dyDescent="0.25">
      <c r="B59" s="66"/>
      <c r="C59" s="66"/>
      <c r="D59" s="66"/>
      <c r="E59" s="66"/>
      <c r="F59" s="66"/>
    </row>
    <row r="63" spans="1:13" x14ac:dyDescent="0.25">
      <c r="B63" s="65"/>
      <c r="C63" s="65"/>
      <c r="D63" s="65"/>
      <c r="E63" s="65"/>
      <c r="F63" s="65"/>
    </row>
    <row r="64" spans="1:13" x14ac:dyDescent="0.25">
      <c r="B64" s="66"/>
      <c r="C64" s="66"/>
      <c r="D64" s="66"/>
      <c r="E64" s="66"/>
      <c r="F64" s="66"/>
    </row>
    <row r="68" spans="1:6" x14ac:dyDescent="0.25">
      <c r="B68" s="66"/>
      <c r="C68" s="66"/>
      <c r="D68" s="66"/>
      <c r="E68" s="66"/>
      <c r="F68" s="66"/>
    </row>
    <row r="71" spans="1:6" x14ac:dyDescent="0.25">
      <c r="B71" s="69"/>
      <c r="C71" s="69"/>
      <c r="D71" s="69"/>
      <c r="E71" s="69"/>
      <c r="F71" s="69"/>
    </row>
    <row r="73" spans="1:6" x14ac:dyDescent="0.25">
      <c r="B73" s="65"/>
      <c r="C73" s="65"/>
      <c r="D73" s="65"/>
      <c r="E73" s="65"/>
      <c r="F73" s="65"/>
    </row>
    <row r="74" spans="1:6" x14ac:dyDescent="0.25">
      <c r="B74" s="66"/>
      <c r="C74" s="66"/>
      <c r="D74" s="66"/>
      <c r="E74" s="66"/>
      <c r="F74" s="66"/>
    </row>
    <row r="76" spans="1:6" x14ac:dyDescent="0.25">
      <c r="B76" s="66"/>
      <c r="C76" s="66"/>
      <c r="D76" s="66"/>
      <c r="E76" s="66"/>
      <c r="F76" s="66"/>
    </row>
    <row r="79" spans="1:6" x14ac:dyDescent="0.25">
      <c r="B79" s="66"/>
      <c r="C79" s="66"/>
      <c r="D79" s="66"/>
      <c r="E79" s="66"/>
      <c r="F79" s="66"/>
    </row>
    <row r="80" spans="1:6" x14ac:dyDescent="0.25">
      <c r="A80" s="66"/>
      <c r="B80" s="66"/>
      <c r="C80" s="66"/>
      <c r="D80" s="66"/>
      <c r="E80" s="66"/>
      <c r="F80" s="66"/>
    </row>
    <row r="81" spans="1:6" x14ac:dyDescent="0.25">
      <c r="B81" s="69"/>
      <c r="C81" s="69"/>
      <c r="D81" s="69"/>
      <c r="E81" s="69"/>
      <c r="F81" s="69"/>
    </row>
    <row r="83" spans="1:6" x14ac:dyDescent="0.25">
      <c r="B83" s="66"/>
      <c r="C83" s="66"/>
      <c r="D83" s="66"/>
      <c r="E83" s="66"/>
      <c r="F83" s="66"/>
    </row>
    <row r="84" spans="1:6" x14ac:dyDescent="0.25">
      <c r="B84" s="69"/>
      <c r="C84" s="69"/>
      <c r="D84" s="69"/>
      <c r="E84" s="69"/>
      <c r="F84" s="69"/>
    </row>
    <row r="85" spans="1:6" x14ac:dyDescent="0.25">
      <c r="B85" s="69"/>
      <c r="C85" s="69"/>
      <c r="D85" s="69"/>
      <c r="E85" s="69"/>
      <c r="F85" s="69"/>
    </row>
    <row r="86" spans="1:6" x14ac:dyDescent="0.25">
      <c r="A86" s="62"/>
      <c r="B86" s="63"/>
      <c r="C86" s="63"/>
      <c r="D86" s="63"/>
      <c r="E86" s="63"/>
      <c r="F86" s="63"/>
    </row>
    <row r="87" spans="1:6" x14ac:dyDescent="0.25">
      <c r="A87" s="62"/>
      <c r="B87" s="63"/>
      <c r="C87" s="63"/>
      <c r="D87" s="63"/>
      <c r="E87" s="63"/>
      <c r="F87" s="63"/>
    </row>
    <row r="88" spans="1:6" x14ac:dyDescent="0.25">
      <c r="A88" s="62"/>
      <c r="B88" s="62"/>
      <c r="C88" s="62"/>
      <c r="D88" s="62"/>
      <c r="E88" s="62"/>
      <c r="F88" s="62"/>
    </row>
    <row r="89" spans="1:6" x14ac:dyDescent="0.25">
      <c r="B89" s="66"/>
      <c r="C89" s="66"/>
      <c r="D89" s="66"/>
    </row>
    <row r="90" spans="1:6" x14ac:dyDescent="0.25">
      <c r="B90" s="66"/>
      <c r="C90" s="66"/>
      <c r="D90" s="66"/>
    </row>
    <row r="91" spans="1:6" x14ac:dyDescent="0.25">
      <c r="B91" s="66"/>
      <c r="C91" s="66"/>
      <c r="D91" s="66"/>
    </row>
    <row r="92" spans="1:6" x14ac:dyDescent="0.25">
      <c r="B92" s="66"/>
      <c r="C92" s="66"/>
      <c r="D92" s="66"/>
    </row>
    <row r="93" spans="1:6" x14ac:dyDescent="0.25">
      <c r="B93" s="66"/>
      <c r="C93" s="66"/>
      <c r="D93" s="66"/>
    </row>
    <row r="94" spans="1:6" x14ac:dyDescent="0.25">
      <c r="B94" s="66"/>
      <c r="C94" s="66"/>
      <c r="D94" s="66"/>
    </row>
    <row r="95" spans="1:6" x14ac:dyDescent="0.25">
      <c r="B95" s="66"/>
      <c r="C95" s="66"/>
      <c r="D95" s="66"/>
    </row>
    <row r="96" spans="1:6" x14ac:dyDescent="0.25">
      <c r="B96" s="66"/>
      <c r="C96" s="66"/>
      <c r="D96" s="66"/>
    </row>
    <row r="97" spans="1:4" x14ac:dyDescent="0.25">
      <c r="B97" s="66"/>
      <c r="C97" s="66"/>
      <c r="D97" s="66"/>
    </row>
    <row r="98" spans="1:4" x14ac:dyDescent="0.25">
      <c r="B98" s="66"/>
      <c r="C98" s="66"/>
      <c r="D98" s="66"/>
    </row>
    <row r="99" spans="1:4" x14ac:dyDescent="0.25">
      <c r="B99" s="66"/>
      <c r="C99" s="66"/>
      <c r="D99" s="66"/>
    </row>
    <row r="100" spans="1:4" x14ac:dyDescent="0.25">
      <c r="A100" s="66"/>
      <c r="B100" s="66"/>
      <c r="C100" s="66"/>
      <c r="D100" s="66"/>
    </row>
    <row r="101" spans="1:4" x14ac:dyDescent="0.25">
      <c r="B101" s="66"/>
      <c r="C101" s="66"/>
      <c r="D101" s="66"/>
    </row>
    <row r="102" spans="1:4" x14ac:dyDescent="0.25">
      <c r="B102" s="66"/>
      <c r="C102" s="66"/>
      <c r="D102" s="66"/>
    </row>
    <row r="103" spans="1:4" x14ac:dyDescent="0.25">
      <c r="B103" s="66"/>
      <c r="C103" s="66"/>
      <c r="D103" s="66"/>
    </row>
    <row r="104" spans="1:4" x14ac:dyDescent="0.25">
      <c r="B104" s="66"/>
      <c r="C104" s="66"/>
      <c r="D104" s="66"/>
    </row>
    <row r="105" spans="1:4" x14ac:dyDescent="0.25">
      <c r="B105" s="66"/>
      <c r="C105" s="66"/>
      <c r="D105" s="66"/>
    </row>
    <row r="106" spans="1:4" x14ac:dyDescent="0.25">
      <c r="B106" s="66"/>
      <c r="C106" s="66"/>
      <c r="D106" s="66"/>
    </row>
    <row r="107" spans="1:4" x14ac:dyDescent="0.25">
      <c r="B107" s="66"/>
      <c r="C107" s="66"/>
      <c r="D107" s="66"/>
    </row>
    <row r="108" spans="1:4" x14ac:dyDescent="0.25">
      <c r="A108" s="62"/>
      <c r="B108" s="66"/>
      <c r="C108" s="66"/>
      <c r="D108" s="66"/>
    </row>
    <row r="109" spans="1:4" x14ac:dyDescent="0.25">
      <c r="B109" s="66"/>
      <c r="C109" s="66"/>
      <c r="D109" s="66"/>
    </row>
    <row r="110" spans="1:4" x14ac:dyDescent="0.25">
      <c r="B110" s="66"/>
      <c r="C110" s="66"/>
      <c r="D110" s="66"/>
    </row>
    <row r="111" spans="1:4" x14ac:dyDescent="0.25">
      <c r="B111" s="66"/>
      <c r="C111" s="66"/>
      <c r="D111" s="66"/>
    </row>
    <row r="112" spans="1:4" x14ac:dyDescent="0.25">
      <c r="B112" s="66"/>
      <c r="C112" s="66"/>
      <c r="D112" s="66"/>
    </row>
    <row r="113" spans="1:6" x14ac:dyDescent="0.25">
      <c r="B113" s="66"/>
      <c r="C113" s="66"/>
      <c r="D113" s="66"/>
    </row>
    <row r="114" spans="1:6" x14ac:dyDescent="0.25">
      <c r="B114" s="66"/>
      <c r="C114" s="66"/>
      <c r="D114" s="66"/>
    </row>
    <row r="115" spans="1:6" x14ac:dyDescent="0.25">
      <c r="B115" s="66"/>
      <c r="C115" s="66"/>
      <c r="D115" s="66"/>
    </row>
    <row r="116" spans="1:6" x14ac:dyDescent="0.25">
      <c r="B116" s="66"/>
      <c r="C116" s="66"/>
      <c r="D116" s="66"/>
    </row>
    <row r="117" spans="1:6" x14ac:dyDescent="0.25">
      <c r="B117" s="66"/>
      <c r="C117" s="66"/>
      <c r="D117" s="66"/>
    </row>
    <row r="118" spans="1:6" x14ac:dyDescent="0.25">
      <c r="B118" s="66"/>
      <c r="C118" s="66"/>
      <c r="D118" s="66"/>
    </row>
    <row r="119" spans="1:6" x14ac:dyDescent="0.25">
      <c r="B119" s="66"/>
      <c r="C119" s="66"/>
      <c r="D119" s="66"/>
    </row>
    <row r="120" spans="1:6" x14ac:dyDescent="0.25">
      <c r="B120" s="66"/>
      <c r="C120" s="66"/>
      <c r="D120" s="66"/>
    </row>
    <row r="121" spans="1:6" x14ac:dyDescent="0.25">
      <c r="A121" s="62"/>
      <c r="B121" s="70"/>
      <c r="C121" s="70"/>
      <c r="D121" s="70"/>
      <c r="E121" s="70"/>
      <c r="F121" s="70"/>
    </row>
    <row r="122" spans="1:6" x14ac:dyDescent="0.25">
      <c r="A122" s="62"/>
      <c r="B122" s="70"/>
      <c r="C122" s="70"/>
      <c r="D122" s="70"/>
      <c r="E122" s="70"/>
      <c r="F122" s="70"/>
    </row>
    <row r="123" spans="1:6" x14ac:dyDescent="0.25">
      <c r="A123" s="62"/>
      <c r="B123" s="70"/>
      <c r="C123" s="70"/>
      <c r="D123" s="70"/>
      <c r="E123" s="70"/>
      <c r="F123" s="70"/>
    </row>
    <row r="124" spans="1:6" x14ac:dyDescent="0.25">
      <c r="B124" s="66"/>
      <c r="C124" s="66"/>
      <c r="D124" s="66"/>
      <c r="E124" s="66"/>
      <c r="F124" s="66"/>
    </row>
    <row r="125" spans="1:6" x14ac:dyDescent="0.25">
      <c r="B125" s="66"/>
      <c r="C125" s="66"/>
      <c r="D125" s="66"/>
      <c r="E125" s="66"/>
      <c r="F125" s="66"/>
    </row>
    <row r="126" spans="1:6" x14ac:dyDescent="0.25">
      <c r="B126" s="66"/>
      <c r="C126" s="66"/>
      <c r="D126" s="66"/>
      <c r="E126" s="66"/>
      <c r="F126" s="66"/>
    </row>
    <row r="127" spans="1:6" x14ac:dyDescent="0.25">
      <c r="B127" s="66"/>
      <c r="C127" s="66"/>
      <c r="D127" s="66"/>
      <c r="E127" s="66"/>
      <c r="F127" s="66"/>
    </row>
    <row r="132" spans="2:6" x14ac:dyDescent="0.25">
      <c r="B132" s="65"/>
      <c r="C132" s="65"/>
      <c r="D132" s="65"/>
      <c r="E132" s="65"/>
      <c r="F132" s="65"/>
    </row>
    <row r="133" spans="2:6" x14ac:dyDescent="0.25">
      <c r="B133" s="66"/>
      <c r="C133" s="66"/>
      <c r="D133" s="66"/>
      <c r="E133" s="66"/>
      <c r="F133" s="66"/>
    </row>
    <row r="134" spans="2:6" x14ac:dyDescent="0.25">
      <c r="E134" s="66"/>
      <c r="F134" s="66"/>
    </row>
    <row r="135" spans="2:6" x14ac:dyDescent="0.25">
      <c r="B135" s="66"/>
      <c r="C135" s="66"/>
      <c r="D135" s="66"/>
      <c r="E135" s="66"/>
      <c r="F135" s="66"/>
    </row>
    <row r="139" spans="2:6" x14ac:dyDescent="0.25">
      <c r="B139" s="66"/>
      <c r="C139" s="66"/>
      <c r="D139" s="66"/>
      <c r="E139" s="66"/>
      <c r="F139" s="66"/>
    </row>
    <row r="143" spans="2:6" x14ac:dyDescent="0.25">
      <c r="B143" s="69"/>
      <c r="C143" s="69"/>
      <c r="D143" s="69"/>
      <c r="E143" s="69"/>
      <c r="F143" s="69"/>
    </row>
    <row r="147" spans="1:6" x14ac:dyDescent="0.25">
      <c r="B147" s="72"/>
      <c r="C147" s="72"/>
      <c r="D147" s="72"/>
      <c r="E147" s="72"/>
      <c r="F147" s="72"/>
    </row>
    <row r="150" spans="1:6" x14ac:dyDescent="0.25">
      <c r="B150" s="66"/>
      <c r="C150" s="66"/>
      <c r="D150" s="66"/>
      <c r="E150" s="66"/>
      <c r="F150" s="66"/>
    </row>
    <row r="151" spans="1:6" x14ac:dyDescent="0.25">
      <c r="B151" s="65"/>
      <c r="C151" s="65"/>
      <c r="D151" s="65"/>
      <c r="E151" s="65"/>
      <c r="F151" s="65"/>
    </row>
    <row r="152" spans="1:6" x14ac:dyDescent="0.25">
      <c r="B152" s="65"/>
      <c r="C152" s="65"/>
      <c r="D152" s="65"/>
      <c r="E152" s="65"/>
      <c r="F152" s="65"/>
    </row>
    <row r="153" spans="1:6" x14ac:dyDescent="0.25">
      <c r="A153" s="62"/>
      <c r="B153" s="70"/>
      <c r="C153" s="70"/>
      <c r="D153" s="70"/>
      <c r="E153" s="70"/>
      <c r="F153" s="70"/>
    </row>
    <row r="154" spans="1:6" x14ac:dyDescent="0.25">
      <c r="A154" s="62"/>
      <c r="B154" s="62"/>
      <c r="C154" s="62"/>
      <c r="D154" s="62"/>
      <c r="E154" s="62"/>
      <c r="F154" s="62"/>
    </row>
    <row r="157" spans="1:6" x14ac:dyDescent="0.25">
      <c r="B157" s="72"/>
      <c r="C157" s="72"/>
      <c r="D157" s="72"/>
      <c r="E157" s="72"/>
      <c r="F157" s="72"/>
    </row>
    <row r="158" spans="1:6" x14ac:dyDescent="0.25">
      <c r="A158" s="66"/>
      <c r="B158" s="66"/>
      <c r="C158" s="66"/>
      <c r="D158" s="66"/>
      <c r="E158" s="66"/>
      <c r="F158" s="66"/>
    </row>
    <row r="159" spans="1:6" x14ac:dyDescent="0.25">
      <c r="B159" s="65"/>
      <c r="C159" s="65"/>
      <c r="D159" s="65"/>
      <c r="E159" s="65"/>
      <c r="F159" s="65"/>
    </row>
    <row r="160" spans="1:6" x14ac:dyDescent="0.25">
      <c r="B160" s="69"/>
      <c r="C160" s="69"/>
      <c r="D160" s="69"/>
      <c r="E160" s="69"/>
      <c r="F160" s="69"/>
    </row>
    <row r="164" spans="1:6" x14ac:dyDescent="0.25">
      <c r="B164" s="69"/>
      <c r="C164" s="69"/>
      <c r="D164" s="69"/>
      <c r="E164" s="69"/>
      <c r="F164" s="69"/>
    </row>
    <row r="165" spans="1:6" x14ac:dyDescent="0.25">
      <c r="B165" s="66"/>
      <c r="C165" s="66"/>
      <c r="D165" s="66"/>
      <c r="E165" s="66"/>
      <c r="F165" s="72"/>
    </row>
    <row r="170" spans="1:6" x14ac:dyDescent="0.25">
      <c r="A170" s="66"/>
      <c r="B170" s="66"/>
      <c r="C170" s="66"/>
      <c r="D170" s="66"/>
      <c r="E170" s="66"/>
      <c r="F170" s="66"/>
    </row>
    <row r="171" spans="1:6" x14ac:dyDescent="0.25">
      <c r="B171" s="71"/>
      <c r="C171" s="71"/>
      <c r="D171" s="71"/>
      <c r="E171" s="71"/>
      <c r="F171" s="72"/>
    </row>
    <row r="175" spans="1:6" x14ac:dyDescent="0.25">
      <c r="B175" s="69"/>
      <c r="C175" s="69"/>
      <c r="D175" s="69"/>
      <c r="E175" s="69"/>
      <c r="F175" s="69"/>
    </row>
    <row r="178" spans="1:6" x14ac:dyDescent="0.25">
      <c r="B178" s="69"/>
      <c r="C178" s="69"/>
      <c r="D178" s="69"/>
      <c r="E178" s="69"/>
      <c r="F178" s="69"/>
    </row>
    <row r="184" spans="1:6" x14ac:dyDescent="0.25">
      <c r="A184" s="62"/>
      <c r="B184" s="62"/>
      <c r="C184" s="62"/>
      <c r="D184" s="62"/>
      <c r="E184" s="62"/>
      <c r="F184" s="62"/>
    </row>
    <row r="186" spans="1:6" x14ac:dyDescent="0.25">
      <c r="A186" s="66"/>
      <c r="B186" s="66"/>
      <c r="C186" s="66"/>
      <c r="D186" s="66"/>
      <c r="E186" s="66"/>
      <c r="F186" s="66"/>
    </row>
    <row r="187" spans="1:6" x14ac:dyDescent="0.25">
      <c r="B187" s="66"/>
      <c r="C187" s="66"/>
      <c r="D187" s="66"/>
      <c r="E187" s="66"/>
      <c r="F187" s="66"/>
    </row>
    <row r="189" spans="1:6" x14ac:dyDescent="0.25">
      <c r="B189" s="65"/>
      <c r="C189" s="65"/>
      <c r="D189" s="65"/>
      <c r="E189" s="65"/>
      <c r="F189" s="65"/>
    </row>
    <row r="193" spans="2:6" x14ac:dyDescent="0.25">
      <c r="B193" s="66"/>
      <c r="C193" s="66"/>
      <c r="D193" s="66"/>
      <c r="E193" s="66"/>
      <c r="F193" s="66"/>
    </row>
    <row r="194" spans="2:6" x14ac:dyDescent="0.25">
      <c r="B194" s="69"/>
      <c r="C194" s="69"/>
      <c r="D194" s="69"/>
      <c r="E194" s="69"/>
      <c r="F194" s="69"/>
    </row>
    <row r="196" spans="2:6" x14ac:dyDescent="0.25">
      <c r="B196" s="66"/>
      <c r="C196" s="66"/>
      <c r="D196" s="66"/>
      <c r="E196" s="66"/>
      <c r="F196" s="66"/>
    </row>
    <row r="199" spans="2:6" x14ac:dyDescent="0.25">
      <c r="B199" s="69"/>
      <c r="C199" s="69"/>
      <c r="D199" s="69"/>
      <c r="E199" s="69"/>
      <c r="F199" s="69"/>
    </row>
    <row r="203" spans="2:6" x14ac:dyDescent="0.25">
      <c r="B203" s="69"/>
      <c r="C203" s="69"/>
      <c r="D203" s="69"/>
      <c r="E203" s="69"/>
      <c r="F203" s="69"/>
    </row>
    <row r="209" spans="1:6" x14ac:dyDescent="0.25">
      <c r="B209" s="66"/>
      <c r="C209" s="66"/>
      <c r="D209" s="66"/>
      <c r="E209" s="66"/>
      <c r="F209" s="66"/>
    </row>
    <row r="210" spans="1:6" x14ac:dyDescent="0.25">
      <c r="B210" s="69"/>
      <c r="C210" s="69"/>
      <c r="D210" s="69"/>
      <c r="E210" s="69"/>
      <c r="F210" s="69"/>
    </row>
    <row r="211" spans="1:6" x14ac:dyDescent="0.25">
      <c r="A211" s="62"/>
      <c r="B211" s="63"/>
      <c r="C211" s="63"/>
      <c r="D211" s="63"/>
      <c r="E211" s="63"/>
      <c r="F211" s="63"/>
    </row>
    <row r="212" spans="1:6" x14ac:dyDescent="0.25">
      <c r="A212" s="62"/>
      <c r="B212" s="63"/>
      <c r="C212" s="63"/>
      <c r="D212" s="63"/>
      <c r="E212" s="63"/>
      <c r="F212" s="63"/>
    </row>
    <row r="214" spans="1:6" x14ac:dyDescent="0.25">
      <c r="B214" s="66"/>
      <c r="C214" s="66"/>
      <c r="D214" s="66"/>
      <c r="E214" s="66"/>
      <c r="F214" s="66"/>
    </row>
    <row r="216" spans="1:6" x14ac:dyDescent="0.25">
      <c r="B216" s="69"/>
      <c r="C216" s="69"/>
      <c r="D216" s="69"/>
      <c r="E216" s="69"/>
      <c r="F216" s="69"/>
    </row>
    <row r="220" spans="1:6" x14ac:dyDescent="0.25">
      <c r="A220" s="66"/>
      <c r="B220" s="66"/>
      <c r="C220" s="66"/>
      <c r="D220" s="66"/>
      <c r="E220" s="66"/>
      <c r="F220" s="66"/>
    </row>
    <row r="224" spans="1:6" x14ac:dyDescent="0.25">
      <c r="B224" s="66"/>
      <c r="C224" s="66"/>
      <c r="D224" s="66"/>
      <c r="E224" s="66"/>
      <c r="F224" s="66"/>
    </row>
    <row r="225" spans="1:6" x14ac:dyDescent="0.25">
      <c r="B225" s="65"/>
      <c r="C225" s="65"/>
      <c r="D225" s="65"/>
      <c r="E225" s="65"/>
      <c r="F225" s="65"/>
    </row>
    <row r="229" spans="1:6" x14ac:dyDescent="0.25">
      <c r="B229" s="65"/>
      <c r="C229" s="65"/>
      <c r="D229" s="65"/>
      <c r="E229" s="65"/>
      <c r="F229" s="65"/>
    </row>
    <row r="235" spans="1:6" x14ac:dyDescent="0.25">
      <c r="B235" s="66"/>
      <c r="C235" s="66"/>
      <c r="D235" s="66"/>
      <c r="E235" s="66"/>
      <c r="F235" s="66"/>
    </row>
    <row r="236" spans="1:6" x14ac:dyDescent="0.25">
      <c r="B236" s="66"/>
      <c r="C236" s="66"/>
      <c r="D236" s="66"/>
      <c r="E236" s="66"/>
      <c r="F236" s="66"/>
    </row>
    <row r="237" spans="1:6" x14ac:dyDescent="0.25">
      <c r="B237" s="66"/>
      <c r="C237" s="66"/>
      <c r="D237" s="66"/>
      <c r="E237" s="66"/>
      <c r="F237" s="66"/>
    </row>
    <row r="238" spans="1:6" x14ac:dyDescent="0.25">
      <c r="A238" s="62"/>
      <c r="B238" s="63"/>
      <c r="C238" s="63"/>
      <c r="D238" s="63"/>
      <c r="E238" s="63"/>
      <c r="F238" s="63"/>
    </row>
    <row r="243" spans="1:6" x14ac:dyDescent="0.25">
      <c r="A243" s="66"/>
      <c r="B243" s="66"/>
      <c r="C243" s="66"/>
      <c r="D243" s="66"/>
      <c r="E243" s="66"/>
      <c r="F243" s="66"/>
    </row>
    <row r="245" spans="1:6" x14ac:dyDescent="0.25">
      <c r="B245" s="68"/>
      <c r="C245" s="68"/>
      <c r="D245" s="68"/>
      <c r="E245" s="68"/>
      <c r="F245" s="68"/>
    </row>
    <row r="249" spans="1:6" x14ac:dyDescent="0.25">
      <c r="B249" s="65"/>
      <c r="C249" s="65"/>
      <c r="D249" s="65"/>
      <c r="E249" s="65"/>
      <c r="F249" s="65"/>
    </row>
    <row r="250" spans="1:6" x14ac:dyDescent="0.25">
      <c r="B250" s="69"/>
      <c r="C250" s="69"/>
      <c r="D250" s="69"/>
      <c r="E250" s="69"/>
      <c r="F250" s="69"/>
    </row>
    <row r="251" spans="1:6" x14ac:dyDescent="0.25">
      <c r="B251" s="69"/>
      <c r="C251" s="69"/>
      <c r="D251" s="69"/>
      <c r="E251" s="69"/>
      <c r="F251" s="69"/>
    </row>
    <row r="253" spans="1:6" x14ac:dyDescent="0.25">
      <c r="B253" s="66"/>
      <c r="C253" s="66"/>
      <c r="D253" s="66"/>
      <c r="E253" s="69"/>
      <c r="F253" s="69"/>
    </row>
    <row r="254" spans="1:6" x14ac:dyDescent="0.25">
      <c r="B254" s="65"/>
      <c r="C254" s="65"/>
      <c r="D254" s="65"/>
      <c r="E254" s="65"/>
      <c r="F254" s="65"/>
    </row>
    <row r="255" spans="1:6" x14ac:dyDescent="0.25">
      <c r="B255" s="66"/>
      <c r="C255" s="66"/>
      <c r="D255" s="66"/>
      <c r="E255" s="66"/>
      <c r="F255" s="66"/>
    </row>
    <row r="259" spans="1:6" x14ac:dyDescent="0.25">
      <c r="A259" s="66"/>
      <c r="B259" s="66"/>
      <c r="C259" s="66"/>
      <c r="D259" s="66"/>
      <c r="E259" s="66"/>
      <c r="F259" s="66"/>
    </row>
    <row r="260" spans="1:6" x14ac:dyDescent="0.25">
      <c r="A260" s="66"/>
      <c r="B260" s="66"/>
      <c r="C260" s="66"/>
      <c r="D260" s="66"/>
      <c r="E260" s="66"/>
      <c r="F260" s="66"/>
    </row>
    <row r="261" spans="1:6" x14ac:dyDescent="0.25">
      <c r="A261" s="62"/>
      <c r="B261" s="63"/>
      <c r="C261" s="63"/>
      <c r="D261" s="63"/>
      <c r="E261" s="63"/>
      <c r="F261" s="63"/>
    </row>
    <row r="262" spans="1:6" x14ac:dyDescent="0.25">
      <c r="A262" s="62"/>
      <c r="B262" s="63"/>
      <c r="C262" s="63"/>
      <c r="D262" s="63"/>
      <c r="E262" s="63"/>
      <c r="F262" s="63"/>
    </row>
    <row r="263" spans="1:6" x14ac:dyDescent="0.25">
      <c r="A263" s="62"/>
      <c r="B263" s="62"/>
      <c r="C263" s="62"/>
      <c r="D263" s="62"/>
      <c r="E263" s="62"/>
      <c r="F263" s="62"/>
    </row>
    <row r="266" spans="1:6" x14ac:dyDescent="0.25">
      <c r="B266" s="66"/>
      <c r="C266" s="66"/>
      <c r="D266" s="66"/>
      <c r="E266" s="66"/>
      <c r="F266" s="66"/>
    </row>
    <row r="272" spans="1:6" x14ac:dyDescent="0.25">
      <c r="B272" s="65"/>
      <c r="C272" s="65"/>
      <c r="D272" s="65"/>
      <c r="E272" s="65"/>
      <c r="F272" s="65"/>
    </row>
    <row r="273" spans="1:6" x14ac:dyDescent="0.25">
      <c r="A273" s="66"/>
      <c r="B273" s="66"/>
      <c r="C273" s="66"/>
      <c r="D273" s="66"/>
      <c r="E273" s="66"/>
      <c r="F273" s="66"/>
    </row>
    <row r="281" spans="1:6" x14ac:dyDescent="0.25">
      <c r="B281" s="69"/>
      <c r="C281" s="69"/>
      <c r="D281" s="69"/>
      <c r="E281" s="69"/>
      <c r="F281" s="69"/>
    </row>
    <row r="282" spans="1:6" x14ac:dyDescent="0.25">
      <c r="B282" s="66"/>
      <c r="C282" s="66"/>
      <c r="D282" s="66"/>
      <c r="E282" s="66"/>
      <c r="F282" s="66"/>
    </row>
    <row r="283" spans="1:6" x14ac:dyDescent="0.25">
      <c r="A283" s="62"/>
      <c r="B283" s="63"/>
      <c r="C283" s="63"/>
      <c r="D283" s="63"/>
      <c r="E283" s="63"/>
      <c r="F283" s="63"/>
    </row>
    <row r="284" spans="1:6" x14ac:dyDescent="0.25">
      <c r="A284" s="62"/>
      <c r="B284" s="70"/>
      <c r="C284" s="70"/>
      <c r="D284" s="70"/>
      <c r="E284" s="70"/>
      <c r="F284" s="70"/>
    </row>
    <row r="288" spans="1:6" x14ac:dyDescent="0.25">
      <c r="B288" s="66"/>
      <c r="C288" s="66"/>
      <c r="D288" s="66"/>
      <c r="E288" s="66"/>
      <c r="F288" s="66"/>
    </row>
    <row r="292" spans="2:6" x14ac:dyDescent="0.25">
      <c r="B292" s="69"/>
      <c r="C292" s="69"/>
      <c r="D292" s="69"/>
      <c r="E292" s="69"/>
      <c r="F292" s="69"/>
    </row>
    <row r="294" spans="2:6" x14ac:dyDescent="0.25">
      <c r="B294" s="65"/>
      <c r="C294" s="65"/>
      <c r="D294" s="65"/>
      <c r="E294" s="65"/>
      <c r="F294" s="65"/>
    </row>
    <row r="295" spans="2:6" x14ac:dyDescent="0.25">
      <c r="B295" s="69"/>
      <c r="C295" s="69"/>
      <c r="D295" s="69"/>
      <c r="E295" s="69"/>
      <c r="F295" s="69"/>
    </row>
    <row r="296" spans="2:6" x14ac:dyDescent="0.25">
      <c r="B296" s="66"/>
      <c r="C296" s="66"/>
      <c r="D296" s="66"/>
      <c r="E296" s="66"/>
      <c r="F296" s="66"/>
    </row>
    <row r="302" spans="2:6" x14ac:dyDescent="0.25">
      <c r="B302" s="66"/>
      <c r="C302" s="66"/>
      <c r="D302" s="66"/>
      <c r="E302" s="66"/>
      <c r="F302" s="66"/>
    </row>
    <row r="303" spans="2:6" x14ac:dyDescent="0.25">
      <c r="B303" s="69"/>
      <c r="C303" s="69"/>
      <c r="D303" s="69"/>
      <c r="E303" s="69"/>
      <c r="F303" s="69"/>
    </row>
    <row r="308" spans="1:6" x14ac:dyDescent="0.25">
      <c r="B308" s="66"/>
      <c r="C308" s="66"/>
      <c r="D308" s="66"/>
      <c r="E308" s="66"/>
      <c r="F308" s="66"/>
    </row>
    <row r="309" spans="1:6" x14ac:dyDescent="0.25">
      <c r="B309" s="72"/>
      <c r="C309" s="72"/>
      <c r="D309" s="72"/>
      <c r="E309" s="72"/>
      <c r="F309" s="72"/>
    </row>
    <row r="311" spans="1:6" x14ac:dyDescent="0.25">
      <c r="A311" s="66"/>
      <c r="B311" s="66"/>
      <c r="C311" s="66"/>
      <c r="D311" s="66"/>
      <c r="E311" s="66"/>
      <c r="F311" s="66"/>
    </row>
    <row r="312" spans="1:6" x14ac:dyDescent="0.25">
      <c r="B312" s="69"/>
      <c r="C312" s="69"/>
      <c r="D312" s="69"/>
      <c r="E312" s="69"/>
      <c r="F312" s="69"/>
    </row>
    <row r="313" spans="1:6" x14ac:dyDescent="0.25">
      <c r="B313" s="69"/>
      <c r="C313" s="69"/>
      <c r="D313" s="69"/>
      <c r="E313" s="69"/>
      <c r="F313" s="69"/>
    </row>
    <row r="314" spans="1:6" x14ac:dyDescent="0.25">
      <c r="B314" s="65"/>
      <c r="C314" s="65"/>
      <c r="D314" s="65"/>
      <c r="E314" s="65"/>
      <c r="F314" s="65"/>
    </row>
    <row r="320" spans="1:6" x14ac:dyDescent="0.25">
      <c r="B320" s="69"/>
      <c r="C320" s="69"/>
      <c r="D320" s="69"/>
      <c r="E320" s="69"/>
      <c r="F320" s="69"/>
    </row>
    <row r="323" spans="2:6" x14ac:dyDescent="0.25">
      <c r="B323" s="66"/>
      <c r="C323" s="66"/>
      <c r="D323" s="66"/>
      <c r="E323" s="66"/>
      <c r="F323" s="66"/>
    </row>
    <row r="325" spans="2:6" x14ac:dyDescent="0.25">
      <c r="B325" s="65"/>
      <c r="C325" s="65"/>
      <c r="D325" s="65"/>
      <c r="E325" s="65"/>
      <c r="F325" s="65"/>
    </row>
    <row r="326" spans="2:6" x14ac:dyDescent="0.25">
      <c r="B326" s="69"/>
      <c r="C326" s="69"/>
      <c r="D326" s="69"/>
      <c r="E326" s="69"/>
      <c r="F326" s="69"/>
    </row>
    <row r="327" spans="2:6" x14ac:dyDescent="0.25">
      <c r="B327" s="66"/>
      <c r="C327" s="66"/>
      <c r="D327" s="66"/>
      <c r="E327" s="66"/>
      <c r="F327" s="66"/>
    </row>
    <row r="329" spans="2:6" x14ac:dyDescent="0.25">
      <c r="B329" s="66"/>
      <c r="C329" s="66"/>
      <c r="D329" s="66"/>
      <c r="E329" s="66"/>
      <c r="F329" s="66"/>
    </row>
    <row r="330" spans="2:6" x14ac:dyDescent="0.25">
      <c r="B330" s="66"/>
      <c r="C330" s="66"/>
      <c r="D330" s="66"/>
      <c r="E330" s="66"/>
      <c r="F330" s="66"/>
    </row>
    <row r="331" spans="2:6" x14ac:dyDescent="0.25">
      <c r="B331" s="69"/>
      <c r="C331" s="69"/>
      <c r="D331" s="69"/>
      <c r="E331" s="69"/>
      <c r="F331" s="69"/>
    </row>
    <row r="332" spans="2:6" x14ac:dyDescent="0.25">
      <c r="B332" s="69"/>
      <c r="C332" s="69"/>
      <c r="D332" s="69"/>
      <c r="E332" s="69"/>
      <c r="F332" s="69"/>
    </row>
    <row r="337" spans="2:6" x14ac:dyDescent="0.25">
      <c r="B337" s="66"/>
      <c r="C337" s="66"/>
      <c r="D337" s="66"/>
      <c r="E337" s="66"/>
      <c r="F337" s="66"/>
    </row>
    <row r="338" spans="2:6" x14ac:dyDescent="0.25">
      <c r="B338" s="69"/>
      <c r="C338" s="69"/>
      <c r="D338" s="69"/>
      <c r="E338" s="69"/>
      <c r="F338" s="69"/>
    </row>
    <row r="340" spans="2:6" x14ac:dyDescent="0.25">
      <c r="B340" s="66"/>
      <c r="C340" s="66"/>
      <c r="D340" s="66"/>
      <c r="E340" s="66"/>
      <c r="F340" s="66"/>
    </row>
    <row r="341" spans="2:6" x14ac:dyDescent="0.25">
      <c r="B341" s="65"/>
      <c r="C341" s="65"/>
      <c r="D341" s="65"/>
      <c r="E341" s="65"/>
      <c r="F341" s="65"/>
    </row>
    <row r="342" spans="2:6" x14ac:dyDescent="0.25">
      <c r="B342" s="72"/>
      <c r="C342" s="72"/>
      <c r="D342" s="72"/>
      <c r="E342" s="72"/>
      <c r="F342" s="72"/>
    </row>
    <row r="345" spans="2:6" x14ac:dyDescent="0.25">
      <c r="B345" s="72"/>
      <c r="C345" s="72"/>
      <c r="D345" s="72"/>
      <c r="E345" s="72"/>
      <c r="F345" s="72"/>
    </row>
    <row r="348" spans="2:6" x14ac:dyDescent="0.25">
      <c r="B348" s="65"/>
      <c r="C348" s="65"/>
      <c r="D348" s="65"/>
      <c r="E348" s="65"/>
      <c r="F348" s="65"/>
    </row>
    <row r="349" spans="2:6" x14ac:dyDescent="0.25">
      <c r="B349" s="69"/>
      <c r="C349" s="69"/>
      <c r="D349" s="69"/>
      <c r="E349" s="69"/>
      <c r="F349" s="69"/>
    </row>
    <row r="352" spans="2:6" x14ac:dyDescent="0.25">
      <c r="B352" s="66"/>
      <c r="C352" s="66"/>
      <c r="D352" s="66"/>
      <c r="E352" s="66"/>
      <c r="F352" s="66"/>
    </row>
    <row r="354" spans="2:6" x14ac:dyDescent="0.25">
      <c r="B354" s="65"/>
      <c r="C354" s="65"/>
      <c r="D354" s="65"/>
      <c r="E354" s="65"/>
      <c r="F354" s="65"/>
    </row>
    <row r="355" spans="2:6" x14ac:dyDescent="0.25">
      <c r="B355" s="65"/>
      <c r="C355" s="65"/>
      <c r="D355" s="65"/>
      <c r="E355" s="65"/>
      <c r="F355" s="65"/>
    </row>
    <row r="356" spans="2:6" x14ac:dyDescent="0.25">
      <c r="B356" s="65"/>
      <c r="C356" s="65"/>
      <c r="D356" s="65"/>
      <c r="E356" s="65"/>
      <c r="F356" s="65"/>
    </row>
    <row r="357" spans="2:6" x14ac:dyDescent="0.25">
      <c r="B357" s="65"/>
      <c r="C357" s="65"/>
      <c r="D357" s="65"/>
      <c r="E357" s="65"/>
      <c r="F357" s="65"/>
    </row>
    <row r="358" spans="2:6" x14ac:dyDescent="0.25">
      <c r="B358" s="65"/>
      <c r="C358" s="65"/>
      <c r="D358" s="65"/>
      <c r="E358" s="65"/>
      <c r="F358" s="65"/>
    </row>
    <row r="359" spans="2:6" x14ac:dyDescent="0.25">
      <c r="B359" s="65"/>
      <c r="C359" s="65"/>
      <c r="D359" s="65"/>
      <c r="E359" s="65"/>
      <c r="F359" s="65"/>
    </row>
    <row r="360" spans="2:6" x14ac:dyDescent="0.25">
      <c r="B360" s="65"/>
      <c r="C360" s="65"/>
      <c r="D360" s="65"/>
      <c r="E360" s="65"/>
      <c r="F360" s="65"/>
    </row>
    <row r="361" spans="2:6" x14ac:dyDescent="0.25">
      <c r="B361" s="65"/>
      <c r="C361" s="65"/>
      <c r="D361" s="65"/>
      <c r="E361" s="65"/>
      <c r="F361" s="65"/>
    </row>
    <row r="362" spans="2:6" x14ac:dyDescent="0.25">
      <c r="B362" s="65"/>
      <c r="C362" s="65"/>
      <c r="D362" s="65"/>
      <c r="E362" s="65"/>
      <c r="F362" s="65"/>
    </row>
    <row r="363" spans="2:6" x14ac:dyDescent="0.25">
      <c r="B363" s="65"/>
      <c r="C363" s="65"/>
      <c r="D363" s="65"/>
      <c r="E363" s="65"/>
      <c r="F363" s="65"/>
    </row>
    <row r="364" spans="2:6" x14ac:dyDescent="0.25">
      <c r="B364" s="65"/>
      <c r="C364" s="65"/>
      <c r="D364" s="65"/>
      <c r="E364" s="65"/>
      <c r="F364" s="65"/>
    </row>
    <row r="365" spans="2:6" x14ac:dyDescent="0.25">
      <c r="B365" s="65"/>
      <c r="C365" s="65"/>
      <c r="D365" s="65"/>
      <c r="E365" s="65"/>
      <c r="F365" s="65"/>
    </row>
    <row r="366" spans="2:6" x14ac:dyDescent="0.25">
      <c r="B366" s="65"/>
      <c r="C366" s="65"/>
      <c r="D366" s="65"/>
      <c r="E366" s="65"/>
      <c r="F366" s="65"/>
    </row>
    <row r="367" spans="2:6" x14ac:dyDescent="0.25">
      <c r="B367" s="65"/>
      <c r="C367" s="65"/>
      <c r="D367" s="65"/>
      <c r="E367" s="65"/>
      <c r="F367" s="65"/>
    </row>
    <row r="368" spans="2:6" x14ac:dyDescent="0.25">
      <c r="B368" s="65"/>
      <c r="C368" s="65"/>
      <c r="D368" s="65"/>
      <c r="E368" s="65"/>
      <c r="F368" s="65"/>
    </row>
    <row r="369" spans="2:6" x14ac:dyDescent="0.25">
      <c r="B369" s="65"/>
      <c r="C369" s="65"/>
      <c r="D369" s="65"/>
      <c r="E369" s="65"/>
      <c r="F369" s="65"/>
    </row>
    <row r="370" spans="2:6" x14ac:dyDescent="0.25">
      <c r="B370" s="65"/>
      <c r="C370" s="65"/>
      <c r="D370" s="65"/>
      <c r="E370" s="65"/>
      <c r="F370" s="65"/>
    </row>
    <row r="371" spans="2:6" x14ac:dyDescent="0.25">
      <c r="B371" s="65"/>
      <c r="C371" s="65"/>
      <c r="D371" s="65"/>
      <c r="E371" s="65"/>
      <c r="F371" s="65"/>
    </row>
    <row r="372" spans="2:6" x14ac:dyDescent="0.25">
      <c r="B372" s="65"/>
      <c r="C372" s="65"/>
      <c r="D372" s="65"/>
      <c r="E372" s="65"/>
      <c r="F372" s="65"/>
    </row>
    <row r="373" spans="2:6" x14ac:dyDescent="0.25">
      <c r="B373" s="65"/>
      <c r="C373" s="65"/>
      <c r="D373" s="65"/>
      <c r="E373" s="65"/>
      <c r="F373" s="65"/>
    </row>
    <row r="374" spans="2:6" x14ac:dyDescent="0.25">
      <c r="B374" s="65"/>
      <c r="C374" s="65"/>
      <c r="D374" s="65"/>
      <c r="E374" s="65"/>
      <c r="F374" s="65"/>
    </row>
    <row r="375" spans="2:6" x14ac:dyDescent="0.25">
      <c r="B375" s="72"/>
      <c r="C375" s="72"/>
      <c r="D375" s="72"/>
      <c r="E375" s="72"/>
      <c r="F375" s="72"/>
    </row>
    <row r="379" spans="2:6" x14ac:dyDescent="0.25">
      <c r="B379" s="69"/>
      <c r="C379" s="69"/>
      <c r="D379" s="69"/>
      <c r="E379" s="69"/>
      <c r="F379" s="69"/>
    </row>
    <row r="380" spans="2:6" x14ac:dyDescent="0.25">
      <c r="B380" s="69"/>
      <c r="C380" s="69"/>
      <c r="D380" s="69"/>
      <c r="E380" s="69"/>
      <c r="F380" s="69"/>
    </row>
    <row r="381" spans="2:6" x14ac:dyDescent="0.25">
      <c r="B381" s="69"/>
      <c r="C381" s="69"/>
      <c r="D381" s="69"/>
      <c r="E381" s="69"/>
      <c r="F381" s="69"/>
    </row>
    <row r="382" spans="2:6" x14ac:dyDescent="0.25">
      <c r="B382" s="69"/>
      <c r="C382" s="69"/>
      <c r="D382" s="69"/>
      <c r="E382" s="69"/>
      <c r="F382" s="69"/>
    </row>
    <row r="383" spans="2:6" x14ac:dyDescent="0.25">
      <c r="B383" s="69"/>
      <c r="C383" s="69"/>
      <c r="D383" s="69"/>
      <c r="E383" s="69"/>
      <c r="F383" s="69"/>
    </row>
    <row r="384" spans="2:6" x14ac:dyDescent="0.25">
      <c r="B384" s="69"/>
      <c r="C384" s="69"/>
      <c r="D384" s="69"/>
      <c r="E384" s="69"/>
      <c r="F384" s="69"/>
    </row>
    <row r="385" spans="2:6" x14ac:dyDescent="0.25">
      <c r="B385" s="69"/>
      <c r="C385" s="69"/>
      <c r="D385" s="69"/>
      <c r="E385" s="69"/>
      <c r="F385" s="69"/>
    </row>
    <row r="386" spans="2:6" x14ac:dyDescent="0.25">
      <c r="B386" s="69"/>
      <c r="C386" s="69"/>
      <c r="D386" s="69"/>
      <c r="E386" s="69"/>
      <c r="F386" s="69"/>
    </row>
    <row r="387" spans="2:6" x14ac:dyDescent="0.25">
      <c r="B387" s="69"/>
      <c r="C387" s="69"/>
      <c r="D387" s="69"/>
      <c r="E387" s="69"/>
      <c r="F387" s="69"/>
    </row>
    <row r="388" spans="2:6" x14ac:dyDescent="0.25">
      <c r="B388" s="69"/>
      <c r="C388" s="69"/>
      <c r="D388" s="69"/>
      <c r="E388" s="69"/>
      <c r="F388" s="69"/>
    </row>
    <row r="389" spans="2:6" x14ac:dyDescent="0.25">
      <c r="B389" s="69"/>
      <c r="C389" s="69"/>
      <c r="D389" s="69"/>
      <c r="E389" s="69"/>
      <c r="F389" s="69"/>
    </row>
    <row r="390" spans="2:6" x14ac:dyDescent="0.25">
      <c r="B390" s="69"/>
      <c r="C390" s="69"/>
      <c r="D390" s="69"/>
      <c r="E390" s="69"/>
      <c r="F390" s="69"/>
    </row>
    <row r="391" spans="2:6" x14ac:dyDescent="0.25">
      <c r="B391" s="66"/>
      <c r="C391" s="66"/>
      <c r="D391" s="66"/>
      <c r="E391" s="66"/>
      <c r="F391" s="66"/>
    </row>
    <row r="392" spans="2:6" x14ac:dyDescent="0.25">
      <c r="B392" s="69"/>
      <c r="C392" s="69"/>
      <c r="D392" s="69"/>
      <c r="E392" s="69"/>
      <c r="F392" s="69"/>
    </row>
    <row r="393" spans="2:6" x14ac:dyDescent="0.25">
      <c r="B393" s="69"/>
      <c r="C393" s="69"/>
      <c r="D393" s="69"/>
      <c r="E393" s="69"/>
      <c r="F393" s="69"/>
    </row>
    <row r="396" spans="2:6" x14ac:dyDescent="0.25">
      <c r="B396" s="69"/>
      <c r="C396" s="69"/>
      <c r="D396" s="69"/>
      <c r="E396" s="69"/>
      <c r="F396" s="69"/>
    </row>
    <row r="398" spans="2:6" x14ac:dyDescent="0.25">
      <c r="B398" s="66"/>
      <c r="C398" s="66"/>
      <c r="D398" s="66"/>
      <c r="E398" s="66"/>
      <c r="F398" s="66"/>
    </row>
    <row r="402" spans="1:6" x14ac:dyDescent="0.25">
      <c r="B402" s="66"/>
      <c r="C402" s="66"/>
      <c r="D402" s="66"/>
      <c r="E402" s="66"/>
      <c r="F402" s="66"/>
    </row>
    <row r="403" spans="1:6" x14ac:dyDescent="0.25">
      <c r="B403" s="66"/>
      <c r="C403" s="66"/>
      <c r="D403" s="66"/>
      <c r="E403" s="66"/>
      <c r="F403" s="66"/>
    </row>
    <row r="404" spans="1:6" x14ac:dyDescent="0.25">
      <c r="A404" s="66"/>
      <c r="B404" s="66"/>
      <c r="C404" s="66"/>
      <c r="D404" s="66"/>
      <c r="E404" s="66"/>
      <c r="F404" s="66"/>
    </row>
    <row r="409" spans="1:6" x14ac:dyDescent="0.25">
      <c r="A409" s="66"/>
      <c r="B409" s="66"/>
      <c r="C409" s="66"/>
      <c r="D409" s="66"/>
      <c r="E409" s="66"/>
      <c r="F409" s="66"/>
    </row>
    <row r="413" spans="1:6" x14ac:dyDescent="0.25">
      <c r="A413" s="66"/>
      <c r="B413" s="66"/>
      <c r="C413" s="66"/>
      <c r="D413" s="66"/>
      <c r="E413" s="66"/>
      <c r="F413" s="66"/>
    </row>
    <row r="414" spans="1:6" x14ac:dyDescent="0.25">
      <c r="A414" s="66"/>
      <c r="B414" s="66"/>
      <c r="C414" s="66"/>
      <c r="D414" s="66"/>
      <c r="E414" s="66"/>
      <c r="F414" s="66"/>
    </row>
    <row r="415" spans="1:6" x14ac:dyDescent="0.25">
      <c r="A415" s="66"/>
      <c r="B415" s="66"/>
      <c r="C415" s="66"/>
      <c r="D415" s="66"/>
      <c r="E415" s="66"/>
      <c r="F415" s="66"/>
    </row>
    <row r="416" spans="1:6" x14ac:dyDescent="0.25">
      <c r="A416" s="66"/>
      <c r="B416" s="66"/>
      <c r="C416" s="66"/>
      <c r="D416" s="66"/>
      <c r="E416" s="66"/>
      <c r="F416" s="66"/>
    </row>
    <row r="417" spans="1:6" x14ac:dyDescent="0.25">
      <c r="A417" s="66"/>
      <c r="B417" s="66"/>
      <c r="C417" s="66"/>
      <c r="D417" s="66"/>
      <c r="E417" s="66"/>
      <c r="F417" s="66"/>
    </row>
    <row r="418" spans="1:6" x14ac:dyDescent="0.25">
      <c r="A418" s="66"/>
      <c r="B418" s="66"/>
      <c r="C418" s="66"/>
      <c r="D418" s="66"/>
      <c r="E418" s="66"/>
      <c r="F418" s="66"/>
    </row>
    <row r="419" spans="1:6" x14ac:dyDescent="0.25">
      <c r="A419" s="66"/>
      <c r="B419" s="66"/>
      <c r="C419" s="66"/>
      <c r="D419" s="66"/>
      <c r="E419" s="66"/>
      <c r="F419" s="66"/>
    </row>
    <row r="420" spans="1:6" x14ac:dyDescent="0.25">
      <c r="A420" s="66"/>
      <c r="B420" s="66"/>
      <c r="C420" s="66"/>
      <c r="D420" s="66"/>
      <c r="E420" s="66"/>
      <c r="F420" s="66"/>
    </row>
    <row r="421" spans="1:6" x14ac:dyDescent="0.25">
      <c r="A421" s="66"/>
      <c r="B421" s="66"/>
      <c r="C421" s="66"/>
      <c r="D421" s="66"/>
      <c r="E421" s="66"/>
      <c r="F421" s="66"/>
    </row>
    <row r="422" spans="1:6" x14ac:dyDescent="0.25">
      <c r="A422" s="66"/>
      <c r="B422" s="66"/>
      <c r="C422" s="66"/>
      <c r="D422" s="66"/>
      <c r="E422" s="66"/>
      <c r="F422" s="66"/>
    </row>
    <row r="423" spans="1:6" x14ac:dyDescent="0.25">
      <c r="A423" s="66"/>
      <c r="B423" s="66"/>
      <c r="C423" s="66"/>
      <c r="D423" s="66"/>
      <c r="E423" s="66"/>
      <c r="F423" s="66"/>
    </row>
    <row r="424" spans="1:6" x14ac:dyDescent="0.25">
      <c r="B424" s="66"/>
      <c r="C424" s="66"/>
      <c r="D424" s="66"/>
      <c r="E424" s="66"/>
      <c r="F424" s="66"/>
    </row>
    <row r="425" spans="1:6" x14ac:dyDescent="0.25">
      <c r="B425" s="66"/>
      <c r="C425" s="66"/>
      <c r="D425" s="66"/>
      <c r="E425" s="66"/>
      <c r="F425" s="66"/>
    </row>
    <row r="426" spans="1:6" x14ac:dyDescent="0.25">
      <c r="B426" s="66"/>
      <c r="C426" s="66"/>
      <c r="D426" s="66"/>
      <c r="E426" s="66"/>
      <c r="F426" s="66"/>
    </row>
    <row r="427" spans="1:6" x14ac:dyDescent="0.25">
      <c r="B427" s="66"/>
      <c r="C427" s="66"/>
      <c r="D427" s="66"/>
      <c r="E427" s="66"/>
      <c r="F427" s="66"/>
    </row>
    <row r="428" spans="1:6" x14ac:dyDescent="0.25">
      <c r="B428" s="66"/>
      <c r="C428" s="66"/>
      <c r="D428" s="66"/>
      <c r="E428" s="66"/>
      <c r="F428" s="66"/>
    </row>
    <row r="429" spans="1:6" x14ac:dyDescent="0.25">
      <c r="B429" s="68"/>
      <c r="C429" s="68"/>
      <c r="D429" s="68"/>
      <c r="E429" s="68"/>
      <c r="F429" s="68"/>
    </row>
    <row r="430" spans="1:6" x14ac:dyDescent="0.25">
      <c r="B430" s="66"/>
      <c r="C430" s="66"/>
      <c r="D430" s="66"/>
      <c r="E430" s="66"/>
      <c r="F430" s="66"/>
    </row>
    <row r="431" spans="1:6" x14ac:dyDescent="0.25">
      <c r="B431" s="66"/>
      <c r="C431" s="66"/>
      <c r="D431" s="66"/>
      <c r="E431" s="66"/>
      <c r="F431" s="66"/>
    </row>
    <row r="432" spans="1:6" x14ac:dyDescent="0.25">
      <c r="B432" s="66"/>
      <c r="C432" s="66"/>
      <c r="D432" s="66"/>
      <c r="E432" s="66"/>
      <c r="F432" s="66"/>
    </row>
    <row r="433" spans="2:6" x14ac:dyDescent="0.25">
      <c r="B433" s="66"/>
      <c r="C433" s="66"/>
      <c r="D433" s="66"/>
      <c r="E433" s="66"/>
      <c r="F433" s="66"/>
    </row>
    <row r="434" spans="2:6" x14ac:dyDescent="0.25">
      <c r="B434" s="66"/>
      <c r="C434" s="66"/>
      <c r="D434" s="66"/>
      <c r="E434" s="66"/>
      <c r="F434" s="66"/>
    </row>
    <row r="435" spans="2:6" x14ac:dyDescent="0.25">
      <c r="B435" s="66"/>
      <c r="C435" s="66"/>
      <c r="D435" s="66"/>
      <c r="E435" s="66"/>
      <c r="F435" s="66"/>
    </row>
    <row r="436" spans="2:6" x14ac:dyDescent="0.25">
      <c r="B436" s="66"/>
      <c r="C436" s="66"/>
      <c r="D436" s="66"/>
      <c r="E436" s="66"/>
      <c r="F436" s="66"/>
    </row>
    <row r="437" spans="2:6" x14ac:dyDescent="0.25">
      <c r="B437" s="66"/>
      <c r="C437" s="66"/>
      <c r="D437" s="66"/>
      <c r="E437" s="66"/>
      <c r="F437" s="66"/>
    </row>
    <row r="438" spans="2:6" x14ac:dyDescent="0.25">
      <c r="B438" s="66"/>
      <c r="C438" s="66"/>
      <c r="D438" s="66"/>
      <c r="E438" s="66"/>
      <c r="F438" s="66"/>
    </row>
    <row r="439" spans="2:6" x14ac:dyDescent="0.25">
      <c r="B439" s="66"/>
      <c r="C439" s="66"/>
      <c r="D439" s="66"/>
      <c r="E439" s="66"/>
      <c r="F439" s="66"/>
    </row>
    <row r="440" spans="2:6" x14ac:dyDescent="0.25">
      <c r="B440" s="66"/>
      <c r="C440" s="66"/>
      <c r="D440" s="66"/>
      <c r="E440" s="66"/>
      <c r="F440" s="66"/>
    </row>
    <row r="441" spans="2:6" x14ac:dyDescent="0.25">
      <c r="B441" s="66"/>
      <c r="C441" s="66"/>
      <c r="D441" s="66"/>
      <c r="E441" s="66"/>
      <c r="F441" s="66"/>
    </row>
    <row r="442" spans="2:6" x14ac:dyDescent="0.25">
      <c r="B442" s="66"/>
      <c r="C442" s="66"/>
      <c r="D442" s="66"/>
      <c r="E442" s="66"/>
      <c r="F442" s="66"/>
    </row>
    <row r="443" spans="2:6" x14ac:dyDescent="0.25">
      <c r="B443" s="66"/>
      <c r="C443" s="66"/>
      <c r="D443" s="66"/>
      <c r="E443" s="66"/>
      <c r="F443" s="66"/>
    </row>
    <row r="444" spans="2:6" x14ac:dyDescent="0.25">
      <c r="B444" s="66"/>
      <c r="C444" s="66"/>
      <c r="D444" s="66"/>
      <c r="E444" s="66"/>
      <c r="F444" s="66"/>
    </row>
    <row r="445" spans="2:6" x14ac:dyDescent="0.25">
      <c r="B445" s="66"/>
      <c r="C445" s="66"/>
      <c r="D445" s="66"/>
      <c r="E445" s="66"/>
      <c r="F445" s="66"/>
    </row>
    <row r="446" spans="2:6" x14ac:dyDescent="0.25">
      <c r="B446" s="66"/>
      <c r="C446" s="66"/>
      <c r="D446" s="66"/>
      <c r="E446" s="66"/>
      <c r="F446" s="66"/>
    </row>
    <row r="447" spans="2:6" x14ac:dyDescent="0.25">
      <c r="B447" s="66"/>
      <c r="C447" s="66"/>
      <c r="D447" s="66"/>
      <c r="E447" s="66"/>
      <c r="F447" s="66"/>
    </row>
    <row r="448" spans="2:6" x14ac:dyDescent="0.25">
      <c r="B448" s="66"/>
      <c r="C448" s="66"/>
      <c r="D448" s="66"/>
      <c r="E448" s="66"/>
      <c r="F448" s="66"/>
    </row>
    <row r="449" spans="2:6" x14ac:dyDescent="0.25">
      <c r="B449" s="66"/>
      <c r="C449" s="66"/>
      <c r="D449" s="66"/>
      <c r="E449" s="66"/>
      <c r="F449" s="66"/>
    </row>
    <row r="451" spans="2:6" x14ac:dyDescent="0.25">
      <c r="B451" s="69"/>
      <c r="C451" s="69"/>
      <c r="D451" s="69"/>
      <c r="E451" s="69"/>
      <c r="F451" s="69"/>
    </row>
    <row r="454" spans="2:6" x14ac:dyDescent="0.25">
      <c r="B454" s="69"/>
      <c r="C454" s="69"/>
      <c r="D454" s="69"/>
      <c r="E454" s="69"/>
      <c r="F454" s="69"/>
    </row>
    <row r="455" spans="2:6" x14ac:dyDescent="0.25">
      <c r="B455" s="69"/>
      <c r="C455" s="69"/>
      <c r="D455" s="69"/>
      <c r="E455" s="69"/>
      <c r="F455" s="69"/>
    </row>
    <row r="456" spans="2:6" x14ac:dyDescent="0.25">
      <c r="B456" s="69"/>
      <c r="C456" s="69"/>
      <c r="D456" s="69"/>
      <c r="E456" s="69"/>
      <c r="F456" s="69"/>
    </row>
    <row r="457" spans="2:6" x14ac:dyDescent="0.25">
      <c r="B457" s="69"/>
      <c r="C457" s="69"/>
      <c r="D457" s="69"/>
      <c r="E457" s="69"/>
      <c r="F457" s="69"/>
    </row>
    <row r="458" spans="2:6" x14ac:dyDescent="0.25">
      <c r="B458" s="69"/>
      <c r="C458" s="69"/>
      <c r="D458" s="69"/>
      <c r="E458" s="69"/>
      <c r="F458" s="69"/>
    </row>
    <row r="459" spans="2:6" x14ac:dyDescent="0.25">
      <c r="B459" s="69"/>
      <c r="C459" s="69"/>
      <c r="D459" s="69"/>
      <c r="E459" s="69"/>
      <c r="F459" s="69"/>
    </row>
    <row r="460" spans="2:6" x14ac:dyDescent="0.25">
      <c r="B460" s="69"/>
      <c r="C460" s="69"/>
      <c r="D460" s="69"/>
      <c r="E460" s="69"/>
      <c r="F460" s="69"/>
    </row>
    <row r="461" spans="2:6" x14ac:dyDescent="0.25">
      <c r="B461" s="69"/>
      <c r="C461" s="69"/>
      <c r="D461" s="69"/>
      <c r="E461" s="69"/>
      <c r="F461" s="69"/>
    </row>
    <row r="462" spans="2:6" x14ac:dyDescent="0.25">
      <c r="B462" s="72"/>
      <c r="C462" s="72"/>
      <c r="D462" s="72"/>
      <c r="E462" s="72"/>
      <c r="F462" s="72"/>
    </row>
    <row r="463" spans="2:6" x14ac:dyDescent="0.25">
      <c r="B463" s="72"/>
      <c r="C463" s="72"/>
      <c r="D463" s="72"/>
      <c r="E463" s="72"/>
      <c r="F463" s="72"/>
    </row>
    <row r="464" spans="2:6" x14ac:dyDescent="0.25">
      <c r="B464" s="72"/>
      <c r="C464" s="72"/>
      <c r="D464" s="72"/>
      <c r="E464" s="72"/>
      <c r="F464" s="72"/>
    </row>
    <row r="465" spans="2:6" x14ac:dyDescent="0.25">
      <c r="B465" s="72"/>
      <c r="C465" s="72"/>
      <c r="D465" s="72"/>
      <c r="E465" s="72"/>
      <c r="F465" s="72"/>
    </row>
    <row r="466" spans="2:6" x14ac:dyDescent="0.25">
      <c r="B466" s="72"/>
      <c r="C466" s="72"/>
      <c r="D466" s="72"/>
      <c r="E466" s="72"/>
      <c r="F466" s="72"/>
    </row>
    <row r="467" spans="2:6" x14ac:dyDescent="0.25">
      <c r="B467" s="69"/>
      <c r="C467" s="69"/>
      <c r="D467" s="69"/>
      <c r="E467" s="69"/>
      <c r="F467" s="69"/>
    </row>
    <row r="468" spans="2:6" x14ac:dyDescent="0.25">
      <c r="B468" s="72"/>
      <c r="C468" s="72"/>
      <c r="D468" s="72"/>
      <c r="E468" s="72"/>
      <c r="F468" s="72"/>
    </row>
    <row r="469" spans="2:6" x14ac:dyDescent="0.25">
      <c r="B469" s="72"/>
      <c r="C469" s="72"/>
      <c r="D469" s="72"/>
      <c r="E469" s="72"/>
      <c r="F469" s="72"/>
    </row>
    <row r="470" spans="2:6" x14ac:dyDescent="0.25">
      <c r="B470" s="72"/>
      <c r="C470" s="72"/>
      <c r="D470" s="72"/>
      <c r="E470" s="72"/>
      <c r="F470" s="72"/>
    </row>
    <row r="474" spans="2:6" x14ac:dyDescent="0.25">
      <c r="B474" s="69"/>
      <c r="C474" s="69"/>
      <c r="D474" s="69"/>
      <c r="E474" s="69"/>
      <c r="F474" s="69"/>
    </row>
    <row r="475" spans="2:6" x14ac:dyDescent="0.25">
      <c r="B475" s="69"/>
      <c r="C475" s="69"/>
      <c r="D475" s="69"/>
      <c r="E475" s="69"/>
      <c r="F475" s="69"/>
    </row>
    <row r="476" spans="2:6" x14ac:dyDescent="0.25">
      <c r="B476" s="69"/>
      <c r="C476" s="69"/>
      <c r="D476" s="69"/>
      <c r="E476" s="69"/>
      <c r="F476" s="69"/>
    </row>
    <row r="477" spans="2:6" x14ac:dyDescent="0.25">
      <c r="B477" s="69"/>
      <c r="C477" s="69"/>
      <c r="D477" s="69"/>
      <c r="E477" s="69"/>
      <c r="F477" s="69"/>
    </row>
    <row r="478" spans="2:6" x14ac:dyDescent="0.25">
      <c r="B478" s="69"/>
      <c r="C478" s="69"/>
      <c r="D478" s="69"/>
      <c r="E478" s="69"/>
      <c r="F478" s="69"/>
    </row>
    <row r="479" spans="2:6" x14ac:dyDescent="0.25">
      <c r="B479" s="69"/>
      <c r="C479" s="69"/>
      <c r="D479" s="69"/>
      <c r="E479" s="69"/>
      <c r="F479" s="69"/>
    </row>
    <row r="480" spans="2:6" x14ac:dyDescent="0.25">
      <c r="B480" s="66"/>
      <c r="C480" s="66"/>
      <c r="D480" s="66"/>
      <c r="E480" s="66"/>
      <c r="F480" s="66"/>
    </row>
    <row r="484" spans="2:6" x14ac:dyDescent="0.25">
      <c r="B484" s="73"/>
      <c r="C484" s="73"/>
      <c r="D484" s="73"/>
      <c r="E484" s="73"/>
      <c r="F484" s="73"/>
    </row>
    <row r="489" spans="2:6" x14ac:dyDescent="0.25">
      <c r="B489" s="66"/>
      <c r="C489" s="66"/>
      <c r="D489" s="66"/>
      <c r="E489" s="66"/>
      <c r="F489" s="66"/>
    </row>
    <row r="490" spans="2:6" x14ac:dyDescent="0.25">
      <c r="B490" s="66"/>
      <c r="C490" s="66"/>
      <c r="D490" s="66"/>
      <c r="E490" s="66"/>
      <c r="F490" s="66"/>
    </row>
    <row r="491" spans="2:6" x14ac:dyDescent="0.25">
      <c r="B491" s="66"/>
      <c r="C491" s="66"/>
      <c r="D491" s="66"/>
      <c r="E491" s="66"/>
      <c r="F491" s="66"/>
    </row>
    <row r="492" spans="2:6" x14ac:dyDescent="0.25">
      <c r="B492" s="66"/>
      <c r="C492" s="66"/>
      <c r="D492" s="66"/>
      <c r="E492" s="66"/>
      <c r="F492" s="66"/>
    </row>
    <row r="493" spans="2:6" x14ac:dyDescent="0.25">
      <c r="B493" s="66"/>
      <c r="C493" s="66"/>
      <c r="D493" s="66"/>
      <c r="E493" s="66"/>
      <c r="F493" s="66"/>
    </row>
    <row r="499" spans="2:6" x14ac:dyDescent="0.25">
      <c r="B499" s="66"/>
      <c r="C499" s="66"/>
      <c r="D499" s="66"/>
      <c r="E499" s="69"/>
      <c r="F499" s="69"/>
    </row>
    <row r="500" spans="2:6" x14ac:dyDescent="0.25">
      <c r="B500" s="66"/>
      <c r="C500" s="66"/>
      <c r="D500" s="66"/>
      <c r="E500" s="69"/>
      <c r="F500" s="69"/>
    </row>
  </sheetData>
  <sortState ref="K8:O38">
    <sortCondition ref="K8:K38"/>
  </sortState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1"/>
  <sheetViews>
    <sheetView topLeftCell="A33" workbookViewId="0"/>
  </sheetViews>
  <sheetFormatPr defaultRowHeight="15" x14ac:dyDescent="0.25"/>
  <cols>
    <col min="1" max="1" width="23.7109375" style="61" bestFit="1" customWidth="1"/>
    <col min="2" max="2" width="12.140625" style="61" customWidth="1"/>
    <col min="3" max="3" width="7.7109375" style="61" customWidth="1"/>
    <col min="4" max="4" width="10" style="61" customWidth="1"/>
    <col min="5" max="5" width="7.7109375" style="61" customWidth="1"/>
    <col min="6" max="6" width="8.85546875" style="61" customWidth="1"/>
    <col min="7" max="7" width="10.42578125" style="61" customWidth="1"/>
    <col min="8" max="8" width="9.28515625" style="61" customWidth="1"/>
    <col min="9" max="9" width="12.5703125" style="61" bestFit="1" customWidth="1"/>
    <col min="10" max="10" width="9.140625" style="61"/>
    <col min="11" max="11" width="20" style="61" bestFit="1" customWidth="1"/>
    <col min="12" max="13" width="9.28515625" style="61" bestFit="1" customWidth="1"/>
    <col min="14" max="14" width="12.7109375" style="61" bestFit="1" customWidth="1"/>
    <col min="15" max="16384" width="9.140625" style="61"/>
  </cols>
  <sheetData>
    <row r="1" spans="1:18" ht="45" customHeight="1" x14ac:dyDescent="0.25">
      <c r="A1" s="59"/>
      <c r="B1" s="60" t="s">
        <v>68</v>
      </c>
      <c r="C1" s="60" t="s">
        <v>2</v>
      </c>
      <c r="D1" s="60" t="s">
        <v>3</v>
      </c>
      <c r="E1" s="60" t="s">
        <v>4</v>
      </c>
      <c r="F1" s="60" t="s">
        <v>13</v>
      </c>
      <c r="G1" s="60" t="s">
        <v>69</v>
      </c>
      <c r="H1" s="60" t="s">
        <v>70</v>
      </c>
      <c r="K1" s="62"/>
      <c r="L1" s="63"/>
      <c r="M1" s="63"/>
      <c r="N1" s="63"/>
      <c r="O1" s="63"/>
      <c r="P1" s="63"/>
      <c r="Q1" s="63"/>
      <c r="R1" s="63"/>
    </row>
    <row r="2" spans="1:18" x14ac:dyDescent="0.25">
      <c r="K2" s="62"/>
      <c r="L2" s="63"/>
      <c r="M2" s="63"/>
      <c r="N2" s="63"/>
      <c r="O2" s="63"/>
      <c r="P2" s="63"/>
      <c r="Q2" s="63"/>
      <c r="R2" s="63"/>
    </row>
    <row r="3" spans="1:18" x14ac:dyDescent="0.25">
      <c r="A3" s="62" t="s">
        <v>5</v>
      </c>
      <c r="B3" s="63" t="e">
        <f>SUM(#REF!)</f>
        <v>#REF!</v>
      </c>
      <c r="C3" s="63" t="e">
        <f t="shared" ref="C3" si="0">SUM(#REF!)</f>
        <v>#REF!</v>
      </c>
      <c r="D3" s="63" t="e">
        <f t="shared" ref="D3" si="1">SUM(#REF!)</f>
        <v>#REF!</v>
      </c>
      <c r="E3" s="63" t="e">
        <f t="shared" ref="E3" si="2">SUM(#REF!)</f>
        <v>#REF!</v>
      </c>
      <c r="F3" s="63" t="e">
        <f t="shared" ref="F3" si="3">SUM(#REF!)</f>
        <v>#REF!</v>
      </c>
      <c r="G3" s="63"/>
      <c r="H3" s="63"/>
      <c r="I3" s="64"/>
      <c r="K3" s="62"/>
      <c r="L3" s="62"/>
      <c r="M3" s="62"/>
      <c r="N3" s="62"/>
      <c r="O3" s="62"/>
      <c r="P3" s="62"/>
      <c r="Q3" s="62"/>
      <c r="R3" s="62"/>
    </row>
    <row r="4" spans="1:18" x14ac:dyDescent="0.25">
      <c r="A4" s="62" t="s">
        <v>71</v>
      </c>
      <c r="B4" s="63">
        <v>5</v>
      </c>
      <c r="C4" s="63">
        <v>5</v>
      </c>
      <c r="D4" s="63">
        <v>5</v>
      </c>
      <c r="E4" s="63">
        <v>5</v>
      </c>
      <c r="F4" s="63">
        <v>5</v>
      </c>
      <c r="G4" s="63"/>
      <c r="H4" s="63"/>
      <c r="I4" s="64"/>
    </row>
    <row r="5" spans="1:18" x14ac:dyDescent="0.25">
      <c r="A5" s="62" t="s">
        <v>72</v>
      </c>
      <c r="B5" s="62" t="e">
        <f>ROUND((B3/B4),0)</f>
        <v>#REF!</v>
      </c>
      <c r="C5" s="62" t="e">
        <f t="shared" ref="C5:F5" si="4">ROUND((C3/C4),0)</f>
        <v>#REF!</v>
      </c>
      <c r="D5" s="62" t="e">
        <f t="shared" si="4"/>
        <v>#REF!</v>
      </c>
      <c r="E5" s="62" t="e">
        <f t="shared" si="4"/>
        <v>#REF!</v>
      </c>
      <c r="F5" s="62" t="e">
        <f t="shared" si="4"/>
        <v>#REF!</v>
      </c>
      <c r="G5" s="62"/>
      <c r="H5" s="62"/>
      <c r="I5" s="64"/>
    </row>
    <row r="6" spans="1:18" x14ac:dyDescent="0.25">
      <c r="B6" s="65"/>
      <c r="C6" s="65"/>
      <c r="D6" s="65"/>
      <c r="E6" s="65"/>
      <c r="F6" s="65"/>
      <c r="G6" s="66"/>
      <c r="H6" s="66"/>
    </row>
    <row r="7" spans="1:18" x14ac:dyDescent="0.25">
      <c r="B7" s="65"/>
      <c r="C7" s="65"/>
      <c r="D7" s="65"/>
      <c r="E7" s="65"/>
      <c r="F7" s="65"/>
      <c r="G7" s="66"/>
      <c r="H7" s="66"/>
    </row>
    <row r="8" spans="1:18" x14ac:dyDescent="0.25">
      <c r="A8" s="61" t="s">
        <v>38</v>
      </c>
      <c r="B8" s="65">
        <v>1037</v>
      </c>
      <c r="C8" s="65">
        <v>129</v>
      </c>
      <c r="D8" s="65">
        <v>908</v>
      </c>
      <c r="E8" s="65">
        <v>178</v>
      </c>
      <c r="F8" s="65">
        <v>68</v>
      </c>
      <c r="H8" s="66" t="str">
        <f>IF(A8=I8,"","NONO ")</f>
        <v/>
      </c>
      <c r="I8" s="61" t="s">
        <v>38</v>
      </c>
      <c r="K8" s="61" t="str">
        <f>IF(A8=I8,"","nono")</f>
        <v/>
      </c>
    </row>
    <row r="9" spans="1:18" x14ac:dyDescent="0.25">
      <c r="A9" s="61" t="s">
        <v>20</v>
      </c>
      <c r="B9" s="66">
        <v>3150</v>
      </c>
      <c r="C9" s="66">
        <v>499</v>
      </c>
      <c r="D9" s="66">
        <v>2651</v>
      </c>
      <c r="E9" s="61">
        <v>56</v>
      </c>
      <c r="F9" s="61">
        <v>144</v>
      </c>
      <c r="H9" s="66" t="str">
        <f t="shared" ref="H9:H49" si="5">IF(A9=I9,"","NONO ")</f>
        <v/>
      </c>
      <c r="I9" s="61" t="s">
        <v>20</v>
      </c>
      <c r="K9" s="61" t="str">
        <f t="shared" ref="K9:K46" si="6">IF(A9=I9,"","nono")</f>
        <v/>
      </c>
    </row>
    <row r="10" spans="1:18" x14ac:dyDescent="0.25">
      <c r="A10" s="61" t="s">
        <v>31</v>
      </c>
      <c r="B10" s="61">
        <v>3412</v>
      </c>
      <c r="C10" s="61">
        <v>450</v>
      </c>
      <c r="D10" s="61">
        <v>2962</v>
      </c>
      <c r="E10" s="61">
        <v>267</v>
      </c>
      <c r="F10" s="61">
        <v>0</v>
      </c>
      <c r="H10" s="66" t="str">
        <f t="shared" si="5"/>
        <v/>
      </c>
      <c r="I10" s="61" t="s">
        <v>31</v>
      </c>
      <c r="K10" s="61" t="str">
        <f t="shared" si="6"/>
        <v/>
      </c>
    </row>
    <row r="11" spans="1:18" x14ac:dyDescent="0.25">
      <c r="A11" s="62" t="s">
        <v>23</v>
      </c>
      <c r="B11" s="63">
        <v>1858</v>
      </c>
      <c r="C11" s="63">
        <v>461</v>
      </c>
      <c r="D11" s="63">
        <v>1397</v>
      </c>
      <c r="E11" s="63">
        <v>122</v>
      </c>
      <c r="F11" s="63">
        <v>66</v>
      </c>
      <c r="H11" s="66" t="str">
        <f t="shared" si="5"/>
        <v/>
      </c>
      <c r="I11" s="61" t="s">
        <v>23</v>
      </c>
      <c r="K11" s="61" t="str">
        <f t="shared" si="6"/>
        <v/>
      </c>
    </row>
    <row r="12" spans="1:18" x14ac:dyDescent="0.25">
      <c r="A12" s="61" t="s">
        <v>48</v>
      </c>
      <c r="B12" s="61">
        <v>1579</v>
      </c>
      <c r="C12" s="61">
        <v>482</v>
      </c>
      <c r="D12" s="61">
        <v>1097</v>
      </c>
      <c r="E12" s="61">
        <v>78</v>
      </c>
      <c r="F12" s="61">
        <v>59</v>
      </c>
      <c r="H12" s="66" t="str">
        <f t="shared" si="5"/>
        <v/>
      </c>
      <c r="I12" s="61" t="s">
        <v>48</v>
      </c>
      <c r="K12" s="61" t="str">
        <f t="shared" si="6"/>
        <v/>
      </c>
    </row>
    <row r="13" spans="1:18" x14ac:dyDescent="0.25">
      <c r="A13" s="61" t="s">
        <v>17</v>
      </c>
      <c r="B13" s="61">
        <v>6594</v>
      </c>
      <c r="C13" s="61">
        <v>2130</v>
      </c>
      <c r="D13" s="61">
        <v>4464</v>
      </c>
      <c r="E13" s="61">
        <v>130</v>
      </c>
      <c r="F13" s="61">
        <v>6</v>
      </c>
      <c r="G13" s="66"/>
      <c r="H13" s="66" t="str">
        <f t="shared" si="5"/>
        <v/>
      </c>
      <c r="I13" s="61" t="s">
        <v>17</v>
      </c>
      <c r="K13" s="61" t="str">
        <f t="shared" si="6"/>
        <v/>
      </c>
    </row>
    <row r="14" spans="1:18" x14ac:dyDescent="0.25">
      <c r="A14" s="61" t="s">
        <v>43</v>
      </c>
      <c r="B14" s="66">
        <v>618</v>
      </c>
      <c r="C14" s="66">
        <v>159</v>
      </c>
      <c r="D14" s="66">
        <v>459</v>
      </c>
      <c r="E14" s="66">
        <v>66</v>
      </c>
      <c r="F14" s="66">
        <v>0</v>
      </c>
      <c r="H14" s="66" t="str">
        <f t="shared" si="5"/>
        <v/>
      </c>
      <c r="I14" s="61" t="s">
        <v>43</v>
      </c>
      <c r="K14" s="61" t="str">
        <f t="shared" si="6"/>
        <v/>
      </c>
    </row>
    <row r="15" spans="1:18" x14ac:dyDescent="0.25">
      <c r="A15" s="66" t="s">
        <v>35</v>
      </c>
      <c r="B15" s="66">
        <v>2308</v>
      </c>
      <c r="C15" s="66">
        <v>505</v>
      </c>
      <c r="D15" s="66">
        <v>1803</v>
      </c>
      <c r="E15" s="66">
        <v>637</v>
      </c>
      <c r="F15" s="66">
        <v>11</v>
      </c>
      <c r="H15" s="66" t="str">
        <f t="shared" si="5"/>
        <v/>
      </c>
      <c r="I15" s="61" t="s">
        <v>35</v>
      </c>
      <c r="K15" s="61" t="str">
        <f t="shared" si="6"/>
        <v/>
      </c>
    </row>
    <row r="16" spans="1:18" x14ac:dyDescent="0.25">
      <c r="A16" s="61" t="s">
        <v>36</v>
      </c>
      <c r="B16" s="69">
        <v>1828</v>
      </c>
      <c r="C16" s="69">
        <v>588</v>
      </c>
      <c r="D16" s="69">
        <v>1240</v>
      </c>
      <c r="E16" s="69">
        <v>291</v>
      </c>
      <c r="F16" s="69">
        <v>60</v>
      </c>
      <c r="H16" s="66" t="str">
        <f t="shared" si="5"/>
        <v/>
      </c>
      <c r="I16" s="61" t="s">
        <v>36</v>
      </c>
      <c r="K16" s="61" t="str">
        <f t="shared" si="6"/>
        <v/>
      </c>
    </row>
    <row r="17" spans="1:11" x14ac:dyDescent="0.25">
      <c r="A17" s="66" t="s">
        <v>19</v>
      </c>
      <c r="B17" s="66">
        <v>1935</v>
      </c>
      <c r="C17" s="66">
        <v>509</v>
      </c>
      <c r="D17" s="66">
        <v>1426</v>
      </c>
      <c r="E17" s="61">
        <v>195</v>
      </c>
      <c r="F17" s="61">
        <v>0</v>
      </c>
      <c r="H17" s="66" t="str">
        <f t="shared" si="5"/>
        <v/>
      </c>
      <c r="I17" s="61" t="s">
        <v>19</v>
      </c>
      <c r="K17" s="61" t="str">
        <f t="shared" si="6"/>
        <v/>
      </c>
    </row>
    <row r="18" spans="1:11" x14ac:dyDescent="0.25">
      <c r="A18" s="62" t="s">
        <v>32</v>
      </c>
      <c r="B18" s="62">
        <v>1170</v>
      </c>
      <c r="C18" s="62">
        <v>161</v>
      </c>
      <c r="D18" s="62">
        <v>1009</v>
      </c>
      <c r="E18" s="62">
        <v>14</v>
      </c>
      <c r="F18" s="62">
        <v>3</v>
      </c>
      <c r="H18" s="66" t="str">
        <f t="shared" si="5"/>
        <v/>
      </c>
      <c r="I18" s="61" t="s">
        <v>32</v>
      </c>
      <c r="K18" s="61" t="str">
        <f t="shared" si="6"/>
        <v/>
      </c>
    </row>
    <row r="19" spans="1:11" x14ac:dyDescent="0.25">
      <c r="A19" s="61" t="s">
        <v>30</v>
      </c>
      <c r="B19" s="61">
        <v>2180</v>
      </c>
      <c r="C19" s="61">
        <v>870</v>
      </c>
      <c r="D19" s="61">
        <v>1310</v>
      </c>
      <c r="E19" s="61">
        <v>66</v>
      </c>
      <c r="F19" s="61">
        <v>86</v>
      </c>
      <c r="H19" s="66" t="str">
        <f t="shared" si="5"/>
        <v/>
      </c>
      <c r="I19" s="61" t="s">
        <v>30</v>
      </c>
      <c r="K19" s="61" t="str">
        <f t="shared" si="6"/>
        <v/>
      </c>
    </row>
    <row r="20" spans="1:11" x14ac:dyDescent="0.25">
      <c r="A20" s="61" t="s">
        <v>46</v>
      </c>
      <c r="B20" s="61">
        <v>1440</v>
      </c>
      <c r="C20" s="61">
        <v>501</v>
      </c>
      <c r="D20" s="61">
        <v>939</v>
      </c>
      <c r="E20" s="61">
        <v>76</v>
      </c>
      <c r="F20" s="61">
        <v>29</v>
      </c>
      <c r="H20" s="66" t="str">
        <f t="shared" si="5"/>
        <v/>
      </c>
      <c r="I20" s="61" t="s">
        <v>46</v>
      </c>
      <c r="K20" s="61" t="str">
        <f t="shared" si="6"/>
        <v/>
      </c>
    </row>
    <row r="21" spans="1:11" x14ac:dyDescent="0.25">
      <c r="A21" s="61" t="s">
        <v>61</v>
      </c>
      <c r="B21" s="61">
        <v>1121</v>
      </c>
      <c r="C21" s="61">
        <v>325</v>
      </c>
      <c r="D21" s="61">
        <v>796</v>
      </c>
      <c r="E21" s="61">
        <v>2</v>
      </c>
      <c r="F21" s="61">
        <v>0</v>
      </c>
      <c r="H21" s="66" t="str">
        <f t="shared" si="5"/>
        <v/>
      </c>
      <c r="I21" s="61" t="s">
        <v>61</v>
      </c>
      <c r="K21" s="61" t="str">
        <f t="shared" si="6"/>
        <v/>
      </c>
    </row>
    <row r="22" spans="1:11" x14ac:dyDescent="0.25">
      <c r="A22" s="61" t="s">
        <v>53</v>
      </c>
      <c r="B22" s="61">
        <v>2194</v>
      </c>
      <c r="C22" s="61">
        <v>481</v>
      </c>
      <c r="D22" s="61">
        <v>1713</v>
      </c>
      <c r="E22" s="61">
        <v>21</v>
      </c>
      <c r="F22" s="61">
        <v>3</v>
      </c>
      <c r="H22" s="66" t="str">
        <f t="shared" si="5"/>
        <v/>
      </c>
      <c r="I22" s="61" t="s">
        <v>53</v>
      </c>
      <c r="K22" s="61" t="str">
        <f t="shared" si="6"/>
        <v/>
      </c>
    </row>
    <row r="23" spans="1:11" x14ac:dyDescent="0.25">
      <c r="A23" s="61" t="s">
        <v>34</v>
      </c>
      <c r="B23" s="69">
        <v>1538</v>
      </c>
      <c r="C23" s="69">
        <v>222</v>
      </c>
      <c r="D23" s="69">
        <v>1316</v>
      </c>
      <c r="E23" s="69">
        <v>78</v>
      </c>
      <c r="F23" s="69">
        <v>0</v>
      </c>
      <c r="H23" s="66" t="str">
        <f t="shared" si="5"/>
        <v/>
      </c>
      <c r="I23" s="61" t="s">
        <v>34</v>
      </c>
      <c r="K23" s="61" t="str">
        <f t="shared" si="6"/>
        <v/>
      </c>
    </row>
    <row r="24" spans="1:11" x14ac:dyDescent="0.25">
      <c r="A24" s="61" t="s">
        <v>52</v>
      </c>
      <c r="B24" s="61">
        <v>1284</v>
      </c>
      <c r="C24" s="61">
        <v>284</v>
      </c>
      <c r="D24" s="61">
        <v>1000</v>
      </c>
      <c r="E24" s="61">
        <v>79</v>
      </c>
      <c r="F24" s="61">
        <v>0</v>
      </c>
      <c r="H24" s="66" t="str">
        <f t="shared" si="5"/>
        <v/>
      </c>
      <c r="I24" s="61" t="s">
        <v>52</v>
      </c>
      <c r="K24" s="61" t="str">
        <f t="shared" si="6"/>
        <v/>
      </c>
    </row>
    <row r="25" spans="1:11" x14ac:dyDescent="0.25">
      <c r="A25" s="61" t="s">
        <v>39</v>
      </c>
      <c r="B25" s="65">
        <v>719</v>
      </c>
      <c r="C25" s="65">
        <v>151</v>
      </c>
      <c r="D25" s="65">
        <v>568</v>
      </c>
      <c r="E25" s="65">
        <v>102</v>
      </c>
      <c r="F25" s="65">
        <v>11</v>
      </c>
      <c r="H25" s="66" t="str">
        <f t="shared" si="5"/>
        <v/>
      </c>
      <c r="I25" s="61" t="s">
        <v>39</v>
      </c>
      <c r="K25" s="61" t="str">
        <f t="shared" si="6"/>
        <v/>
      </c>
    </row>
    <row r="26" spans="1:11" x14ac:dyDescent="0.25">
      <c r="A26" s="61" t="s">
        <v>49</v>
      </c>
      <c r="B26" s="61">
        <v>2287</v>
      </c>
      <c r="C26" s="61">
        <v>675</v>
      </c>
      <c r="D26" s="61">
        <v>1612</v>
      </c>
      <c r="E26" s="61">
        <v>16</v>
      </c>
      <c r="F26" s="61">
        <v>2</v>
      </c>
      <c r="H26" s="66" t="str">
        <f t="shared" si="5"/>
        <v/>
      </c>
      <c r="I26" s="61" t="s">
        <v>49</v>
      </c>
      <c r="K26" s="61" t="str">
        <f t="shared" si="6"/>
        <v/>
      </c>
    </row>
    <row r="27" spans="1:11" x14ac:dyDescent="0.25">
      <c r="A27" s="66" t="s">
        <v>42</v>
      </c>
      <c r="B27" s="66">
        <v>1470</v>
      </c>
      <c r="C27" s="66">
        <v>297</v>
      </c>
      <c r="D27" s="66">
        <v>1173</v>
      </c>
      <c r="E27" s="66">
        <v>0</v>
      </c>
      <c r="F27" s="66">
        <v>0</v>
      </c>
      <c r="H27" s="66" t="str">
        <f t="shared" si="5"/>
        <v/>
      </c>
      <c r="I27" s="61" t="s">
        <v>42</v>
      </c>
      <c r="K27" s="61" t="str">
        <f t="shared" si="6"/>
        <v/>
      </c>
    </row>
    <row r="28" spans="1:11" x14ac:dyDescent="0.25">
      <c r="A28" s="61" t="s">
        <v>26</v>
      </c>
      <c r="B28" s="61">
        <v>1000</v>
      </c>
      <c r="C28" s="61">
        <v>264</v>
      </c>
      <c r="D28" s="61">
        <v>736</v>
      </c>
      <c r="E28" s="61">
        <v>60</v>
      </c>
      <c r="F28" s="61">
        <v>1</v>
      </c>
      <c r="H28" s="66" t="str">
        <f t="shared" si="5"/>
        <v/>
      </c>
      <c r="I28" s="61" t="s">
        <v>26</v>
      </c>
      <c r="K28" s="61" t="str">
        <f t="shared" si="6"/>
        <v/>
      </c>
    </row>
    <row r="29" spans="1:11" x14ac:dyDescent="0.25">
      <c r="A29" s="61" t="s">
        <v>29</v>
      </c>
      <c r="B29" s="66">
        <v>2314</v>
      </c>
      <c r="C29" s="66">
        <v>333</v>
      </c>
      <c r="D29" s="66">
        <v>1981</v>
      </c>
      <c r="E29" s="66">
        <v>96</v>
      </c>
      <c r="F29" s="66">
        <v>7</v>
      </c>
      <c r="H29" s="66" t="str">
        <f t="shared" si="5"/>
        <v/>
      </c>
      <c r="I29" s="61" t="s">
        <v>29</v>
      </c>
      <c r="K29" s="61" t="str">
        <f t="shared" si="6"/>
        <v/>
      </c>
    </row>
    <row r="30" spans="1:11" x14ac:dyDescent="0.25">
      <c r="A30" s="61" t="s">
        <v>60</v>
      </c>
      <c r="B30" s="61">
        <v>3084</v>
      </c>
      <c r="C30" s="61">
        <v>639</v>
      </c>
      <c r="D30" s="61">
        <v>2445</v>
      </c>
      <c r="E30" s="61">
        <v>81</v>
      </c>
      <c r="F30" s="61">
        <v>14</v>
      </c>
      <c r="H30" s="66" t="str">
        <f t="shared" si="5"/>
        <v/>
      </c>
      <c r="I30" s="61" t="s">
        <v>60</v>
      </c>
      <c r="K30" s="61" t="str">
        <f t="shared" si="6"/>
        <v/>
      </c>
    </row>
    <row r="31" spans="1:11" x14ac:dyDescent="0.25">
      <c r="A31" s="61" t="s">
        <v>24</v>
      </c>
      <c r="B31" s="65">
        <v>1565</v>
      </c>
      <c r="C31" s="65">
        <v>538</v>
      </c>
      <c r="D31" s="65">
        <v>1027</v>
      </c>
      <c r="E31" s="65">
        <v>17</v>
      </c>
      <c r="F31" s="65">
        <v>0</v>
      </c>
      <c r="H31" s="66" t="str">
        <f t="shared" si="5"/>
        <v/>
      </c>
      <c r="I31" s="61" t="s">
        <v>24</v>
      </c>
      <c r="K31" s="61" t="str">
        <f t="shared" si="6"/>
        <v/>
      </c>
    </row>
    <row r="32" spans="1:11" x14ac:dyDescent="0.25">
      <c r="A32" s="61" t="s">
        <v>37</v>
      </c>
      <c r="B32" s="61">
        <v>4043</v>
      </c>
      <c r="C32" s="61">
        <v>1532</v>
      </c>
      <c r="D32" s="61">
        <v>2511</v>
      </c>
      <c r="E32" s="61">
        <v>165</v>
      </c>
      <c r="F32" s="61">
        <v>186</v>
      </c>
      <c r="H32" s="66" t="str">
        <f t="shared" si="5"/>
        <v/>
      </c>
      <c r="I32" s="61" t="s">
        <v>37</v>
      </c>
      <c r="K32" s="61" t="str">
        <f t="shared" si="6"/>
        <v/>
      </c>
    </row>
    <row r="33" spans="1:11" x14ac:dyDescent="0.25">
      <c r="A33" s="61" t="s">
        <v>25</v>
      </c>
      <c r="B33" s="66">
        <v>3263</v>
      </c>
      <c r="C33" s="66">
        <v>1045</v>
      </c>
      <c r="D33" s="66">
        <v>2218</v>
      </c>
      <c r="E33" s="66">
        <v>58</v>
      </c>
      <c r="F33" s="66">
        <v>111</v>
      </c>
      <c r="H33" s="66" t="str">
        <f t="shared" si="5"/>
        <v/>
      </c>
      <c r="I33" s="61" t="s">
        <v>25</v>
      </c>
      <c r="K33" s="61" t="str">
        <f t="shared" si="6"/>
        <v/>
      </c>
    </row>
    <row r="34" spans="1:11" x14ac:dyDescent="0.25">
      <c r="A34" s="61" t="s">
        <v>22</v>
      </c>
      <c r="B34" s="61">
        <v>2051</v>
      </c>
      <c r="C34" s="61">
        <v>701</v>
      </c>
      <c r="D34" s="61">
        <v>1350</v>
      </c>
      <c r="E34" s="61">
        <v>66</v>
      </c>
      <c r="F34" s="61">
        <v>0</v>
      </c>
      <c r="H34" s="66" t="str">
        <f t="shared" si="5"/>
        <v/>
      </c>
      <c r="I34" s="61" t="s">
        <v>22</v>
      </c>
      <c r="K34" s="61" t="str">
        <f t="shared" si="6"/>
        <v/>
      </c>
    </row>
    <row r="35" spans="1:11" x14ac:dyDescent="0.25">
      <c r="A35" s="61" t="s">
        <v>18</v>
      </c>
      <c r="B35" s="61">
        <v>2328</v>
      </c>
      <c r="C35" s="61">
        <v>612</v>
      </c>
      <c r="D35" s="61">
        <v>1716</v>
      </c>
      <c r="E35" s="61">
        <v>313</v>
      </c>
      <c r="F35" s="61">
        <v>64</v>
      </c>
      <c r="G35" s="66"/>
      <c r="H35" s="66" t="str">
        <f t="shared" si="5"/>
        <v/>
      </c>
      <c r="I35" s="61" t="s">
        <v>18</v>
      </c>
      <c r="K35" s="61" t="str">
        <f t="shared" si="6"/>
        <v/>
      </c>
    </row>
    <row r="36" spans="1:11" x14ac:dyDescent="0.25">
      <c r="A36" s="61" t="s">
        <v>51</v>
      </c>
      <c r="B36" s="61">
        <v>1624</v>
      </c>
      <c r="C36" s="61">
        <v>424</v>
      </c>
      <c r="D36" s="61">
        <v>1200</v>
      </c>
      <c r="E36" s="61">
        <v>86</v>
      </c>
      <c r="F36" s="61">
        <v>30</v>
      </c>
      <c r="H36" s="66" t="str">
        <f t="shared" si="5"/>
        <v/>
      </c>
      <c r="I36" s="61" t="s">
        <v>51</v>
      </c>
      <c r="K36" s="61" t="str">
        <f t="shared" si="6"/>
        <v/>
      </c>
    </row>
    <row r="37" spans="1:11" x14ac:dyDescent="0.25">
      <c r="A37" s="61" t="s">
        <v>41</v>
      </c>
      <c r="B37" s="61">
        <v>2117</v>
      </c>
      <c r="C37" s="61">
        <v>509</v>
      </c>
      <c r="D37" s="61">
        <v>1608</v>
      </c>
      <c r="E37" s="61">
        <v>273</v>
      </c>
      <c r="F37" s="61">
        <v>3</v>
      </c>
      <c r="H37" s="66" t="str">
        <f t="shared" si="5"/>
        <v/>
      </c>
      <c r="I37" s="61" t="s">
        <v>41</v>
      </c>
      <c r="K37" s="61" t="str">
        <f t="shared" si="6"/>
        <v/>
      </c>
    </row>
    <row r="38" spans="1:11" x14ac:dyDescent="0.25">
      <c r="A38" s="61" t="s">
        <v>28</v>
      </c>
      <c r="B38" s="69">
        <v>1863</v>
      </c>
      <c r="C38" s="69">
        <v>419</v>
      </c>
      <c r="D38" s="69">
        <v>1444</v>
      </c>
      <c r="E38" s="69">
        <v>93</v>
      </c>
      <c r="F38" s="69">
        <v>6</v>
      </c>
      <c r="H38" s="66" t="str">
        <f t="shared" si="5"/>
        <v/>
      </c>
      <c r="I38" s="61" t="s">
        <v>28</v>
      </c>
      <c r="K38" s="61" t="str">
        <f t="shared" si="6"/>
        <v/>
      </c>
    </row>
    <row r="39" spans="1:11" x14ac:dyDescent="0.25">
      <c r="A39" s="61" t="s">
        <v>50</v>
      </c>
      <c r="B39" s="61">
        <v>3087</v>
      </c>
      <c r="C39" s="61">
        <v>586</v>
      </c>
      <c r="D39" s="61">
        <v>2501</v>
      </c>
      <c r="E39" s="61">
        <v>72</v>
      </c>
      <c r="F39" s="61">
        <v>19</v>
      </c>
      <c r="H39" s="66" t="str">
        <f t="shared" si="5"/>
        <v/>
      </c>
      <c r="I39" s="61" t="s">
        <v>50</v>
      </c>
      <c r="K39" s="61" t="str">
        <f t="shared" si="6"/>
        <v/>
      </c>
    </row>
    <row r="40" spans="1:11" x14ac:dyDescent="0.25">
      <c r="A40" s="61" t="s">
        <v>98</v>
      </c>
      <c r="B40" s="61">
        <v>174</v>
      </c>
      <c r="C40" s="61">
        <v>46</v>
      </c>
      <c r="D40" s="61">
        <v>128</v>
      </c>
      <c r="E40" s="61">
        <v>0</v>
      </c>
      <c r="F40" s="61">
        <v>8</v>
      </c>
      <c r="H40" s="66" t="str">
        <f t="shared" si="5"/>
        <v/>
      </c>
      <c r="I40" s="61" t="s">
        <v>98</v>
      </c>
      <c r="K40" s="61" t="str">
        <f t="shared" si="6"/>
        <v/>
      </c>
    </row>
    <row r="41" spans="1:11" x14ac:dyDescent="0.25">
      <c r="A41" s="61" t="s">
        <v>21</v>
      </c>
      <c r="B41" s="61">
        <v>0</v>
      </c>
      <c r="C41" s="61">
        <v>0</v>
      </c>
      <c r="D41" s="61">
        <v>0</v>
      </c>
      <c r="E41" s="61">
        <v>0</v>
      </c>
      <c r="F41" s="61">
        <v>0</v>
      </c>
      <c r="H41" s="66" t="str">
        <f t="shared" si="5"/>
        <v/>
      </c>
      <c r="I41" s="61" t="s">
        <v>21</v>
      </c>
      <c r="K41" s="61" t="str">
        <f t="shared" si="6"/>
        <v/>
      </c>
    </row>
    <row r="42" spans="1:11" x14ac:dyDescent="0.25">
      <c r="A42" s="61" t="s">
        <v>45</v>
      </c>
      <c r="B42" s="72">
        <v>2164</v>
      </c>
      <c r="C42" s="72">
        <v>629</v>
      </c>
      <c r="D42" s="72">
        <v>1535</v>
      </c>
      <c r="E42" s="72">
        <v>129</v>
      </c>
      <c r="F42" s="72">
        <v>0</v>
      </c>
      <c r="H42" s="66" t="str">
        <f t="shared" si="5"/>
        <v/>
      </c>
      <c r="I42" s="61" t="s">
        <v>45</v>
      </c>
      <c r="K42" s="61" t="str">
        <f t="shared" si="6"/>
        <v/>
      </c>
    </row>
    <row r="43" spans="1:11" x14ac:dyDescent="0.25">
      <c r="A43" s="61" t="s">
        <v>40</v>
      </c>
      <c r="B43" s="69">
        <v>1855</v>
      </c>
      <c r="C43" s="69">
        <v>456</v>
      </c>
      <c r="D43" s="69">
        <v>1399</v>
      </c>
      <c r="E43" s="69">
        <v>0</v>
      </c>
      <c r="F43" s="69">
        <v>0</v>
      </c>
      <c r="H43" s="66" t="str">
        <f t="shared" si="5"/>
        <v/>
      </c>
      <c r="I43" s="61" t="s">
        <v>40</v>
      </c>
      <c r="K43" s="61" t="str">
        <f t="shared" si="6"/>
        <v/>
      </c>
    </row>
    <row r="44" spans="1:11" x14ac:dyDescent="0.25">
      <c r="A44" s="61" t="s">
        <v>44</v>
      </c>
      <c r="B44" s="69">
        <v>1952</v>
      </c>
      <c r="C44" s="69">
        <v>379</v>
      </c>
      <c r="D44" s="69">
        <v>1573</v>
      </c>
      <c r="E44" s="69">
        <v>187</v>
      </c>
      <c r="F44" s="69">
        <v>0</v>
      </c>
      <c r="H44" s="66" t="str">
        <f t="shared" si="5"/>
        <v/>
      </c>
      <c r="I44" s="61" t="s">
        <v>44</v>
      </c>
      <c r="K44" s="61" t="str">
        <f t="shared" si="6"/>
        <v/>
      </c>
    </row>
    <row r="45" spans="1:11" x14ac:dyDescent="0.25">
      <c r="A45" s="61" t="s">
        <v>47</v>
      </c>
      <c r="B45" s="61">
        <v>2756</v>
      </c>
      <c r="C45" s="61">
        <v>447</v>
      </c>
      <c r="D45" s="61">
        <v>2309</v>
      </c>
      <c r="E45" s="61">
        <v>65</v>
      </c>
      <c r="F45" s="61">
        <v>51</v>
      </c>
      <c r="H45" s="66" t="str">
        <f t="shared" si="5"/>
        <v/>
      </c>
      <c r="I45" s="61" t="s">
        <v>47</v>
      </c>
      <c r="K45" s="61" t="str">
        <f t="shared" si="6"/>
        <v/>
      </c>
    </row>
    <row r="46" spans="1:11" x14ac:dyDescent="0.25">
      <c r="A46" s="61" t="s">
        <v>27</v>
      </c>
      <c r="B46" s="61">
        <v>2052</v>
      </c>
      <c r="C46" s="61">
        <v>408</v>
      </c>
      <c r="D46" s="61">
        <v>1644</v>
      </c>
      <c r="E46" s="61">
        <v>242</v>
      </c>
      <c r="F46" s="61">
        <v>23</v>
      </c>
      <c r="H46" s="66" t="str">
        <f t="shared" si="5"/>
        <v/>
      </c>
      <c r="I46" s="61" t="s">
        <v>27</v>
      </c>
      <c r="K46" s="61" t="str">
        <f t="shared" si="6"/>
        <v/>
      </c>
    </row>
    <row r="47" spans="1:11" x14ac:dyDescent="0.25">
      <c r="A47" s="61" t="s">
        <v>33</v>
      </c>
      <c r="B47" s="61">
        <v>1670</v>
      </c>
      <c r="C47" s="61">
        <v>181</v>
      </c>
      <c r="D47" s="61">
        <v>1489</v>
      </c>
      <c r="E47" s="61">
        <v>7</v>
      </c>
      <c r="F47" s="61">
        <v>2</v>
      </c>
      <c r="G47" s="66"/>
      <c r="H47" s="66" t="str">
        <f t="shared" si="5"/>
        <v/>
      </c>
      <c r="I47" s="61" t="s">
        <v>33</v>
      </c>
    </row>
    <row r="48" spans="1:11" x14ac:dyDescent="0.25">
      <c r="H48" s="66" t="str">
        <f t="shared" si="5"/>
        <v/>
      </c>
    </row>
    <row r="49" spans="1:8" x14ac:dyDescent="0.25">
      <c r="A49" s="62" t="s">
        <v>5</v>
      </c>
      <c r="B49" s="63">
        <f>SUM(B8:B47)</f>
        <v>80684</v>
      </c>
      <c r="C49" s="63">
        <f t="shared" ref="C49:F49" si="7">SUM(C8:C47)</f>
        <v>20027</v>
      </c>
      <c r="D49" s="63">
        <f t="shared" si="7"/>
        <v>60657</v>
      </c>
      <c r="E49" s="63">
        <f t="shared" si="7"/>
        <v>4484</v>
      </c>
      <c r="F49" s="63">
        <f t="shared" si="7"/>
        <v>1073</v>
      </c>
      <c r="G49" s="66"/>
      <c r="H49" s="66" t="str">
        <f t="shared" si="5"/>
        <v xml:space="preserve">NONO </v>
      </c>
    </row>
    <row r="50" spans="1:8" x14ac:dyDescent="0.25">
      <c r="A50" s="62" t="s">
        <v>71</v>
      </c>
      <c r="B50" s="63">
        <v>30</v>
      </c>
      <c r="C50" s="63">
        <v>30</v>
      </c>
      <c r="D50" s="63">
        <v>30</v>
      </c>
      <c r="E50" s="63">
        <v>30</v>
      </c>
      <c r="F50" s="63">
        <v>30</v>
      </c>
      <c r="G50" s="66"/>
      <c r="H50" s="62"/>
    </row>
    <row r="51" spans="1:8" x14ac:dyDescent="0.25">
      <c r="A51" s="62" t="s">
        <v>72</v>
      </c>
      <c r="B51" s="62">
        <f>ROUND((B49/B50),0)</f>
        <v>2689</v>
      </c>
      <c r="C51" s="62">
        <f t="shared" ref="C51:F51" si="8">ROUND((C49/C50),0)</f>
        <v>668</v>
      </c>
      <c r="D51" s="62">
        <f t="shared" si="8"/>
        <v>2022</v>
      </c>
      <c r="E51" s="62">
        <f t="shared" si="8"/>
        <v>149</v>
      </c>
      <c r="F51" s="62">
        <f t="shared" si="8"/>
        <v>36</v>
      </c>
      <c r="G51" s="66"/>
      <c r="H51" s="71"/>
    </row>
    <row r="52" spans="1:8" x14ac:dyDescent="0.25">
      <c r="G52" s="66"/>
      <c r="H52" s="66"/>
    </row>
    <row r="53" spans="1:8" x14ac:dyDescent="0.25">
      <c r="B53" s="66"/>
      <c r="C53" s="66"/>
      <c r="D53" s="66"/>
      <c r="G53" s="66"/>
      <c r="H53" s="63"/>
    </row>
    <row r="54" spans="1:8" x14ac:dyDescent="0.25">
      <c r="G54" s="66"/>
      <c r="H54" s="66"/>
    </row>
    <row r="55" spans="1:8" x14ac:dyDescent="0.25">
      <c r="B55" s="69"/>
      <c r="C55" s="69"/>
      <c r="D55" s="69"/>
      <c r="E55" s="69"/>
      <c r="F55" s="69"/>
      <c r="G55" s="66"/>
    </row>
    <row r="56" spans="1:8" x14ac:dyDescent="0.25">
      <c r="G56" s="66"/>
    </row>
    <row r="57" spans="1:8" x14ac:dyDescent="0.25">
      <c r="B57" s="65"/>
      <c r="C57" s="65"/>
      <c r="D57" s="65"/>
      <c r="E57" s="65"/>
      <c r="F57" s="65"/>
      <c r="G57" s="66"/>
    </row>
    <row r="58" spans="1:8" x14ac:dyDescent="0.25">
      <c r="G58" s="66"/>
    </row>
    <row r="59" spans="1:8" x14ac:dyDescent="0.25">
      <c r="G59" s="66"/>
    </row>
    <row r="60" spans="1:8" x14ac:dyDescent="0.25">
      <c r="G60" s="66"/>
    </row>
    <row r="61" spans="1:8" x14ac:dyDescent="0.25">
      <c r="G61" s="66"/>
    </row>
    <row r="62" spans="1:8" x14ac:dyDescent="0.25">
      <c r="G62" s="66"/>
    </row>
    <row r="63" spans="1:8" x14ac:dyDescent="0.25">
      <c r="G63" s="66"/>
    </row>
    <row r="64" spans="1:8" x14ac:dyDescent="0.25">
      <c r="B64" s="66"/>
      <c r="C64" s="66"/>
      <c r="D64" s="66"/>
      <c r="E64" s="66"/>
      <c r="F64" s="66"/>
      <c r="G64" s="66"/>
    </row>
    <row r="65" spans="1:7" x14ac:dyDescent="0.25">
      <c r="G65" s="66"/>
    </row>
    <row r="66" spans="1:7" x14ac:dyDescent="0.25">
      <c r="B66" s="66"/>
      <c r="C66" s="66"/>
      <c r="D66" s="66"/>
      <c r="E66" s="66"/>
      <c r="F66" s="66"/>
      <c r="G66" s="66"/>
    </row>
    <row r="67" spans="1:7" x14ac:dyDescent="0.25">
      <c r="G67" s="66"/>
    </row>
    <row r="68" spans="1:7" x14ac:dyDescent="0.25">
      <c r="G68" s="66"/>
    </row>
    <row r="69" spans="1:7" x14ac:dyDescent="0.25">
      <c r="G69" s="66"/>
    </row>
    <row r="70" spans="1:7" x14ac:dyDescent="0.25">
      <c r="G70" s="66"/>
    </row>
    <row r="71" spans="1:7" x14ac:dyDescent="0.25">
      <c r="B71" s="65"/>
      <c r="C71" s="65"/>
      <c r="D71" s="65"/>
      <c r="E71" s="65"/>
      <c r="F71" s="65"/>
      <c r="G71" s="66"/>
    </row>
    <row r="72" spans="1:7" x14ac:dyDescent="0.25">
      <c r="A72" s="62"/>
      <c r="B72" s="70"/>
      <c r="C72" s="70"/>
      <c r="D72" s="70"/>
      <c r="E72" s="70"/>
      <c r="F72" s="70"/>
      <c r="G72" s="66"/>
    </row>
    <row r="73" spans="1:7" x14ac:dyDescent="0.25">
      <c r="G73" s="66"/>
    </row>
    <row r="74" spans="1:7" x14ac:dyDescent="0.25">
      <c r="B74" s="66"/>
      <c r="C74" s="66"/>
      <c r="D74" s="66"/>
      <c r="E74" s="66"/>
      <c r="F74" s="66"/>
      <c r="G74" s="66"/>
    </row>
    <row r="75" spans="1:7" x14ac:dyDescent="0.25">
      <c r="G75" s="66"/>
    </row>
    <row r="76" spans="1:7" x14ac:dyDescent="0.25">
      <c r="A76" s="66"/>
      <c r="B76" s="66"/>
      <c r="C76" s="66"/>
      <c r="D76" s="66"/>
      <c r="E76" s="66"/>
      <c r="F76" s="66"/>
      <c r="G76" s="66"/>
    </row>
    <row r="77" spans="1:7" x14ac:dyDescent="0.25">
      <c r="G77" s="66"/>
    </row>
    <row r="78" spans="1:7" x14ac:dyDescent="0.25">
      <c r="G78" s="66"/>
    </row>
    <row r="79" spans="1:7" x14ac:dyDescent="0.25">
      <c r="G79" s="69"/>
    </row>
    <row r="81" spans="1:7" x14ac:dyDescent="0.25">
      <c r="B81" s="72"/>
      <c r="C81" s="72"/>
      <c r="D81" s="72"/>
      <c r="E81" s="72"/>
      <c r="F81" s="72"/>
      <c r="G81" s="69"/>
    </row>
    <row r="82" spans="1:7" x14ac:dyDescent="0.25">
      <c r="G82" s="66"/>
    </row>
    <row r="83" spans="1:7" x14ac:dyDescent="0.25">
      <c r="G83" s="66"/>
    </row>
    <row r="84" spans="1:7" x14ac:dyDescent="0.25">
      <c r="G84" s="69"/>
    </row>
    <row r="85" spans="1:7" x14ac:dyDescent="0.25">
      <c r="G85" s="63"/>
    </row>
    <row r="86" spans="1:7" x14ac:dyDescent="0.25">
      <c r="A86" s="62"/>
      <c r="B86" s="63"/>
      <c r="C86" s="63"/>
      <c r="D86" s="63"/>
      <c r="E86" s="63"/>
      <c r="F86" s="63"/>
      <c r="G86" s="63"/>
    </row>
    <row r="87" spans="1:7" x14ac:dyDescent="0.25">
      <c r="A87" s="62"/>
      <c r="B87" s="63"/>
      <c r="C87" s="63"/>
      <c r="D87" s="63"/>
      <c r="E87" s="63"/>
      <c r="F87" s="63"/>
      <c r="G87" s="63"/>
    </row>
    <row r="88" spans="1:7" x14ac:dyDescent="0.25">
      <c r="A88" s="62"/>
      <c r="B88" s="62"/>
      <c r="C88" s="62"/>
      <c r="D88" s="62"/>
      <c r="E88" s="62"/>
      <c r="F88" s="62"/>
      <c r="G88" s="62"/>
    </row>
    <row r="89" spans="1:7" x14ac:dyDescent="0.25">
      <c r="B89" s="66"/>
      <c r="C89" s="66"/>
      <c r="D89" s="66"/>
      <c r="G89" s="71"/>
    </row>
    <row r="90" spans="1:7" x14ac:dyDescent="0.25">
      <c r="B90" s="66"/>
      <c r="C90" s="66"/>
      <c r="D90" s="66"/>
      <c r="G90" s="66"/>
    </row>
    <row r="91" spans="1:7" x14ac:dyDescent="0.25">
      <c r="B91" s="66"/>
      <c r="C91" s="66"/>
      <c r="D91" s="66"/>
      <c r="G91" s="63"/>
    </row>
    <row r="92" spans="1:7" x14ac:dyDescent="0.25">
      <c r="B92" s="66"/>
      <c r="C92" s="66"/>
      <c r="D92" s="66"/>
      <c r="G92" s="66"/>
    </row>
    <row r="93" spans="1:7" x14ac:dyDescent="0.25">
      <c r="B93" s="66"/>
      <c r="C93" s="66"/>
      <c r="D93" s="66"/>
    </row>
    <row r="94" spans="1:7" x14ac:dyDescent="0.25">
      <c r="B94" s="66"/>
      <c r="C94" s="66"/>
      <c r="D94" s="66"/>
    </row>
    <row r="95" spans="1:7" x14ac:dyDescent="0.25">
      <c r="B95" s="66"/>
      <c r="C95" s="66"/>
      <c r="D95" s="66"/>
    </row>
    <row r="96" spans="1:7" x14ac:dyDescent="0.25">
      <c r="B96" s="66"/>
      <c r="C96" s="66"/>
      <c r="D96" s="66"/>
    </row>
    <row r="97" spans="2:4" x14ac:dyDescent="0.25">
      <c r="B97" s="66"/>
      <c r="C97" s="66"/>
      <c r="D97" s="66"/>
    </row>
    <row r="98" spans="2:4" x14ac:dyDescent="0.25">
      <c r="B98" s="66"/>
      <c r="C98" s="66"/>
      <c r="D98" s="66"/>
    </row>
    <row r="99" spans="2:4" x14ac:dyDescent="0.25">
      <c r="B99" s="66"/>
      <c r="C99" s="66"/>
      <c r="D99" s="66"/>
    </row>
    <row r="100" spans="2:4" x14ac:dyDescent="0.25">
      <c r="B100" s="66"/>
      <c r="C100" s="66"/>
      <c r="D100" s="66"/>
    </row>
    <row r="101" spans="2:4" x14ac:dyDescent="0.25">
      <c r="B101" s="66"/>
      <c r="C101" s="66"/>
      <c r="D101" s="66"/>
    </row>
    <row r="102" spans="2:4" x14ac:dyDescent="0.25">
      <c r="B102" s="66"/>
      <c r="C102" s="66"/>
      <c r="D102" s="66"/>
    </row>
    <row r="103" spans="2:4" x14ac:dyDescent="0.25">
      <c r="B103" s="66"/>
      <c r="C103" s="66"/>
      <c r="D103" s="66"/>
    </row>
    <row r="104" spans="2:4" x14ac:dyDescent="0.25">
      <c r="B104" s="66"/>
      <c r="C104" s="66"/>
      <c r="D104" s="66"/>
    </row>
    <row r="105" spans="2:4" x14ac:dyDescent="0.25">
      <c r="B105" s="66"/>
      <c r="C105" s="66"/>
      <c r="D105" s="66"/>
    </row>
    <row r="106" spans="2:4" x14ac:dyDescent="0.25">
      <c r="B106" s="66"/>
      <c r="C106" s="66"/>
      <c r="D106" s="66"/>
    </row>
    <row r="107" spans="2:4" x14ac:dyDescent="0.25">
      <c r="B107" s="66"/>
      <c r="C107" s="66"/>
      <c r="D107" s="66"/>
    </row>
    <row r="108" spans="2:4" x14ac:dyDescent="0.25">
      <c r="B108" s="66"/>
      <c r="C108" s="66"/>
      <c r="D108" s="66"/>
    </row>
    <row r="109" spans="2:4" x14ac:dyDescent="0.25">
      <c r="B109" s="66"/>
      <c r="C109" s="66"/>
      <c r="D109" s="66"/>
    </row>
    <row r="110" spans="2:4" x14ac:dyDescent="0.25">
      <c r="B110" s="66"/>
      <c r="C110" s="66"/>
      <c r="D110" s="66"/>
    </row>
    <row r="111" spans="2:4" x14ac:dyDescent="0.25">
      <c r="B111" s="66"/>
      <c r="C111" s="66"/>
      <c r="D111" s="66"/>
    </row>
    <row r="112" spans="2:4" x14ac:dyDescent="0.25">
      <c r="B112" s="66"/>
      <c r="C112" s="66"/>
      <c r="D112" s="66"/>
    </row>
    <row r="113" spans="1:6" x14ac:dyDescent="0.25">
      <c r="B113" s="66"/>
      <c r="C113" s="66"/>
      <c r="D113" s="66"/>
    </row>
    <row r="114" spans="1:6" x14ac:dyDescent="0.25">
      <c r="B114" s="66"/>
      <c r="C114" s="66"/>
      <c r="D114" s="66"/>
    </row>
    <row r="115" spans="1:6" x14ac:dyDescent="0.25">
      <c r="A115" s="66"/>
      <c r="B115" s="66"/>
      <c r="C115" s="66"/>
      <c r="D115" s="66"/>
    </row>
    <row r="116" spans="1:6" x14ac:dyDescent="0.25">
      <c r="B116" s="66"/>
      <c r="C116" s="66"/>
      <c r="D116" s="66"/>
    </row>
    <row r="117" spans="1:6" x14ac:dyDescent="0.25">
      <c r="B117" s="66"/>
      <c r="C117" s="66"/>
      <c r="D117" s="66"/>
    </row>
    <row r="118" spans="1:6" x14ac:dyDescent="0.25">
      <c r="A118" s="62"/>
      <c r="B118" s="66"/>
      <c r="C118" s="66"/>
      <c r="D118" s="66"/>
    </row>
    <row r="119" spans="1:6" x14ac:dyDescent="0.25">
      <c r="B119" s="66"/>
      <c r="C119" s="66"/>
      <c r="D119" s="66"/>
    </row>
    <row r="121" spans="1:6" x14ac:dyDescent="0.25">
      <c r="A121" s="62"/>
      <c r="B121" s="63"/>
      <c r="C121" s="63"/>
      <c r="D121" s="63"/>
      <c r="E121" s="63"/>
      <c r="F121" s="63"/>
    </row>
    <row r="122" spans="1:6" x14ac:dyDescent="0.25">
      <c r="A122" s="62"/>
      <c r="B122" s="63"/>
      <c r="C122" s="63"/>
      <c r="D122" s="63"/>
      <c r="E122" s="63"/>
      <c r="F122" s="63"/>
    </row>
    <row r="123" spans="1:6" x14ac:dyDescent="0.25">
      <c r="A123" s="62"/>
      <c r="B123" s="62"/>
      <c r="C123" s="62"/>
      <c r="D123" s="62"/>
      <c r="E123" s="62"/>
      <c r="F123" s="62"/>
    </row>
    <row r="125" spans="1:6" x14ac:dyDescent="0.25">
      <c r="B125" s="69"/>
      <c r="C125" s="69"/>
      <c r="D125" s="69"/>
      <c r="E125" s="69"/>
      <c r="F125" s="69"/>
    </row>
    <row r="126" spans="1:6" x14ac:dyDescent="0.25">
      <c r="B126" s="65"/>
      <c r="C126" s="65"/>
      <c r="D126" s="65"/>
      <c r="E126" s="65"/>
      <c r="F126" s="65"/>
    </row>
    <row r="127" spans="1:6" x14ac:dyDescent="0.25">
      <c r="B127" s="69"/>
      <c r="C127" s="69"/>
      <c r="D127" s="69"/>
      <c r="E127" s="69"/>
      <c r="F127" s="69"/>
    </row>
    <row r="128" spans="1:6" x14ac:dyDescent="0.25">
      <c r="B128" s="66"/>
      <c r="C128" s="66"/>
      <c r="D128" s="66"/>
      <c r="E128" s="66"/>
      <c r="F128" s="66"/>
    </row>
    <row r="129" spans="1:6" x14ac:dyDescent="0.25">
      <c r="B129" s="69"/>
      <c r="C129" s="69"/>
      <c r="D129" s="69"/>
      <c r="E129" s="69"/>
      <c r="F129" s="69"/>
    </row>
    <row r="133" spans="1:6" x14ac:dyDescent="0.25">
      <c r="B133" s="65"/>
      <c r="C133" s="65"/>
      <c r="D133" s="65"/>
      <c r="E133" s="65"/>
      <c r="F133" s="65"/>
    </row>
    <row r="134" spans="1:6" x14ac:dyDescent="0.25">
      <c r="A134" s="66"/>
      <c r="B134" s="66"/>
      <c r="C134" s="66"/>
      <c r="D134" s="66"/>
      <c r="E134" s="66"/>
      <c r="F134" s="66"/>
    </row>
    <row r="136" spans="1:6" x14ac:dyDescent="0.25">
      <c r="B136" s="69"/>
      <c r="C136" s="69"/>
      <c r="D136" s="69"/>
      <c r="E136" s="69"/>
      <c r="F136" s="69"/>
    </row>
    <row r="137" spans="1:6" x14ac:dyDescent="0.25">
      <c r="B137" s="69"/>
      <c r="C137" s="69"/>
      <c r="D137" s="69"/>
      <c r="E137" s="69"/>
      <c r="F137" s="69"/>
    </row>
    <row r="139" spans="1:6" x14ac:dyDescent="0.25">
      <c r="B139" s="66"/>
      <c r="C139" s="66"/>
      <c r="D139" s="66"/>
      <c r="E139" s="66"/>
      <c r="F139" s="66"/>
    </row>
    <row r="140" spans="1:6" x14ac:dyDescent="0.25">
      <c r="B140" s="66"/>
      <c r="C140" s="66"/>
      <c r="D140" s="66"/>
      <c r="E140" s="66"/>
      <c r="F140" s="66"/>
    </row>
    <row r="141" spans="1:6" x14ac:dyDescent="0.25">
      <c r="A141" s="62"/>
      <c r="B141" s="63"/>
      <c r="C141" s="63"/>
      <c r="D141" s="63"/>
      <c r="E141" s="63"/>
      <c r="F141" s="63"/>
    </row>
    <row r="144" spans="1:6" x14ac:dyDescent="0.25">
      <c r="B144" s="66"/>
      <c r="C144" s="66"/>
      <c r="D144" s="66"/>
      <c r="E144" s="66"/>
      <c r="F144" s="66"/>
    </row>
    <row r="147" spans="1:6" x14ac:dyDescent="0.25">
      <c r="B147" s="66"/>
      <c r="C147" s="66"/>
      <c r="D147" s="66"/>
      <c r="E147" s="69"/>
      <c r="F147" s="69"/>
    </row>
    <row r="148" spans="1:6" x14ac:dyDescent="0.25">
      <c r="B148" s="66"/>
      <c r="C148" s="66"/>
      <c r="D148" s="66"/>
      <c r="E148" s="66"/>
      <c r="F148" s="66"/>
    </row>
    <row r="152" spans="1:6" x14ac:dyDescent="0.25">
      <c r="B152" s="72"/>
      <c r="C152" s="72"/>
      <c r="D152" s="72"/>
      <c r="E152" s="72"/>
      <c r="F152" s="72"/>
    </row>
    <row r="153" spans="1:6" x14ac:dyDescent="0.25">
      <c r="B153" s="72"/>
      <c r="C153" s="72"/>
      <c r="D153" s="72"/>
      <c r="E153" s="72"/>
      <c r="F153" s="72"/>
    </row>
    <row r="154" spans="1:6" x14ac:dyDescent="0.25">
      <c r="A154" s="62"/>
      <c r="B154" s="63"/>
      <c r="C154" s="63"/>
      <c r="D154" s="63"/>
      <c r="E154" s="63"/>
      <c r="F154" s="63"/>
    </row>
    <row r="155" spans="1:6" x14ac:dyDescent="0.25">
      <c r="A155" s="62"/>
      <c r="B155" s="62"/>
      <c r="C155" s="62"/>
      <c r="D155" s="62"/>
      <c r="E155" s="62"/>
      <c r="F155" s="62"/>
    </row>
    <row r="157" spans="1:6" x14ac:dyDescent="0.25">
      <c r="A157" s="66"/>
      <c r="B157" s="66"/>
      <c r="C157" s="66"/>
      <c r="D157" s="66"/>
      <c r="E157" s="66"/>
      <c r="F157" s="66"/>
    </row>
    <row r="158" spans="1:6" x14ac:dyDescent="0.25">
      <c r="B158" s="69"/>
      <c r="C158" s="69"/>
      <c r="D158" s="69"/>
      <c r="E158" s="69"/>
      <c r="F158" s="69"/>
    </row>
    <row r="159" spans="1:6" x14ac:dyDescent="0.25">
      <c r="B159" s="69"/>
      <c r="C159" s="69"/>
      <c r="D159" s="69"/>
      <c r="E159" s="69"/>
      <c r="F159" s="69"/>
    </row>
    <row r="160" spans="1:6" x14ac:dyDescent="0.25">
      <c r="B160" s="65"/>
      <c r="C160" s="65"/>
      <c r="D160" s="65"/>
      <c r="E160" s="65"/>
      <c r="F160" s="65"/>
    </row>
    <row r="161" spans="2:6" x14ac:dyDescent="0.25">
      <c r="B161" s="66"/>
      <c r="C161" s="66"/>
      <c r="D161" s="66"/>
      <c r="E161" s="66"/>
      <c r="F161" s="66"/>
    </row>
    <row r="165" spans="2:6" x14ac:dyDescent="0.25">
      <c r="B165" s="65"/>
      <c r="C165" s="65"/>
      <c r="D165" s="65"/>
      <c r="E165" s="65"/>
      <c r="F165" s="65"/>
    </row>
    <row r="166" spans="2:6" x14ac:dyDescent="0.25">
      <c r="B166" s="66"/>
      <c r="C166" s="66"/>
      <c r="D166" s="66"/>
      <c r="E166" s="66"/>
      <c r="F166" s="66"/>
    </row>
    <row r="169" spans="2:6" x14ac:dyDescent="0.25">
      <c r="B169" s="72"/>
      <c r="C169" s="72"/>
      <c r="D169" s="72"/>
      <c r="E169" s="72"/>
      <c r="F169" s="72"/>
    </row>
    <row r="170" spans="2:6" x14ac:dyDescent="0.25">
      <c r="B170" s="65"/>
      <c r="C170" s="65"/>
      <c r="D170" s="65"/>
      <c r="E170" s="65"/>
      <c r="F170" s="65"/>
    </row>
    <row r="172" spans="2:6" x14ac:dyDescent="0.25">
      <c r="B172" s="69"/>
      <c r="C172" s="69"/>
      <c r="D172" s="69"/>
      <c r="E172" s="69"/>
      <c r="F172" s="69"/>
    </row>
    <row r="175" spans="2:6" x14ac:dyDescent="0.25">
      <c r="B175" s="69"/>
      <c r="C175" s="69"/>
      <c r="D175" s="69"/>
      <c r="E175" s="69"/>
      <c r="F175" s="69"/>
    </row>
    <row r="179" spans="1:6" x14ac:dyDescent="0.25">
      <c r="B179" s="66"/>
      <c r="C179" s="66"/>
      <c r="D179" s="66"/>
    </row>
    <row r="183" spans="1:6" x14ac:dyDescent="0.25">
      <c r="B183" s="65"/>
      <c r="C183" s="65"/>
      <c r="D183" s="65"/>
      <c r="E183" s="65"/>
      <c r="F183" s="65"/>
    </row>
    <row r="184" spans="1:6" x14ac:dyDescent="0.25">
      <c r="A184" s="62"/>
      <c r="B184" s="63"/>
      <c r="C184" s="63"/>
      <c r="D184" s="63"/>
      <c r="E184" s="63"/>
      <c r="F184" s="63"/>
    </row>
    <row r="185" spans="1:6" x14ac:dyDescent="0.25">
      <c r="A185" s="62"/>
      <c r="B185" s="62"/>
      <c r="C185" s="62"/>
      <c r="D185" s="62"/>
      <c r="E185" s="62"/>
      <c r="F185" s="62"/>
    </row>
    <row r="187" spans="1:6" x14ac:dyDescent="0.25">
      <c r="B187" s="66"/>
      <c r="C187" s="66"/>
      <c r="D187" s="66"/>
      <c r="E187" s="66"/>
      <c r="F187" s="66"/>
    </row>
    <row r="188" spans="1:6" x14ac:dyDescent="0.25">
      <c r="A188" s="66"/>
      <c r="B188" s="66"/>
      <c r="C188" s="66"/>
      <c r="D188" s="66"/>
      <c r="E188" s="66"/>
      <c r="F188" s="66"/>
    </row>
    <row r="189" spans="1:6" x14ac:dyDescent="0.25">
      <c r="B189" s="66"/>
      <c r="C189" s="66"/>
      <c r="D189" s="66"/>
      <c r="E189" s="66"/>
      <c r="F189" s="66"/>
    </row>
    <row r="190" spans="1:6" x14ac:dyDescent="0.25">
      <c r="B190" s="69"/>
      <c r="C190" s="69"/>
      <c r="D190" s="69"/>
      <c r="E190" s="69"/>
      <c r="F190" s="69"/>
    </row>
    <row r="194" spans="1:6" x14ac:dyDescent="0.25">
      <c r="B194" s="69"/>
      <c r="C194" s="69"/>
      <c r="D194" s="69"/>
      <c r="E194" s="69"/>
      <c r="F194" s="69"/>
    </row>
    <row r="195" spans="1:6" x14ac:dyDescent="0.25">
      <c r="B195" s="66"/>
      <c r="C195" s="66"/>
      <c r="D195" s="66"/>
      <c r="E195" s="66"/>
      <c r="F195" s="66"/>
    </row>
    <row r="199" spans="1:6" x14ac:dyDescent="0.25">
      <c r="A199" s="66"/>
      <c r="B199" s="66"/>
      <c r="C199" s="66"/>
      <c r="D199" s="66"/>
      <c r="E199" s="66"/>
      <c r="F199" s="66"/>
    </row>
    <row r="200" spans="1:6" x14ac:dyDescent="0.25">
      <c r="B200" s="71"/>
      <c r="C200" s="71"/>
      <c r="D200" s="71"/>
      <c r="E200" s="71"/>
      <c r="F200" s="71"/>
    </row>
    <row r="201" spans="1:6" x14ac:dyDescent="0.25">
      <c r="B201" s="66"/>
      <c r="C201" s="66"/>
      <c r="D201" s="66"/>
      <c r="E201" s="66"/>
      <c r="F201" s="66"/>
    </row>
    <row r="204" spans="1:6" x14ac:dyDescent="0.25">
      <c r="B204" s="69"/>
      <c r="C204" s="69"/>
      <c r="D204" s="69"/>
      <c r="E204" s="69"/>
      <c r="F204" s="69"/>
    </row>
    <row r="207" spans="1:6" x14ac:dyDescent="0.25">
      <c r="B207" s="69"/>
      <c r="C207" s="69"/>
      <c r="D207" s="69"/>
      <c r="E207" s="69"/>
      <c r="F207" s="69"/>
    </row>
    <row r="213" spans="1:6" x14ac:dyDescent="0.25">
      <c r="A213" s="62"/>
      <c r="B213" s="62"/>
      <c r="C213" s="62"/>
      <c r="D213" s="62"/>
      <c r="E213" s="62"/>
      <c r="F213" s="62"/>
    </row>
    <row r="217" spans="1:6" x14ac:dyDescent="0.25">
      <c r="B217" s="66"/>
      <c r="C217" s="66"/>
      <c r="D217" s="66"/>
      <c r="E217" s="66"/>
      <c r="F217" s="66"/>
    </row>
    <row r="219" spans="1:6" x14ac:dyDescent="0.25">
      <c r="B219" s="69"/>
      <c r="C219" s="69"/>
      <c r="D219" s="69"/>
      <c r="E219" s="69"/>
      <c r="F219" s="69"/>
    </row>
    <row r="220" spans="1:6" x14ac:dyDescent="0.25">
      <c r="B220" s="65"/>
      <c r="C220" s="65"/>
      <c r="D220" s="65"/>
      <c r="E220" s="65"/>
      <c r="F220" s="65"/>
    </row>
    <row r="224" spans="1:6" x14ac:dyDescent="0.25">
      <c r="B224" s="66"/>
      <c r="C224" s="66"/>
      <c r="D224" s="66"/>
      <c r="E224" s="66"/>
      <c r="F224" s="66"/>
    </row>
    <row r="225" spans="1:6" x14ac:dyDescent="0.25">
      <c r="B225" s="69"/>
      <c r="C225" s="69"/>
      <c r="D225" s="69"/>
      <c r="E225" s="69"/>
      <c r="F225" s="69"/>
    </row>
    <row r="233" spans="1:6" x14ac:dyDescent="0.25">
      <c r="B233" s="69"/>
      <c r="C233" s="69"/>
      <c r="D233" s="69"/>
      <c r="E233" s="69"/>
      <c r="F233" s="69"/>
    </row>
    <row r="239" spans="1:6" x14ac:dyDescent="0.25">
      <c r="B239" s="66"/>
      <c r="C239" s="66"/>
      <c r="D239" s="66"/>
      <c r="E239" s="66"/>
      <c r="F239" s="66"/>
    </row>
    <row r="240" spans="1:6" x14ac:dyDescent="0.25">
      <c r="A240" s="62"/>
      <c r="B240" s="63"/>
      <c r="C240" s="63"/>
      <c r="D240" s="63"/>
      <c r="E240" s="63"/>
      <c r="F240" s="63"/>
    </row>
    <row r="242" spans="1:6" x14ac:dyDescent="0.25">
      <c r="B242" s="69"/>
      <c r="C242" s="69"/>
      <c r="D242" s="69"/>
      <c r="E242" s="69"/>
      <c r="F242" s="69"/>
    </row>
    <row r="243" spans="1:6" x14ac:dyDescent="0.25">
      <c r="B243" s="66"/>
      <c r="C243" s="66"/>
      <c r="D243" s="66"/>
      <c r="E243" s="66"/>
      <c r="F243" s="66"/>
    </row>
    <row r="245" spans="1:6" x14ac:dyDescent="0.25">
      <c r="B245" s="69"/>
      <c r="C245" s="69"/>
      <c r="D245" s="69"/>
      <c r="E245" s="69"/>
      <c r="F245" s="69"/>
    </row>
    <row r="249" spans="1:6" x14ac:dyDescent="0.25">
      <c r="A249" s="66"/>
      <c r="B249" s="66"/>
      <c r="C249" s="66"/>
      <c r="D249" s="66"/>
      <c r="E249" s="66"/>
      <c r="F249" s="66"/>
    </row>
    <row r="257" spans="1:6" x14ac:dyDescent="0.25">
      <c r="B257" s="66"/>
      <c r="C257" s="66"/>
      <c r="D257" s="66"/>
      <c r="E257" s="66"/>
      <c r="F257" s="66"/>
    </row>
    <row r="258" spans="1:6" x14ac:dyDescent="0.25">
      <c r="B258" s="65"/>
      <c r="C258" s="65"/>
      <c r="D258" s="65"/>
      <c r="E258" s="65"/>
      <c r="F258" s="65"/>
    </row>
    <row r="263" spans="1:6" x14ac:dyDescent="0.25">
      <c r="B263" s="66"/>
      <c r="C263" s="66"/>
      <c r="D263" s="66"/>
      <c r="E263" s="66"/>
      <c r="F263" s="66"/>
    </row>
    <row r="264" spans="1:6" x14ac:dyDescent="0.25">
      <c r="B264" s="66"/>
      <c r="C264" s="66"/>
      <c r="D264" s="66"/>
      <c r="E264" s="66"/>
      <c r="F264" s="66"/>
    </row>
    <row r="265" spans="1:6" x14ac:dyDescent="0.25">
      <c r="A265" s="62"/>
      <c r="B265" s="63"/>
      <c r="C265" s="63"/>
      <c r="D265" s="63"/>
      <c r="E265" s="63"/>
      <c r="F265" s="63"/>
    </row>
    <row r="268" spans="1:6" x14ac:dyDescent="0.25">
      <c r="B268" s="66"/>
      <c r="C268" s="66"/>
      <c r="D268" s="66"/>
      <c r="E268" s="66"/>
      <c r="F268" s="66"/>
    </row>
    <row r="270" spans="1:6" x14ac:dyDescent="0.25">
      <c r="A270" s="66"/>
      <c r="B270" s="66"/>
      <c r="C270" s="66"/>
      <c r="D270" s="66"/>
      <c r="E270" s="66"/>
      <c r="F270" s="66"/>
    </row>
    <row r="273" spans="1:6" x14ac:dyDescent="0.25">
      <c r="B273" s="68"/>
      <c r="C273" s="68"/>
      <c r="D273" s="68"/>
      <c r="E273" s="68"/>
      <c r="F273" s="68"/>
    </row>
    <row r="276" spans="1:6" x14ac:dyDescent="0.25">
      <c r="B276" s="69"/>
      <c r="C276" s="69"/>
      <c r="D276" s="69"/>
      <c r="E276" s="69"/>
      <c r="F276" s="69"/>
    </row>
    <row r="277" spans="1:6" x14ac:dyDescent="0.25">
      <c r="B277" s="69"/>
      <c r="C277" s="69"/>
      <c r="D277" s="69"/>
      <c r="E277" s="69"/>
      <c r="F277" s="69"/>
    </row>
    <row r="278" spans="1:6" x14ac:dyDescent="0.25">
      <c r="B278" s="65"/>
      <c r="C278" s="65"/>
      <c r="D278" s="65"/>
      <c r="E278" s="65"/>
      <c r="F278" s="65"/>
    </row>
    <row r="279" spans="1:6" x14ac:dyDescent="0.25">
      <c r="B279" s="66"/>
      <c r="C279" s="66"/>
      <c r="D279" s="66"/>
      <c r="E279" s="69"/>
      <c r="F279" s="69"/>
    </row>
    <row r="280" spans="1:6" x14ac:dyDescent="0.25">
      <c r="B280" s="65"/>
      <c r="C280" s="65"/>
      <c r="D280" s="65"/>
      <c r="E280" s="65"/>
      <c r="F280" s="65"/>
    </row>
    <row r="282" spans="1:6" x14ac:dyDescent="0.25">
      <c r="B282" s="66"/>
      <c r="C282" s="66"/>
      <c r="D282" s="66"/>
      <c r="E282" s="66"/>
      <c r="F282" s="66"/>
    </row>
    <row r="285" spans="1:6" x14ac:dyDescent="0.25">
      <c r="B285" s="65"/>
      <c r="C285" s="65"/>
      <c r="D285" s="65"/>
      <c r="E285" s="65"/>
      <c r="F285" s="65"/>
    </row>
    <row r="286" spans="1:6" x14ac:dyDescent="0.25">
      <c r="A286" s="66"/>
      <c r="B286" s="66"/>
      <c r="C286" s="66"/>
      <c r="D286" s="66"/>
      <c r="E286" s="66"/>
      <c r="F286" s="66"/>
    </row>
    <row r="287" spans="1:6" x14ac:dyDescent="0.25">
      <c r="A287" s="66"/>
      <c r="B287" s="66"/>
      <c r="C287" s="66"/>
      <c r="D287" s="66"/>
      <c r="E287" s="66"/>
      <c r="F287" s="66"/>
    </row>
    <row r="288" spans="1:6" x14ac:dyDescent="0.25">
      <c r="A288" s="62"/>
      <c r="B288" s="63"/>
      <c r="C288" s="63"/>
      <c r="D288" s="63"/>
      <c r="E288" s="63"/>
      <c r="F288" s="63"/>
    </row>
    <row r="290" spans="1:6" x14ac:dyDescent="0.25">
      <c r="B290" s="69"/>
      <c r="C290" s="69"/>
      <c r="D290" s="69"/>
      <c r="E290" s="69"/>
      <c r="F290" s="69"/>
    </row>
    <row r="294" spans="1:6" x14ac:dyDescent="0.25">
      <c r="B294" s="66"/>
      <c r="C294" s="66"/>
      <c r="D294" s="66"/>
      <c r="E294" s="66"/>
      <c r="F294" s="66"/>
    </row>
    <row r="297" spans="1:6" x14ac:dyDescent="0.25">
      <c r="B297" s="65"/>
      <c r="C297" s="65"/>
      <c r="D297" s="65"/>
      <c r="E297" s="65"/>
      <c r="F297" s="65"/>
    </row>
    <row r="298" spans="1:6" x14ac:dyDescent="0.25">
      <c r="A298" s="66"/>
      <c r="B298" s="66"/>
      <c r="C298" s="66"/>
      <c r="D298" s="66"/>
      <c r="E298" s="66"/>
      <c r="F298" s="66"/>
    </row>
    <row r="305" spans="1:6" x14ac:dyDescent="0.25">
      <c r="B305" s="69"/>
      <c r="C305" s="69"/>
      <c r="D305" s="69"/>
      <c r="E305" s="69"/>
      <c r="F305" s="69"/>
    </row>
    <row r="306" spans="1:6" x14ac:dyDescent="0.25">
      <c r="B306" s="66"/>
      <c r="C306" s="66"/>
      <c r="D306" s="66"/>
      <c r="E306" s="66"/>
      <c r="F306" s="66"/>
    </row>
    <row r="307" spans="1:6" x14ac:dyDescent="0.25">
      <c r="A307" s="62"/>
      <c r="B307" s="70"/>
      <c r="C307" s="70"/>
      <c r="D307" s="70"/>
      <c r="E307" s="70"/>
      <c r="F307" s="70"/>
    </row>
    <row r="308" spans="1:6" x14ac:dyDescent="0.25">
      <c r="A308" s="62"/>
      <c r="B308" s="63"/>
      <c r="C308" s="63"/>
      <c r="D308" s="63"/>
      <c r="E308" s="63"/>
      <c r="F308" s="63"/>
    </row>
    <row r="309" spans="1:6" x14ac:dyDescent="0.25">
      <c r="A309" s="62"/>
      <c r="B309" s="70"/>
      <c r="C309" s="70"/>
      <c r="D309" s="70"/>
      <c r="E309" s="70"/>
      <c r="F309" s="70"/>
    </row>
    <row r="311" spans="1:6" x14ac:dyDescent="0.25">
      <c r="B311" s="66"/>
      <c r="C311" s="66"/>
      <c r="D311" s="66"/>
      <c r="E311" s="66"/>
      <c r="F311" s="66"/>
    </row>
    <row r="312" spans="1:6" x14ac:dyDescent="0.25">
      <c r="A312" s="66"/>
      <c r="B312" s="66"/>
      <c r="C312" s="66"/>
      <c r="D312" s="66"/>
      <c r="E312" s="66"/>
      <c r="F312" s="66"/>
    </row>
    <row r="317" spans="1:6" x14ac:dyDescent="0.25">
      <c r="B317" s="69"/>
      <c r="C317" s="69"/>
      <c r="D317" s="69"/>
      <c r="E317" s="69"/>
      <c r="F317" s="69"/>
    </row>
    <row r="319" spans="1:6" x14ac:dyDescent="0.25">
      <c r="B319" s="66"/>
      <c r="C319" s="66"/>
      <c r="D319" s="66"/>
      <c r="E319" s="66"/>
      <c r="F319" s="66"/>
    </row>
    <row r="320" spans="1:6" x14ac:dyDescent="0.25">
      <c r="B320" s="69"/>
      <c r="C320" s="69"/>
      <c r="D320" s="69"/>
      <c r="E320" s="69"/>
      <c r="F320" s="69"/>
    </row>
    <row r="325" spans="2:6" x14ac:dyDescent="0.25">
      <c r="B325" s="66"/>
      <c r="C325" s="66"/>
      <c r="D325" s="66"/>
      <c r="E325" s="66"/>
      <c r="F325" s="66"/>
    </row>
    <row r="326" spans="2:6" x14ac:dyDescent="0.25">
      <c r="B326" s="69"/>
      <c r="C326" s="69"/>
      <c r="D326" s="69"/>
      <c r="E326" s="69"/>
      <c r="F326" s="69"/>
    </row>
    <row r="332" spans="2:6" x14ac:dyDescent="0.25">
      <c r="B332" s="72"/>
      <c r="C332" s="72"/>
      <c r="D332" s="72"/>
      <c r="E332" s="72"/>
      <c r="F332" s="72"/>
    </row>
    <row r="334" spans="2:6" x14ac:dyDescent="0.25">
      <c r="B334" s="69"/>
      <c r="C334" s="69"/>
      <c r="D334" s="69"/>
      <c r="E334" s="69"/>
      <c r="F334" s="69"/>
    </row>
    <row r="336" spans="2:6" x14ac:dyDescent="0.25">
      <c r="B336" s="69"/>
      <c r="C336" s="69"/>
      <c r="D336" s="69"/>
      <c r="E336" s="69"/>
      <c r="F336" s="69"/>
    </row>
    <row r="337" spans="1:6" x14ac:dyDescent="0.25">
      <c r="B337" s="65"/>
      <c r="C337" s="65"/>
      <c r="D337" s="65"/>
      <c r="E337" s="65"/>
      <c r="F337" s="65"/>
    </row>
    <row r="339" spans="1:6" x14ac:dyDescent="0.25">
      <c r="A339" s="66"/>
      <c r="B339" s="66"/>
      <c r="C339" s="66"/>
      <c r="D339" s="66"/>
      <c r="E339" s="66"/>
      <c r="F339" s="66"/>
    </row>
    <row r="343" spans="1:6" x14ac:dyDescent="0.25">
      <c r="B343" s="69"/>
      <c r="C343" s="69"/>
      <c r="D343" s="69"/>
      <c r="E343" s="69"/>
      <c r="F343" s="69"/>
    </row>
    <row r="346" spans="1:6" x14ac:dyDescent="0.25">
      <c r="B346" s="69"/>
      <c r="C346" s="69"/>
      <c r="D346" s="69"/>
      <c r="E346" s="69"/>
      <c r="F346" s="69"/>
    </row>
    <row r="348" spans="1:6" x14ac:dyDescent="0.25">
      <c r="B348" s="65"/>
      <c r="C348" s="65"/>
      <c r="D348" s="65"/>
      <c r="E348" s="65"/>
      <c r="F348" s="65"/>
    </row>
    <row r="349" spans="1:6" x14ac:dyDescent="0.25">
      <c r="B349" s="66"/>
      <c r="C349" s="66"/>
      <c r="D349" s="66"/>
      <c r="E349" s="66"/>
      <c r="F349" s="66"/>
    </row>
    <row r="351" spans="1:6" x14ac:dyDescent="0.25">
      <c r="B351" s="66"/>
      <c r="C351" s="66"/>
      <c r="D351" s="66"/>
      <c r="E351" s="66"/>
      <c r="F351" s="66"/>
    </row>
    <row r="353" spans="2:6" x14ac:dyDescent="0.25">
      <c r="B353" s="69"/>
      <c r="C353" s="69"/>
      <c r="D353" s="69"/>
      <c r="E353" s="69"/>
      <c r="F353" s="69"/>
    </row>
    <row r="355" spans="2:6" x14ac:dyDescent="0.25">
      <c r="B355" s="66"/>
      <c r="C355" s="66"/>
      <c r="D355" s="66"/>
      <c r="E355" s="66"/>
      <c r="F355" s="66"/>
    </row>
    <row r="358" spans="2:6" x14ac:dyDescent="0.25">
      <c r="B358" s="66"/>
      <c r="C358" s="66"/>
      <c r="D358" s="66"/>
      <c r="E358" s="66"/>
      <c r="F358" s="66"/>
    </row>
    <row r="359" spans="2:6" x14ac:dyDescent="0.25">
      <c r="B359" s="69"/>
      <c r="C359" s="69"/>
      <c r="D359" s="69"/>
      <c r="E359" s="69"/>
      <c r="F359" s="69"/>
    </row>
    <row r="360" spans="2:6" x14ac:dyDescent="0.25">
      <c r="B360" s="65"/>
      <c r="C360" s="65"/>
      <c r="D360" s="65"/>
      <c r="E360" s="65"/>
      <c r="F360" s="65"/>
    </row>
    <row r="362" spans="2:6" x14ac:dyDescent="0.25">
      <c r="B362" s="66"/>
      <c r="C362" s="66"/>
      <c r="D362" s="66"/>
      <c r="E362" s="66"/>
      <c r="F362" s="66"/>
    </row>
    <row r="363" spans="2:6" x14ac:dyDescent="0.25">
      <c r="B363" s="65"/>
      <c r="C363" s="65"/>
      <c r="D363" s="65"/>
      <c r="E363" s="65"/>
      <c r="F363" s="65"/>
    </row>
    <row r="366" spans="2:6" x14ac:dyDescent="0.25">
      <c r="B366" s="72"/>
      <c r="C366" s="72"/>
      <c r="D366" s="72"/>
      <c r="E366" s="72"/>
      <c r="F366" s="72"/>
    </row>
    <row r="369" spans="2:6" x14ac:dyDescent="0.25">
      <c r="B369" s="69"/>
      <c r="C369" s="69"/>
      <c r="D369" s="69"/>
      <c r="E369" s="69"/>
      <c r="F369" s="69"/>
    </row>
    <row r="372" spans="2:6" x14ac:dyDescent="0.25">
      <c r="B372" s="66"/>
      <c r="C372" s="66"/>
      <c r="D372" s="66"/>
      <c r="E372" s="66"/>
      <c r="F372" s="66"/>
    </row>
    <row r="373" spans="2:6" x14ac:dyDescent="0.25">
      <c r="B373" s="65"/>
      <c r="C373" s="65"/>
      <c r="D373" s="65"/>
      <c r="E373" s="65"/>
      <c r="F373" s="65"/>
    </row>
    <row r="375" spans="2:6" x14ac:dyDescent="0.25">
      <c r="B375" s="65"/>
      <c r="C375" s="65"/>
      <c r="D375" s="65"/>
      <c r="E375" s="65"/>
      <c r="F375" s="65"/>
    </row>
    <row r="376" spans="2:6" x14ac:dyDescent="0.25">
      <c r="B376" s="65"/>
      <c r="C376" s="65"/>
      <c r="D376" s="65"/>
      <c r="E376" s="65"/>
      <c r="F376" s="65"/>
    </row>
    <row r="377" spans="2:6" x14ac:dyDescent="0.25">
      <c r="B377" s="65"/>
      <c r="C377" s="65"/>
      <c r="D377" s="65"/>
      <c r="E377" s="65"/>
      <c r="F377" s="65"/>
    </row>
    <row r="378" spans="2:6" x14ac:dyDescent="0.25">
      <c r="B378" s="65"/>
      <c r="C378" s="65"/>
      <c r="D378" s="65"/>
      <c r="E378" s="65"/>
      <c r="F378" s="65"/>
    </row>
    <row r="379" spans="2:6" x14ac:dyDescent="0.25">
      <c r="B379" s="65"/>
      <c r="C379" s="65"/>
      <c r="D379" s="65"/>
      <c r="E379" s="65"/>
      <c r="F379" s="65"/>
    </row>
    <row r="380" spans="2:6" x14ac:dyDescent="0.25">
      <c r="B380" s="65"/>
      <c r="C380" s="65"/>
      <c r="D380" s="65"/>
      <c r="E380" s="65"/>
      <c r="F380" s="65"/>
    </row>
    <row r="381" spans="2:6" x14ac:dyDescent="0.25">
      <c r="B381" s="65"/>
      <c r="C381" s="65"/>
      <c r="D381" s="65"/>
      <c r="E381" s="65"/>
      <c r="F381" s="65"/>
    </row>
    <row r="382" spans="2:6" x14ac:dyDescent="0.25">
      <c r="B382" s="65"/>
      <c r="C382" s="65"/>
      <c r="D382" s="65"/>
      <c r="E382" s="65"/>
      <c r="F382" s="65"/>
    </row>
    <row r="383" spans="2:6" x14ac:dyDescent="0.25">
      <c r="B383" s="65"/>
      <c r="C383" s="65"/>
      <c r="D383" s="65"/>
      <c r="E383" s="65"/>
      <c r="F383" s="65"/>
    </row>
    <row r="384" spans="2:6" x14ac:dyDescent="0.25">
      <c r="B384" s="65"/>
      <c r="C384" s="65"/>
      <c r="D384" s="65"/>
      <c r="E384" s="65"/>
      <c r="F384" s="65"/>
    </row>
    <row r="385" spans="2:6" x14ac:dyDescent="0.25">
      <c r="B385" s="65"/>
      <c r="C385" s="65"/>
      <c r="D385" s="65"/>
      <c r="E385" s="65"/>
      <c r="F385" s="65"/>
    </row>
    <row r="386" spans="2:6" x14ac:dyDescent="0.25">
      <c r="B386" s="65"/>
      <c r="C386" s="65"/>
      <c r="D386" s="65"/>
      <c r="E386" s="65"/>
      <c r="F386" s="65"/>
    </row>
    <row r="387" spans="2:6" x14ac:dyDescent="0.25">
      <c r="B387" s="65"/>
      <c r="C387" s="65"/>
      <c r="D387" s="65"/>
      <c r="E387" s="65"/>
      <c r="F387" s="65"/>
    </row>
    <row r="388" spans="2:6" x14ac:dyDescent="0.25">
      <c r="B388" s="65"/>
      <c r="C388" s="65"/>
      <c r="D388" s="65"/>
      <c r="E388" s="65"/>
      <c r="F388" s="65"/>
    </row>
    <row r="389" spans="2:6" x14ac:dyDescent="0.25">
      <c r="B389" s="65"/>
      <c r="C389" s="65"/>
      <c r="D389" s="65"/>
      <c r="E389" s="65"/>
      <c r="F389" s="65"/>
    </row>
    <row r="390" spans="2:6" x14ac:dyDescent="0.25">
      <c r="B390" s="65"/>
      <c r="C390" s="65"/>
      <c r="D390" s="65"/>
      <c r="E390" s="65"/>
      <c r="F390" s="65"/>
    </row>
    <row r="391" spans="2:6" x14ac:dyDescent="0.25">
      <c r="B391" s="65"/>
      <c r="C391" s="65"/>
      <c r="D391" s="65"/>
      <c r="E391" s="65"/>
      <c r="F391" s="65"/>
    </row>
    <row r="392" spans="2:6" x14ac:dyDescent="0.25">
      <c r="B392" s="65"/>
      <c r="C392" s="65"/>
      <c r="D392" s="65"/>
      <c r="E392" s="65"/>
      <c r="F392" s="65"/>
    </row>
    <row r="393" spans="2:6" x14ac:dyDescent="0.25">
      <c r="B393" s="65"/>
      <c r="C393" s="65"/>
      <c r="D393" s="65"/>
      <c r="E393" s="65"/>
      <c r="F393" s="65"/>
    </row>
    <row r="394" spans="2:6" x14ac:dyDescent="0.25">
      <c r="B394" s="72"/>
      <c r="C394" s="72"/>
      <c r="D394" s="72"/>
      <c r="E394" s="72"/>
      <c r="F394" s="72"/>
    </row>
    <row r="397" spans="2:6" x14ac:dyDescent="0.25">
      <c r="B397" s="69"/>
      <c r="C397" s="69"/>
      <c r="D397" s="69"/>
      <c r="E397" s="69"/>
      <c r="F397" s="69"/>
    </row>
    <row r="398" spans="2:6" x14ac:dyDescent="0.25">
      <c r="B398" s="69"/>
      <c r="C398" s="69"/>
      <c r="D398" s="69"/>
      <c r="E398" s="69"/>
      <c r="F398" s="69"/>
    </row>
    <row r="399" spans="2:6" x14ac:dyDescent="0.25">
      <c r="B399" s="69"/>
      <c r="C399" s="69"/>
      <c r="D399" s="69"/>
      <c r="E399" s="69"/>
      <c r="F399" s="69"/>
    </row>
    <row r="400" spans="2:6" x14ac:dyDescent="0.25">
      <c r="B400" s="69"/>
      <c r="C400" s="69"/>
      <c r="D400" s="69"/>
      <c r="E400" s="69"/>
      <c r="F400" s="69"/>
    </row>
    <row r="401" spans="2:6" x14ac:dyDescent="0.25">
      <c r="B401" s="69"/>
      <c r="C401" s="69"/>
      <c r="D401" s="69"/>
      <c r="E401" s="69"/>
      <c r="F401" s="69"/>
    </row>
    <row r="402" spans="2:6" x14ac:dyDescent="0.25">
      <c r="B402" s="69"/>
      <c r="C402" s="69"/>
      <c r="D402" s="69"/>
      <c r="E402" s="69"/>
      <c r="F402" s="69"/>
    </row>
    <row r="403" spans="2:6" x14ac:dyDescent="0.25">
      <c r="B403" s="69"/>
      <c r="C403" s="69"/>
      <c r="D403" s="69"/>
      <c r="E403" s="69"/>
      <c r="F403" s="69"/>
    </row>
    <row r="404" spans="2:6" x14ac:dyDescent="0.25">
      <c r="B404" s="69"/>
      <c r="C404" s="69"/>
      <c r="D404" s="69"/>
      <c r="E404" s="69"/>
      <c r="F404" s="69"/>
    </row>
    <row r="405" spans="2:6" x14ac:dyDescent="0.25">
      <c r="B405" s="69"/>
      <c r="C405" s="69"/>
      <c r="D405" s="69"/>
      <c r="E405" s="69"/>
      <c r="F405" s="69"/>
    </row>
    <row r="406" spans="2:6" x14ac:dyDescent="0.25">
      <c r="B406" s="69"/>
      <c r="C406" s="69"/>
      <c r="D406" s="69"/>
      <c r="E406" s="69"/>
      <c r="F406" s="69"/>
    </row>
    <row r="407" spans="2:6" x14ac:dyDescent="0.25">
      <c r="B407" s="69"/>
      <c r="C407" s="69"/>
      <c r="D407" s="69"/>
      <c r="E407" s="69"/>
      <c r="F407" s="69"/>
    </row>
    <row r="408" spans="2:6" x14ac:dyDescent="0.25">
      <c r="B408" s="69"/>
      <c r="C408" s="69"/>
      <c r="D408" s="69"/>
      <c r="E408" s="69"/>
      <c r="F408" s="69"/>
    </row>
    <row r="409" spans="2:6" x14ac:dyDescent="0.25">
      <c r="B409" s="69"/>
      <c r="C409" s="69"/>
      <c r="D409" s="69"/>
      <c r="E409" s="69"/>
      <c r="F409" s="69"/>
    </row>
    <row r="410" spans="2:6" x14ac:dyDescent="0.25">
      <c r="B410" s="69"/>
      <c r="C410" s="69"/>
      <c r="D410" s="69"/>
      <c r="E410" s="69"/>
      <c r="F410" s="69"/>
    </row>
    <row r="415" spans="2:6" x14ac:dyDescent="0.25">
      <c r="B415" s="66"/>
      <c r="C415" s="66"/>
      <c r="D415" s="66"/>
      <c r="E415" s="66"/>
      <c r="F415" s="66"/>
    </row>
    <row r="420" spans="1:6" x14ac:dyDescent="0.25">
      <c r="B420" s="66"/>
      <c r="C420" s="66"/>
      <c r="D420" s="66"/>
      <c r="E420" s="66"/>
      <c r="F420" s="66"/>
    </row>
    <row r="421" spans="1:6" x14ac:dyDescent="0.25">
      <c r="B421" s="66"/>
      <c r="C421" s="66"/>
      <c r="D421" s="66"/>
      <c r="E421" s="66"/>
      <c r="F421" s="66"/>
    </row>
    <row r="422" spans="1:6" x14ac:dyDescent="0.25">
      <c r="A422" s="66"/>
      <c r="B422" s="66"/>
      <c r="C422" s="66"/>
      <c r="D422" s="66"/>
      <c r="E422" s="66"/>
      <c r="F422" s="66"/>
    </row>
    <row r="424" spans="1:6" x14ac:dyDescent="0.25">
      <c r="B424" s="66"/>
      <c r="C424" s="66"/>
      <c r="D424" s="66"/>
      <c r="E424" s="66"/>
      <c r="F424" s="66"/>
    </row>
    <row r="425" spans="1:6" x14ac:dyDescent="0.25">
      <c r="A425" s="66"/>
      <c r="B425" s="66"/>
      <c r="C425" s="66"/>
      <c r="D425" s="66"/>
      <c r="E425" s="66"/>
      <c r="F425" s="66"/>
    </row>
    <row r="427" spans="1:6" x14ac:dyDescent="0.25">
      <c r="B427" s="66"/>
      <c r="C427" s="66"/>
      <c r="D427" s="66"/>
      <c r="E427" s="66"/>
      <c r="F427" s="66"/>
    </row>
    <row r="430" spans="1:6" x14ac:dyDescent="0.25">
      <c r="A430" s="66"/>
      <c r="B430" s="66"/>
      <c r="C430" s="66"/>
      <c r="D430" s="66"/>
      <c r="E430" s="66"/>
      <c r="F430" s="66"/>
    </row>
    <row r="431" spans="1:6" x14ac:dyDescent="0.25">
      <c r="A431" s="66"/>
      <c r="B431" s="66"/>
      <c r="C431" s="66"/>
      <c r="D431" s="66"/>
      <c r="E431" s="66"/>
      <c r="F431" s="66"/>
    </row>
    <row r="432" spans="1:6" x14ac:dyDescent="0.25">
      <c r="A432" s="66"/>
      <c r="B432" s="66"/>
      <c r="C432" s="66"/>
      <c r="D432" s="66"/>
      <c r="E432" s="66"/>
      <c r="F432" s="66"/>
    </row>
    <row r="433" spans="1:6" x14ac:dyDescent="0.25">
      <c r="A433" s="66"/>
      <c r="B433" s="66"/>
      <c r="C433" s="66"/>
      <c r="D433" s="66"/>
      <c r="E433" s="66"/>
      <c r="F433" s="66"/>
    </row>
    <row r="434" spans="1:6" x14ac:dyDescent="0.25">
      <c r="A434" s="66"/>
      <c r="B434" s="66"/>
      <c r="C434" s="66"/>
      <c r="D434" s="66"/>
      <c r="E434" s="66"/>
      <c r="F434" s="66"/>
    </row>
    <row r="435" spans="1:6" x14ac:dyDescent="0.25">
      <c r="A435" s="66"/>
      <c r="B435" s="66"/>
      <c r="C435" s="66"/>
      <c r="D435" s="66"/>
      <c r="E435" s="66"/>
      <c r="F435" s="66"/>
    </row>
    <row r="436" spans="1:6" x14ac:dyDescent="0.25">
      <c r="A436" s="66"/>
      <c r="B436" s="66"/>
      <c r="C436" s="66"/>
      <c r="D436" s="66"/>
      <c r="E436" s="66"/>
      <c r="F436" s="66"/>
    </row>
    <row r="437" spans="1:6" x14ac:dyDescent="0.25">
      <c r="A437" s="66"/>
      <c r="B437" s="66"/>
      <c r="C437" s="66"/>
      <c r="D437" s="66"/>
      <c r="E437" s="66"/>
      <c r="F437" s="66"/>
    </row>
    <row r="438" spans="1:6" x14ac:dyDescent="0.25">
      <c r="A438" s="66"/>
      <c r="B438" s="66"/>
      <c r="C438" s="66"/>
      <c r="D438" s="66"/>
      <c r="E438" s="66"/>
      <c r="F438" s="66"/>
    </row>
    <row r="439" spans="1:6" x14ac:dyDescent="0.25">
      <c r="A439" s="66"/>
      <c r="B439" s="66"/>
      <c r="C439" s="66"/>
      <c r="D439" s="66"/>
      <c r="E439" s="66"/>
      <c r="F439" s="66"/>
    </row>
    <row r="440" spans="1:6" x14ac:dyDescent="0.25">
      <c r="B440" s="66"/>
      <c r="C440" s="66"/>
      <c r="D440" s="66"/>
      <c r="E440" s="66"/>
      <c r="F440" s="66"/>
    </row>
    <row r="441" spans="1:6" x14ac:dyDescent="0.25">
      <c r="B441" s="66"/>
      <c r="C441" s="66"/>
      <c r="D441" s="66"/>
      <c r="E441" s="66"/>
      <c r="F441" s="66"/>
    </row>
    <row r="442" spans="1:6" x14ac:dyDescent="0.25">
      <c r="B442" s="66"/>
      <c r="C442" s="66"/>
      <c r="D442" s="66"/>
      <c r="E442" s="66"/>
      <c r="F442" s="66"/>
    </row>
    <row r="443" spans="1:6" x14ac:dyDescent="0.25">
      <c r="B443" s="66"/>
      <c r="C443" s="66"/>
      <c r="D443" s="66"/>
      <c r="E443" s="66"/>
      <c r="F443" s="66"/>
    </row>
    <row r="444" spans="1:6" x14ac:dyDescent="0.25">
      <c r="B444" s="66"/>
      <c r="C444" s="66"/>
      <c r="D444" s="66"/>
      <c r="E444" s="66"/>
      <c r="F444" s="66"/>
    </row>
    <row r="445" spans="1:6" x14ac:dyDescent="0.25">
      <c r="B445" s="68"/>
      <c r="C445" s="68"/>
      <c r="D445" s="68"/>
      <c r="E445" s="68"/>
      <c r="F445" s="68"/>
    </row>
    <row r="446" spans="1:6" x14ac:dyDescent="0.25">
      <c r="B446" s="66"/>
      <c r="C446" s="66"/>
      <c r="D446" s="66"/>
      <c r="E446" s="66"/>
      <c r="F446" s="66"/>
    </row>
    <row r="447" spans="1:6" x14ac:dyDescent="0.25">
      <c r="B447" s="66"/>
      <c r="C447" s="66"/>
      <c r="D447" s="66"/>
      <c r="E447" s="66"/>
      <c r="F447" s="66"/>
    </row>
    <row r="448" spans="1:6" x14ac:dyDescent="0.25">
      <c r="B448" s="66"/>
      <c r="C448" s="66"/>
      <c r="D448" s="66"/>
      <c r="E448" s="66"/>
      <c r="F448" s="66"/>
    </row>
    <row r="449" spans="2:6" x14ac:dyDescent="0.25">
      <c r="B449" s="66"/>
      <c r="C449" s="66"/>
      <c r="D449" s="66"/>
      <c r="E449" s="66"/>
      <c r="F449" s="66"/>
    </row>
    <row r="450" spans="2:6" x14ac:dyDescent="0.25">
      <c r="B450" s="66"/>
      <c r="C450" s="66"/>
      <c r="D450" s="66"/>
      <c r="E450" s="66"/>
      <c r="F450" s="66"/>
    </row>
    <row r="451" spans="2:6" x14ac:dyDescent="0.25">
      <c r="B451" s="66"/>
      <c r="C451" s="66"/>
      <c r="D451" s="66"/>
      <c r="E451" s="66"/>
      <c r="F451" s="66"/>
    </row>
    <row r="452" spans="2:6" x14ac:dyDescent="0.25">
      <c r="B452" s="66"/>
      <c r="C452" s="66"/>
      <c r="D452" s="66"/>
      <c r="E452" s="66"/>
      <c r="F452" s="66"/>
    </row>
    <row r="453" spans="2:6" x14ac:dyDescent="0.25">
      <c r="B453" s="66"/>
      <c r="C453" s="66"/>
      <c r="D453" s="66"/>
      <c r="E453" s="66"/>
      <c r="F453" s="66"/>
    </row>
    <row r="454" spans="2:6" x14ac:dyDescent="0.25">
      <c r="B454" s="66"/>
      <c r="C454" s="66"/>
      <c r="D454" s="66"/>
      <c r="E454" s="66"/>
      <c r="F454" s="66"/>
    </row>
    <row r="455" spans="2:6" x14ac:dyDescent="0.25">
      <c r="B455" s="66"/>
      <c r="C455" s="66"/>
      <c r="D455" s="66"/>
      <c r="E455" s="66"/>
      <c r="F455" s="66"/>
    </row>
    <row r="456" spans="2:6" x14ac:dyDescent="0.25">
      <c r="B456" s="66"/>
      <c r="C456" s="66"/>
      <c r="D456" s="66"/>
      <c r="E456" s="66"/>
      <c r="F456" s="66"/>
    </row>
    <row r="457" spans="2:6" x14ac:dyDescent="0.25">
      <c r="B457" s="66"/>
      <c r="C457" s="66"/>
      <c r="D457" s="66"/>
      <c r="E457" s="66"/>
      <c r="F457" s="66"/>
    </row>
    <row r="458" spans="2:6" x14ac:dyDescent="0.25">
      <c r="B458" s="66"/>
      <c r="C458" s="66"/>
      <c r="D458" s="66"/>
      <c r="E458" s="66"/>
      <c r="F458" s="66"/>
    </row>
    <row r="459" spans="2:6" x14ac:dyDescent="0.25">
      <c r="B459" s="66"/>
      <c r="C459" s="66"/>
      <c r="D459" s="66"/>
      <c r="E459" s="66"/>
      <c r="F459" s="66"/>
    </row>
    <row r="460" spans="2:6" x14ac:dyDescent="0.25">
      <c r="B460" s="66"/>
      <c r="C460" s="66"/>
      <c r="D460" s="66"/>
      <c r="E460" s="66"/>
      <c r="F460" s="66"/>
    </row>
    <row r="461" spans="2:6" x14ac:dyDescent="0.25">
      <c r="B461" s="66"/>
      <c r="C461" s="66"/>
      <c r="D461" s="66"/>
      <c r="E461" s="66"/>
      <c r="F461" s="66"/>
    </row>
    <row r="462" spans="2:6" x14ac:dyDescent="0.25">
      <c r="B462" s="66"/>
      <c r="C462" s="66"/>
      <c r="D462" s="66"/>
      <c r="E462" s="66"/>
      <c r="F462" s="66"/>
    </row>
    <row r="463" spans="2:6" x14ac:dyDescent="0.25">
      <c r="B463" s="72"/>
      <c r="C463" s="72"/>
      <c r="D463" s="72"/>
      <c r="E463" s="72"/>
      <c r="F463" s="72"/>
    </row>
    <row r="465" spans="2:6" x14ac:dyDescent="0.25">
      <c r="B465" s="69"/>
      <c r="C465" s="69"/>
      <c r="D465" s="69"/>
      <c r="E465" s="69"/>
      <c r="F465" s="69"/>
    </row>
    <row r="469" spans="2:6" x14ac:dyDescent="0.25">
      <c r="B469" s="69"/>
      <c r="C469" s="69"/>
      <c r="D469" s="69"/>
      <c r="E469" s="69"/>
      <c r="F469" s="69"/>
    </row>
    <row r="470" spans="2:6" x14ac:dyDescent="0.25">
      <c r="B470" s="69"/>
      <c r="C470" s="69"/>
      <c r="D470" s="69"/>
      <c r="E470" s="69"/>
      <c r="F470" s="69"/>
    </row>
    <row r="471" spans="2:6" x14ac:dyDescent="0.25">
      <c r="B471" s="69"/>
      <c r="C471" s="69"/>
      <c r="D471" s="69"/>
      <c r="E471" s="69"/>
      <c r="F471" s="69"/>
    </row>
    <row r="472" spans="2:6" x14ac:dyDescent="0.25">
      <c r="B472" s="69"/>
      <c r="C472" s="69"/>
      <c r="D472" s="69"/>
      <c r="E472" s="69"/>
      <c r="F472" s="69"/>
    </row>
    <row r="473" spans="2:6" x14ac:dyDescent="0.25">
      <c r="B473" s="69"/>
      <c r="C473" s="69"/>
      <c r="D473" s="69"/>
      <c r="E473" s="69"/>
      <c r="F473" s="69"/>
    </row>
    <row r="474" spans="2:6" x14ac:dyDescent="0.25">
      <c r="B474" s="69"/>
      <c r="C474" s="69"/>
      <c r="D474" s="69"/>
      <c r="E474" s="69"/>
      <c r="F474" s="69"/>
    </row>
    <row r="475" spans="2:6" x14ac:dyDescent="0.25">
      <c r="B475" s="72"/>
      <c r="C475" s="72"/>
      <c r="D475" s="72"/>
      <c r="E475" s="72"/>
      <c r="F475" s="72"/>
    </row>
    <row r="476" spans="2:6" x14ac:dyDescent="0.25">
      <c r="B476" s="72"/>
      <c r="C476" s="72"/>
      <c r="D476" s="72"/>
      <c r="E476" s="72"/>
      <c r="F476" s="72"/>
    </row>
    <row r="477" spans="2:6" x14ac:dyDescent="0.25">
      <c r="B477" s="72"/>
      <c r="C477" s="72"/>
      <c r="D477" s="72"/>
      <c r="E477" s="72"/>
      <c r="F477" s="72"/>
    </row>
    <row r="478" spans="2:6" x14ac:dyDescent="0.25">
      <c r="B478" s="72"/>
      <c r="C478" s="72"/>
      <c r="D478" s="72"/>
      <c r="E478" s="72"/>
      <c r="F478" s="72"/>
    </row>
    <row r="479" spans="2:6" x14ac:dyDescent="0.25">
      <c r="B479" s="72"/>
      <c r="C479" s="72"/>
      <c r="D479" s="72"/>
      <c r="E479" s="72"/>
      <c r="F479" s="72"/>
    </row>
    <row r="480" spans="2:6" x14ac:dyDescent="0.25">
      <c r="B480" s="69"/>
      <c r="C480" s="69"/>
      <c r="D480" s="69"/>
      <c r="E480" s="69"/>
      <c r="F480" s="69"/>
    </row>
    <row r="481" spans="2:6" x14ac:dyDescent="0.25">
      <c r="B481" s="72"/>
      <c r="C481" s="72"/>
      <c r="D481" s="72"/>
      <c r="E481" s="72"/>
      <c r="F481" s="72"/>
    </row>
    <row r="482" spans="2:6" x14ac:dyDescent="0.25">
      <c r="B482" s="72"/>
      <c r="C482" s="72"/>
      <c r="D482" s="72"/>
      <c r="E482" s="72"/>
      <c r="F482" s="72"/>
    </row>
    <row r="483" spans="2:6" x14ac:dyDescent="0.25">
      <c r="B483" s="72"/>
      <c r="C483" s="72"/>
      <c r="D483" s="72"/>
      <c r="E483" s="72"/>
      <c r="F483" s="72"/>
    </row>
    <row r="486" spans="2:6" x14ac:dyDescent="0.25">
      <c r="B486" s="66"/>
      <c r="C486" s="66"/>
      <c r="D486" s="66"/>
      <c r="E486" s="66"/>
      <c r="F486" s="66"/>
    </row>
    <row r="487" spans="2:6" x14ac:dyDescent="0.25">
      <c r="B487" s="69"/>
      <c r="C487" s="69"/>
      <c r="D487" s="69"/>
      <c r="E487" s="69"/>
      <c r="F487" s="69"/>
    </row>
    <row r="488" spans="2:6" x14ac:dyDescent="0.25">
      <c r="B488" s="69"/>
      <c r="C488" s="69"/>
      <c r="D488" s="69"/>
      <c r="E488" s="69"/>
      <c r="F488" s="69"/>
    </row>
    <row r="489" spans="2:6" x14ac:dyDescent="0.25">
      <c r="B489" s="69"/>
      <c r="C489" s="69"/>
      <c r="D489" s="69"/>
      <c r="E489" s="69"/>
      <c r="F489" s="69"/>
    </row>
    <row r="490" spans="2:6" x14ac:dyDescent="0.25">
      <c r="B490" s="69"/>
      <c r="C490" s="69"/>
      <c r="D490" s="69"/>
      <c r="E490" s="69"/>
      <c r="F490" s="69"/>
    </row>
    <row r="491" spans="2:6" x14ac:dyDescent="0.25">
      <c r="B491" s="69"/>
      <c r="C491" s="69"/>
      <c r="D491" s="69"/>
      <c r="E491" s="69"/>
      <c r="F491" s="69"/>
    </row>
    <row r="492" spans="2:6" x14ac:dyDescent="0.25">
      <c r="B492" s="69"/>
      <c r="C492" s="69"/>
      <c r="D492" s="69"/>
      <c r="E492" s="69"/>
      <c r="F492" s="69"/>
    </row>
    <row r="493" spans="2:6" x14ac:dyDescent="0.25">
      <c r="B493" s="66"/>
      <c r="C493" s="66"/>
      <c r="D493" s="66"/>
      <c r="E493" s="66"/>
      <c r="F493" s="66"/>
    </row>
    <row r="496" spans="2:6" x14ac:dyDescent="0.25">
      <c r="B496" s="73"/>
      <c r="C496" s="73"/>
      <c r="D496" s="73"/>
      <c r="E496" s="73"/>
      <c r="F496" s="73"/>
    </row>
    <row r="500" spans="2:6" x14ac:dyDescent="0.25">
      <c r="B500" s="66"/>
      <c r="C500" s="66"/>
      <c r="D500" s="66"/>
      <c r="E500" s="66"/>
      <c r="F500" s="66"/>
    </row>
    <row r="501" spans="2:6" x14ac:dyDescent="0.25">
      <c r="B501" s="66"/>
      <c r="C501" s="66"/>
      <c r="D501" s="66"/>
      <c r="E501" s="66"/>
      <c r="F501" s="66"/>
    </row>
    <row r="502" spans="2:6" x14ac:dyDescent="0.25">
      <c r="B502" s="66"/>
      <c r="C502" s="66"/>
      <c r="D502" s="66"/>
      <c r="E502" s="66"/>
      <c r="F502" s="66"/>
    </row>
    <row r="503" spans="2:6" x14ac:dyDescent="0.25">
      <c r="B503" s="66"/>
      <c r="C503" s="66"/>
      <c r="D503" s="66"/>
      <c r="E503" s="66"/>
      <c r="F503" s="66"/>
    </row>
    <row r="504" spans="2:6" x14ac:dyDescent="0.25">
      <c r="B504" s="66"/>
      <c r="C504" s="66"/>
      <c r="D504" s="66"/>
      <c r="E504" s="66"/>
      <c r="F504" s="66"/>
    </row>
    <row r="505" spans="2:6" x14ac:dyDescent="0.25">
      <c r="B505" s="66"/>
      <c r="C505" s="66"/>
      <c r="D505" s="66"/>
      <c r="E505" s="66"/>
      <c r="F505" s="66"/>
    </row>
    <row r="511" spans="2:6" x14ac:dyDescent="0.25">
      <c r="B511" s="66"/>
      <c r="C511" s="66"/>
      <c r="D511" s="66"/>
      <c r="E511" s="69"/>
      <c r="F511" s="69"/>
    </row>
  </sheetData>
  <sortState ref="A8:G648">
    <sortCondition ref="A8:A648"/>
  </sortState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Dec-25</vt:lpstr>
      <vt:lpstr>Tot-2425</vt:lpstr>
      <vt:lpstr>ICBC-YTD</vt:lpstr>
      <vt:lpstr>ICBC</vt:lpstr>
      <vt:lpstr>Calcs-Month</vt:lpstr>
      <vt:lpstr>Calcs-YTD</vt:lpstr>
      <vt:lpstr>'Aug-24'!Print_Area</vt:lpstr>
      <vt:lpstr>'Dec-24'!Print_Area</vt:lpstr>
      <vt:lpstr>'Dec-25'!Print_Area</vt:lpstr>
      <vt:lpstr>'Feb-25'!Print_Area</vt:lpstr>
      <vt:lpstr>ICBC!Print_Area</vt:lpstr>
      <vt:lpstr>'ICBC-YTD'!Print_Area</vt:lpstr>
      <vt:lpstr>'Jan-25'!Print_Area</vt:lpstr>
      <vt:lpstr>'Jul-24'!Print_Area</vt:lpstr>
      <vt:lpstr>'Nov-24'!Print_Area</vt:lpstr>
      <vt:lpstr>'Oct-24'!Print_Area</vt:lpstr>
      <vt:lpstr>'Sep-24'!Print_Area</vt:lpstr>
      <vt:lpstr>'Tot-2425'!Print_Area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Cobus</dc:creator>
  <cp:lastModifiedBy>Bonginkosi Ndwandwe</cp:lastModifiedBy>
  <cp:lastPrinted>2024-10-30T06:24:25Z</cp:lastPrinted>
  <dcterms:created xsi:type="dcterms:W3CDTF">2024-08-19T12:15:42Z</dcterms:created>
  <dcterms:modified xsi:type="dcterms:W3CDTF">2025-12-15T10:53:57Z</dcterms:modified>
</cp:coreProperties>
</file>