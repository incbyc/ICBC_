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eswatini-my.sharepoint.com/personal/csp_icbc_challengeministries_org/Documents/JOSEPHSTOREHOUSE/MAIZE BUYBACK PROJECT/"/>
    </mc:Choice>
  </mc:AlternateContent>
  <xr:revisionPtr revIDLastSave="1" documentId="8_{1BB6464C-A028-4A69-B06A-22A175917392}" xr6:coauthVersionLast="47" xr6:coauthVersionMax="47" xr10:uidLastSave="{EBAF1B5C-74E8-4E9C-81C8-8F46D806B365}"/>
  <bookViews>
    <workbookView xWindow="-108" yWindow="-108" windowWidth="23256" windowHeight="12456" xr2:uid="{42137AE0-3723-4782-8ABE-3156B8B0EFA0}"/>
  </bookViews>
  <sheets>
    <sheet name="SUMMARIES" sheetId="7" r:id="rId1"/>
    <sheet name="SIGOMBENI" sheetId="4" r:id="rId2"/>
    <sheet name="NGWENYA" sheetId="2" r:id="rId3"/>
    <sheet name="ZONDWAKO" sheetId="3" r:id="rId4"/>
    <sheet name="SIGANGENI" sheetId="8" r:id="rId5"/>
    <sheet name="MABHUKWINI" sheetId="6" r:id="rId6"/>
  </sheets>
  <definedNames>
    <definedName name="_xlnm.Print_Area" localSheetId="5">MABHUKWINI!$A$1:$I$36</definedName>
    <definedName name="_xlnm.Print_Area" localSheetId="1">SIGOMBENI!$A$1:$I$29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7" l="1"/>
  <c r="F6" i="7"/>
  <c r="F5" i="7"/>
  <c r="F3" i="7"/>
  <c r="F4" i="7"/>
  <c r="I43" i="3" l="1"/>
  <c r="I44" i="3"/>
  <c r="H43" i="3"/>
  <c r="H44" i="3"/>
  <c r="G43" i="3"/>
  <c r="G44" i="3"/>
  <c r="G46" i="3"/>
  <c r="H46" i="3"/>
  <c r="I46" i="3"/>
  <c r="F39" i="3"/>
  <c r="I39" i="3" s="1"/>
  <c r="E48" i="3"/>
  <c r="I45" i="3"/>
  <c r="H45" i="3"/>
  <c r="G45" i="3"/>
  <c r="I42" i="3"/>
  <c r="H42" i="3"/>
  <c r="G42" i="3"/>
  <c r="I41" i="3"/>
  <c r="H41" i="3"/>
  <c r="G41" i="3"/>
  <c r="I40" i="3"/>
  <c r="H40" i="3"/>
  <c r="G40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I33" i="3"/>
  <c r="H33" i="3"/>
  <c r="G33" i="3"/>
  <c r="F48" i="8"/>
  <c r="E48" i="8"/>
  <c r="I46" i="8"/>
  <c r="H46" i="8"/>
  <c r="G46" i="8"/>
  <c r="I45" i="8"/>
  <c r="H45" i="8"/>
  <c r="G45" i="8"/>
  <c r="G9" i="8"/>
  <c r="H9" i="8"/>
  <c r="I9" i="8"/>
  <c r="G10" i="8"/>
  <c r="H10" i="8"/>
  <c r="I10" i="8"/>
  <c r="G11" i="8"/>
  <c r="H11" i="8"/>
  <c r="I11" i="8"/>
  <c r="G12" i="8"/>
  <c r="H12" i="8"/>
  <c r="I12" i="8"/>
  <c r="G13" i="8"/>
  <c r="H13" i="8"/>
  <c r="I13" i="8"/>
  <c r="G14" i="8"/>
  <c r="H14" i="8"/>
  <c r="I14" i="8"/>
  <c r="G15" i="8"/>
  <c r="H15" i="8"/>
  <c r="I15" i="8"/>
  <c r="G16" i="8"/>
  <c r="H16" i="8"/>
  <c r="I16" i="8"/>
  <c r="G17" i="8"/>
  <c r="H17" i="8"/>
  <c r="I17" i="8"/>
  <c r="G18" i="8"/>
  <c r="H18" i="8"/>
  <c r="I18" i="8"/>
  <c r="G19" i="8"/>
  <c r="H19" i="8"/>
  <c r="I19" i="8"/>
  <c r="G20" i="8"/>
  <c r="H20" i="8"/>
  <c r="I20" i="8"/>
  <c r="G21" i="8"/>
  <c r="H21" i="8"/>
  <c r="I21" i="8"/>
  <c r="G22" i="8"/>
  <c r="H22" i="8"/>
  <c r="I22" i="8"/>
  <c r="G23" i="8"/>
  <c r="H23" i="8"/>
  <c r="I23" i="8"/>
  <c r="G24" i="8"/>
  <c r="H24" i="8"/>
  <c r="I24" i="8"/>
  <c r="G25" i="8"/>
  <c r="H25" i="8"/>
  <c r="I25" i="8"/>
  <c r="G26" i="8"/>
  <c r="H26" i="8"/>
  <c r="I26" i="8"/>
  <c r="G27" i="8"/>
  <c r="H27" i="8"/>
  <c r="I27" i="8"/>
  <c r="G28" i="8"/>
  <c r="H28" i="8"/>
  <c r="I28" i="8"/>
  <c r="G29" i="8"/>
  <c r="H29" i="8"/>
  <c r="I29" i="8"/>
  <c r="G30" i="8"/>
  <c r="H30" i="8"/>
  <c r="I30" i="8"/>
  <c r="E32" i="8"/>
  <c r="F32" i="8"/>
  <c r="B7" i="7" l="1"/>
  <c r="H32" i="8"/>
  <c r="I32" i="8"/>
  <c r="G32" i="8"/>
  <c r="F48" i="3"/>
  <c r="H39" i="3"/>
  <c r="H48" i="3"/>
  <c r="G48" i="3"/>
  <c r="I48" i="3"/>
  <c r="G48" i="8"/>
  <c r="H48" i="8"/>
  <c r="I48" i="8"/>
  <c r="E30" i="6"/>
  <c r="G26" i="6"/>
  <c r="H26" i="6"/>
  <c r="I26" i="6"/>
  <c r="F29" i="6"/>
  <c r="G29" i="6" s="1"/>
  <c r="F28" i="6"/>
  <c r="G28" i="6" s="1"/>
  <c r="F27" i="6"/>
  <c r="F30" i="6" s="1"/>
  <c r="G16" i="6"/>
  <c r="H16" i="6"/>
  <c r="I16" i="6"/>
  <c r="C7" i="7" l="1"/>
  <c r="H34" i="8"/>
  <c r="H50" i="3"/>
  <c r="H50" i="8"/>
  <c r="D7" i="7" s="1"/>
  <c r="I27" i="6"/>
  <c r="H28" i="6"/>
  <c r="I29" i="6"/>
  <c r="H29" i="6"/>
  <c r="H27" i="6"/>
  <c r="I28" i="6"/>
  <c r="G27" i="6"/>
  <c r="G30" i="6" s="1"/>
  <c r="F22" i="3"/>
  <c r="B4" i="7" s="1"/>
  <c r="G19" i="3"/>
  <c r="H19" i="3"/>
  <c r="I19" i="3"/>
  <c r="E22" i="3"/>
  <c r="G18" i="3"/>
  <c r="H18" i="3"/>
  <c r="I18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H15" i="6"/>
  <c r="I15" i="6"/>
  <c r="I14" i="6"/>
  <c r="G13" i="6"/>
  <c r="H13" i="6"/>
  <c r="I13" i="6"/>
  <c r="I9" i="6"/>
  <c r="H9" i="6"/>
  <c r="G9" i="6"/>
  <c r="I9" i="2"/>
  <c r="I11" i="4"/>
  <c r="I30" i="6" l="1"/>
  <c r="H30" i="6"/>
  <c r="E20" i="6"/>
  <c r="F19" i="6"/>
  <c r="I19" i="6" s="1"/>
  <c r="I12" i="6"/>
  <c r="F17" i="6"/>
  <c r="F18" i="6"/>
  <c r="G18" i="6" s="1"/>
  <c r="I10" i="4"/>
  <c r="I12" i="4"/>
  <c r="I13" i="4"/>
  <c r="I14" i="4"/>
  <c r="I15" i="4"/>
  <c r="I16" i="4"/>
  <c r="I17" i="4"/>
  <c r="I18" i="4"/>
  <c r="I19" i="4"/>
  <c r="I20" i="4"/>
  <c r="I21" i="4"/>
  <c r="I9" i="4"/>
  <c r="H32" i="6" l="1"/>
  <c r="H17" i="6"/>
  <c r="F20" i="6"/>
  <c r="G17" i="6"/>
  <c r="G15" i="6"/>
  <c r="G14" i="6"/>
  <c r="H19" i="6"/>
  <c r="H12" i="6"/>
  <c r="I18" i="6"/>
  <c r="H18" i="6"/>
  <c r="I17" i="6"/>
  <c r="G19" i="6"/>
  <c r="G12" i="6"/>
  <c r="H14" i="6"/>
  <c r="E26" i="4"/>
  <c r="H16" i="4"/>
  <c r="H20" i="4"/>
  <c r="G12" i="4"/>
  <c r="G15" i="4"/>
  <c r="G19" i="4"/>
  <c r="H12" i="4"/>
  <c r="G13" i="4"/>
  <c r="G14" i="4"/>
  <c r="H15" i="4"/>
  <c r="G16" i="4"/>
  <c r="H17" i="4"/>
  <c r="G18" i="4"/>
  <c r="H19" i="4"/>
  <c r="G20" i="4"/>
  <c r="H21" i="4"/>
  <c r="I10" i="6"/>
  <c r="H11" i="4"/>
  <c r="G10" i="4"/>
  <c r="G9" i="4"/>
  <c r="E18" i="2"/>
  <c r="H10" i="2"/>
  <c r="I10" i="2" s="1"/>
  <c r="H11" i="2"/>
  <c r="I11" i="2" s="1"/>
  <c r="H9" i="2"/>
  <c r="H11" i="3" l="1"/>
  <c r="I11" i="3"/>
  <c r="G10" i="3"/>
  <c r="I10" i="3"/>
  <c r="H10" i="3"/>
  <c r="H9" i="3"/>
  <c r="H22" i="3" s="1"/>
  <c r="I9" i="3"/>
  <c r="I22" i="3" s="1"/>
  <c r="H11" i="6"/>
  <c r="I11" i="6"/>
  <c r="I20" i="6" s="1"/>
  <c r="I18" i="2"/>
  <c r="G11" i="6"/>
  <c r="G11" i="2"/>
  <c r="G9" i="2"/>
  <c r="G10" i="2"/>
  <c r="H18" i="4"/>
  <c r="H14" i="4"/>
  <c r="G21" i="4"/>
  <c r="G17" i="4"/>
  <c r="H9" i="4"/>
  <c r="F26" i="4"/>
  <c r="B5" i="7" s="1"/>
  <c r="H13" i="4"/>
  <c r="H10" i="4"/>
  <c r="G10" i="6"/>
  <c r="H10" i="6"/>
  <c r="G11" i="4"/>
  <c r="G9" i="3"/>
  <c r="G11" i="3"/>
  <c r="H18" i="2"/>
  <c r="F18" i="2"/>
  <c r="B3" i="7" s="1"/>
  <c r="H24" i="3" l="1"/>
  <c r="D4" i="7" s="1"/>
  <c r="D3" i="7"/>
  <c r="H20" i="2"/>
  <c r="G22" i="3"/>
  <c r="C4" i="7" s="1"/>
  <c r="H20" i="6"/>
  <c r="H22" i="6" s="1"/>
  <c r="G20" i="6"/>
  <c r="C6" i="7" s="1"/>
  <c r="G18" i="2"/>
  <c r="C3" i="7" s="1"/>
  <c r="D6" i="7"/>
  <c r="I26" i="4"/>
  <c r="H26" i="4"/>
  <c r="G26" i="4"/>
  <c r="C5" i="7" s="1"/>
  <c r="C11" i="7" l="1"/>
  <c r="H28" i="4"/>
  <c r="D5" i="7" s="1"/>
  <c r="D11" i="7" l="1"/>
  <c r="B6" i="7" l="1"/>
  <c r="B11" i="7" s="1"/>
</calcChain>
</file>

<file path=xl/sharedStrings.xml><?xml version="1.0" encoding="utf-8"?>
<sst xmlns="http://schemas.openxmlformats.org/spreadsheetml/2006/main" count="307" uniqueCount="131">
  <si>
    <t>Name of ICBC:</t>
  </si>
  <si>
    <t>Name of Pastor</t>
  </si>
  <si>
    <t>ID Number</t>
  </si>
  <si>
    <t>Bank</t>
  </si>
  <si>
    <t>Account Holder's Name</t>
  </si>
  <si>
    <t>Branch Code</t>
  </si>
  <si>
    <t>Account Number</t>
  </si>
  <si>
    <t>Community Member’s Name &amp; Surname</t>
  </si>
  <si>
    <t>Contact details</t>
  </si>
  <si>
    <t>Date</t>
  </si>
  <si>
    <t>Amount</t>
  </si>
  <si>
    <t>Total</t>
  </si>
  <si>
    <t>ICBC MAIZE SUSTAINABILITY PROJECT</t>
  </si>
  <si>
    <t>Kilograms(Kg)</t>
  </si>
  <si>
    <t>Bags(20kg ea)</t>
  </si>
  <si>
    <t>Ngwenya ICBC</t>
  </si>
  <si>
    <t>Mcolisi Dlamini</t>
  </si>
  <si>
    <t>Zondwako ICBC</t>
  </si>
  <si>
    <t>Jan Dube</t>
  </si>
  <si>
    <t>Sabelo Molefe</t>
  </si>
  <si>
    <t>Sigombeni ICBC</t>
  </si>
  <si>
    <t>Rate: E/kG</t>
  </si>
  <si>
    <t>Bags(20kG ea)</t>
  </si>
  <si>
    <t>Kilograms(kG)</t>
  </si>
  <si>
    <t>Tonnes</t>
  </si>
  <si>
    <t>Mabhukwini</t>
  </si>
  <si>
    <t>Dumisani Enerst Dlamini</t>
  </si>
  <si>
    <t>Agent's Full Name</t>
  </si>
  <si>
    <t xml:space="preserve">2025 ICBC MAIZE SUSTAINABILITY PROJECT </t>
  </si>
  <si>
    <t>ICBC SITES</t>
  </si>
  <si>
    <t>NGWENYA</t>
  </si>
  <si>
    <t>ZONDWAKO</t>
  </si>
  <si>
    <t>SIGOMBENI</t>
  </si>
  <si>
    <t>MABHUKWINI</t>
  </si>
  <si>
    <t>Commission</t>
  </si>
  <si>
    <t xml:space="preserve">  </t>
  </si>
  <si>
    <t>Busi Jele</t>
  </si>
  <si>
    <t>COMPLETED</t>
  </si>
  <si>
    <t>Irene S Mtjali</t>
  </si>
  <si>
    <t>Mlambo Machawe</t>
  </si>
  <si>
    <t>Dlamini Sicelo</t>
  </si>
  <si>
    <t>Dlamini Mbhaceka</t>
  </si>
  <si>
    <t>Dlamini Sizwe</t>
  </si>
  <si>
    <t>Dlamini Salebona</t>
  </si>
  <si>
    <t>Simelane Fana</t>
  </si>
  <si>
    <t>Dingane Mtekwa</t>
  </si>
  <si>
    <t>Zondwa Maseko</t>
  </si>
  <si>
    <t>Make Tsabedze</t>
  </si>
  <si>
    <t>Bonisile Mavuso</t>
  </si>
  <si>
    <t>Delisile Nkwanyane</t>
  </si>
  <si>
    <t>Siphesihle Khumalo</t>
  </si>
  <si>
    <t>Total Amount</t>
  </si>
  <si>
    <t>First National Bank</t>
  </si>
  <si>
    <t>Bags</t>
  </si>
  <si>
    <t>Victor Vilakati</t>
  </si>
  <si>
    <t>Henry Shabangu</t>
  </si>
  <si>
    <t>Lungile Ngwenya</t>
  </si>
  <si>
    <t>Dumisani Earnest Dlamini</t>
  </si>
  <si>
    <t>Commission To Pastor</t>
  </si>
  <si>
    <t>Jane Hlatshwako</t>
  </si>
  <si>
    <t>NGWENYA CHRISTIAN LIFE C</t>
  </si>
  <si>
    <t>CORPORATE PLACE BRANCH 281264</t>
  </si>
  <si>
    <t>FNB</t>
  </si>
  <si>
    <t>Pastors Commission</t>
  </si>
  <si>
    <t>Fenis Dlamini</t>
  </si>
  <si>
    <t>76694104 / 76594104</t>
  </si>
  <si>
    <t>Mbeni Dlamini</t>
  </si>
  <si>
    <t>Simangele Dlamini</t>
  </si>
  <si>
    <t>Pastor's Commission</t>
  </si>
  <si>
    <t>MABHUKWINI WALK BY FAITH BIBLE MINISTRIES</t>
  </si>
  <si>
    <t>Tons</t>
  </si>
  <si>
    <t>Sibongile Dlamini</t>
  </si>
  <si>
    <t>Nkululeko Dlamini</t>
  </si>
  <si>
    <t>Siphesihle Dlamini</t>
  </si>
  <si>
    <t>Siwela Dlamini</t>
  </si>
  <si>
    <t>Sibusiso Msibi</t>
  </si>
  <si>
    <t>Thokozani Dlamini</t>
  </si>
  <si>
    <t>Trypinah Khumalo</t>
  </si>
  <si>
    <t>Leonard Mdluli</t>
  </si>
  <si>
    <t>Lungile Ntshangase</t>
  </si>
  <si>
    <t>Hloniphile Zwane</t>
  </si>
  <si>
    <t>WALK BY FAITH BIBLE MINISTRIES</t>
  </si>
  <si>
    <t>Ntokozo Sikhosana</t>
  </si>
  <si>
    <t>Bonginkosi Dlamini</t>
  </si>
  <si>
    <t>29.08.25</t>
  </si>
  <si>
    <t>Betty Tsabedze</t>
  </si>
  <si>
    <t>Make Bhembe</t>
  </si>
  <si>
    <t>Joyce Shongwe</t>
  </si>
  <si>
    <t>Sibongile Shongwe</t>
  </si>
  <si>
    <t>Calvin Shongwe</t>
  </si>
  <si>
    <t>Samkelo Mazibuko</t>
  </si>
  <si>
    <t>Nkosinamandla Shongwe</t>
  </si>
  <si>
    <t>Phelile Mamba</t>
  </si>
  <si>
    <t>Jabulile Masuku</t>
  </si>
  <si>
    <t>Xolile Ngwenya</t>
  </si>
  <si>
    <t>Jabulile Mamba</t>
  </si>
  <si>
    <t>Nonhlanhla Ndlangamandla</t>
  </si>
  <si>
    <t>Catherine Dlamini</t>
  </si>
  <si>
    <t>Nonhlanhla Masuku</t>
  </si>
  <si>
    <t>Dudu Dlamini</t>
  </si>
  <si>
    <t>Lungelo Mtshlali</t>
  </si>
  <si>
    <t>Emmanuel Makama</t>
  </si>
  <si>
    <t>Sidumo Shongwe</t>
  </si>
  <si>
    <t>Bheki Mabuza</t>
  </si>
  <si>
    <t>Ncobile Shongwe</t>
  </si>
  <si>
    <t>Bhembe Ntombikayise</t>
  </si>
  <si>
    <t>SIGANGENI ICBC</t>
  </si>
  <si>
    <t>BONGANI MASOMBUKA</t>
  </si>
  <si>
    <t>Pastor'sCommission</t>
  </si>
  <si>
    <t>Jabulile Dlamini</t>
  </si>
  <si>
    <t>Joseph Mbhuyisa</t>
  </si>
  <si>
    <t>Minenhle Bhembe</t>
  </si>
  <si>
    <t>Zodwa Nkambule</t>
  </si>
  <si>
    <t>Hloniphile Khumalo</t>
  </si>
  <si>
    <t>Aron Shabangu</t>
  </si>
  <si>
    <t>Lindiwe Shabangu</t>
  </si>
  <si>
    <t>Wawa Dlamini</t>
  </si>
  <si>
    <t>Ntombikayise Gogo Mtsetfwa</t>
  </si>
  <si>
    <t>Simon Dlamini</t>
  </si>
  <si>
    <t>Kwanele Makhanya</t>
  </si>
  <si>
    <t>76653897/76552363</t>
  </si>
  <si>
    <t>Christina Makhanya</t>
  </si>
  <si>
    <t>Nontsetselelo Nhlabatsi</t>
  </si>
  <si>
    <t>Khabonina Bhembe</t>
  </si>
  <si>
    <t>Zodwa Dlamini</t>
  </si>
  <si>
    <t>Lungile Mbuyisa</t>
  </si>
  <si>
    <t>SIGANGENI</t>
  </si>
  <si>
    <t xml:space="preserve">Amount </t>
  </si>
  <si>
    <t>Bongani Masombuka</t>
  </si>
  <si>
    <t>ICBC MAIZE BUYBACK PROJECT</t>
  </si>
  <si>
    <t>Pastor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</si>
</sst>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4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1" fontId="4" fillId="0" borderId="0" xfId="0" applyNumberFormat="1" applyFont="1"/>
    <xf numFmtId="164" fontId="4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/>
    </xf>
    <xf numFmtId="164" fontId="0" fillId="0" borderId="4" xfId="0" applyNumberForma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2" borderId="2" xfId="0" applyFont="1" applyFill="1" applyBorder="1" applyAlignment="1"/>
  </cellXfs>
  <cellStyles count="1">
    <cellStyle name="Normal" xfId="0" builtinId="0"/>
  </cellStyles>
  <dxfs count="13">
    <dxf>
      <numFmt numFmtId="164" formatCode="&quot;E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E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8E2CC-FDC7-4DFA-BABA-9D149F45D828}" name="Table1" displayName="Table1" ref="A8:I18" totalsRowShown="0" headerRowDxfId="12" dataDxfId="10" headerRowBorderDxfId="11" tableBorderDxfId="9">
  <autoFilter ref="A8:I18" xr:uid="{E008E2CC-FDC7-4DFA-BABA-9D149F45D828}"/>
  <tableColumns count="9">
    <tableColumn id="1" xr3:uid="{86D5ABDC-F2C6-460A-AE1D-A150CD18AE03}" name="Community Member’s Name &amp; Surname" dataDxfId="8"/>
    <tableColumn id="2" xr3:uid="{943D35CC-F8C2-4DE8-B846-46B35B83D12F}" name="Contact details" dataDxfId="7"/>
    <tableColumn id="3" xr3:uid="{A80AC815-E92F-4B72-A4E4-E1AA87543C9F}" name="Date" dataDxfId="6"/>
    <tableColumn id="4" xr3:uid="{82ABCDED-1CAE-4FD3-99F9-960E220BFD94}" name="Rate: E/kG" dataDxfId="5"/>
    <tableColumn id="5" xr3:uid="{6CD74F76-56D3-436A-8A96-CCBC76730DFC}" name="Bags(20kG ea)" dataDxfId="4"/>
    <tableColumn id="6" xr3:uid="{35D6DB4A-3068-43AE-B884-44F40E2A15BD}" name="Kilograms(kG)" dataDxfId="3"/>
    <tableColumn id="7" xr3:uid="{67DD9436-0080-4DC2-9C85-67656297E093}" name="Tonnes" dataDxfId="2"/>
    <tableColumn id="8" xr3:uid="{5F2609B9-E5B0-4CA4-A910-9DE9EDAF8833}" name="Amount" dataDxfId="1"/>
    <tableColumn id="9" xr3:uid="{44925DB5-550F-4638-AAC4-DF2B0D5DF36E}" name="Pastors Commiss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8D0C-CFE8-4766-B343-7883995F4CBC}">
  <dimension ref="A1:F11"/>
  <sheetViews>
    <sheetView tabSelected="1" zoomScale="85" zoomScaleNormal="85" workbookViewId="0">
      <selection activeCell="K19" sqref="K19"/>
    </sheetView>
  </sheetViews>
  <sheetFormatPr defaultRowHeight="14.4" x14ac:dyDescent="0.3"/>
  <cols>
    <col min="1" max="1" width="37.88671875" customWidth="1"/>
    <col min="2" max="2" width="15.33203125" customWidth="1"/>
    <col min="3" max="3" width="15.6640625" customWidth="1"/>
    <col min="4" max="4" width="19.109375" customWidth="1"/>
    <col min="5" max="5" width="24.44140625" customWidth="1"/>
    <col min="6" max="6" width="24.44140625" style="2" customWidth="1"/>
  </cols>
  <sheetData>
    <row r="1" spans="1:6" ht="18.75" customHeight="1" x14ac:dyDescent="0.35">
      <c r="A1" s="59" t="s">
        <v>28</v>
      </c>
      <c r="B1" s="59"/>
      <c r="C1" s="59"/>
      <c r="D1" s="59"/>
      <c r="E1" s="59"/>
      <c r="F1" s="53"/>
    </row>
    <row r="2" spans="1:6" x14ac:dyDescent="0.3">
      <c r="A2" s="9" t="s">
        <v>29</v>
      </c>
      <c r="B2" s="9" t="s">
        <v>23</v>
      </c>
      <c r="C2" s="9" t="s">
        <v>24</v>
      </c>
      <c r="D2" s="10" t="s">
        <v>127</v>
      </c>
      <c r="E2" s="10" t="s">
        <v>130</v>
      </c>
      <c r="F2" s="10" t="s">
        <v>68</v>
      </c>
    </row>
    <row r="3" spans="1:6" x14ac:dyDescent="0.3">
      <c r="A3" s="15" t="s">
        <v>30</v>
      </c>
      <c r="B3" s="18">
        <f>NGWENYA!F18</f>
        <v>779.5</v>
      </c>
      <c r="C3" s="18">
        <f>NGWENYA!G18</f>
        <v>0.77949999999999997</v>
      </c>
      <c r="D3" s="19">
        <f>NGWENYA!H18</f>
        <v>3897.5</v>
      </c>
      <c r="E3" s="15" t="s">
        <v>16</v>
      </c>
      <c r="F3" s="19">
        <f>NGWENYA!I18</f>
        <v>389.75</v>
      </c>
    </row>
    <row r="4" spans="1:6" x14ac:dyDescent="0.3">
      <c r="A4" s="15" t="s">
        <v>31</v>
      </c>
      <c r="B4" s="18">
        <f>ZONDWAKO!F22+ZONDWAKO!F48</f>
        <v>11405</v>
      </c>
      <c r="C4" s="18">
        <f>ZONDWAKO!G48+ZONDWAKO!G22</f>
        <v>11.405000000000001</v>
      </c>
      <c r="D4" s="19">
        <f>ZONDWAKO!H24+ZONDWAKO!H50</f>
        <v>62727.5</v>
      </c>
      <c r="E4" s="15" t="s">
        <v>18</v>
      </c>
      <c r="F4" s="19">
        <f>ZONDWAKO!I48+ZONDWAKO!I22</f>
        <v>5702.5</v>
      </c>
    </row>
    <row r="5" spans="1:6" x14ac:dyDescent="0.3">
      <c r="A5" s="15" t="s">
        <v>32</v>
      </c>
      <c r="B5" s="18">
        <f>SIGOMBENI!F26</f>
        <v>5297.2</v>
      </c>
      <c r="C5" s="18">
        <f>SIGOMBENI!G26</f>
        <v>5.2972000000000001</v>
      </c>
      <c r="D5" s="19">
        <f>SIGOMBENI!H28</f>
        <v>29134.6</v>
      </c>
      <c r="E5" s="15" t="s">
        <v>19</v>
      </c>
      <c r="F5" s="19">
        <f>SIGOMBENI!I26</f>
        <v>2648.6</v>
      </c>
    </row>
    <row r="6" spans="1:6" x14ac:dyDescent="0.3">
      <c r="A6" s="15" t="s">
        <v>33</v>
      </c>
      <c r="B6" s="18">
        <f>MABHUKWINI!F20</f>
        <v>4108.8999999999996</v>
      </c>
      <c r="C6" s="20">
        <f>MABHUKWINI!G20</f>
        <v>4.1089000000000002</v>
      </c>
      <c r="D6" s="19">
        <f>MABHUKWINI!H20</f>
        <v>20544.5</v>
      </c>
      <c r="E6" s="15" t="s">
        <v>26</v>
      </c>
      <c r="F6" s="19">
        <f>MABHUKWINI!I30+MABHUKWINI!I20</f>
        <v>2223.6999999999998</v>
      </c>
    </row>
    <row r="7" spans="1:6" x14ac:dyDescent="0.3">
      <c r="A7" s="15" t="s">
        <v>126</v>
      </c>
      <c r="B7" s="12">
        <f>SIGANGENI!F32+SIGANGENI!F48</f>
        <v>13209</v>
      </c>
      <c r="C7" s="12">
        <f>SIGANGENI!G32+SIGANGENI!G48</f>
        <v>13.209</v>
      </c>
      <c r="D7" s="13">
        <f>SIGANGENI!H34+SIGANGENI!H50</f>
        <v>71461.5</v>
      </c>
      <c r="E7" s="15" t="s">
        <v>128</v>
      </c>
      <c r="F7" s="19">
        <f>SIGANGENI!I32+SIGANGENI!I48</f>
        <v>6496.5</v>
      </c>
    </row>
    <row r="8" spans="1:6" x14ac:dyDescent="0.3">
      <c r="A8" s="11"/>
      <c r="B8" s="12"/>
      <c r="C8" s="12"/>
      <c r="D8" s="13"/>
      <c r="E8" s="11"/>
      <c r="F8" s="12"/>
    </row>
    <row r="9" spans="1:6" x14ac:dyDescent="0.3">
      <c r="A9" s="11"/>
      <c r="B9" s="12"/>
      <c r="C9" s="12"/>
      <c r="D9" s="13"/>
      <c r="E9" s="11"/>
      <c r="F9" s="12"/>
    </row>
    <row r="10" spans="1:6" x14ac:dyDescent="0.3">
      <c r="A10" s="11"/>
      <c r="B10" s="12"/>
      <c r="C10" s="12"/>
      <c r="D10" s="13"/>
      <c r="E10" s="11"/>
      <c r="F10" s="12"/>
    </row>
    <row r="11" spans="1:6" x14ac:dyDescent="0.3">
      <c r="A11" s="9" t="s">
        <v>11</v>
      </c>
      <c r="B11" s="9">
        <f>SUM(B3:B10)</f>
        <v>34799.599999999999</v>
      </c>
      <c r="C11" s="9">
        <f>SUM(C3:C10)</f>
        <v>34.799599999999998</v>
      </c>
      <c r="D11" s="10">
        <f>SUM(D3:D10)</f>
        <v>187765.6</v>
      </c>
      <c r="E11" s="11"/>
      <c r="F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5957-A777-4B50-8072-4A9B0E3BD8FF}">
  <sheetPr>
    <pageSetUpPr fitToPage="1"/>
  </sheetPr>
  <dimension ref="A1:I52"/>
  <sheetViews>
    <sheetView zoomScale="55" zoomScaleNormal="55" workbookViewId="0">
      <selection activeCell="A36" sqref="A36"/>
    </sheetView>
  </sheetViews>
  <sheetFormatPr defaultRowHeight="14.4" x14ac:dyDescent="0.3"/>
  <cols>
    <col min="1" max="1" width="38.44140625" customWidth="1"/>
    <col min="2" max="2" width="26.44140625" customWidth="1"/>
    <col min="3" max="3" width="16.5546875" customWidth="1"/>
    <col min="4" max="4" width="13.44140625" customWidth="1"/>
    <col min="5" max="5" width="36.6640625" customWidth="1"/>
    <col min="6" max="6" width="21.88671875" customWidth="1"/>
    <col min="7" max="7" width="27.5546875" style="4" customWidth="1"/>
    <col min="8" max="8" width="19" customWidth="1"/>
    <col min="9" max="9" width="33.33203125" customWidth="1"/>
  </cols>
  <sheetData>
    <row r="1" spans="1:9" ht="18" x14ac:dyDescent="0.35">
      <c r="A1" s="54" t="s">
        <v>12</v>
      </c>
      <c r="B1" s="54"/>
      <c r="C1" s="54"/>
      <c r="D1" s="54"/>
      <c r="E1" s="54"/>
      <c r="F1" s="54"/>
      <c r="G1" s="54"/>
      <c r="H1" s="54"/>
      <c r="I1" s="54"/>
    </row>
    <row r="2" spans="1:9" ht="18" x14ac:dyDescent="0.35">
      <c r="A2" s="26"/>
      <c r="B2" s="26"/>
      <c r="C2" s="26"/>
      <c r="D2" s="26"/>
      <c r="E2" s="26"/>
      <c r="F2" s="26"/>
      <c r="G2" s="26"/>
      <c r="H2" s="55" t="s">
        <v>37</v>
      </c>
      <c r="I2" s="55"/>
    </row>
    <row r="3" spans="1:9" ht="18" x14ac:dyDescent="0.35">
      <c r="A3" s="27" t="s">
        <v>0</v>
      </c>
      <c r="B3" s="26" t="s">
        <v>20</v>
      </c>
      <c r="C3" s="26"/>
      <c r="D3" s="26"/>
      <c r="E3" s="27" t="s">
        <v>1</v>
      </c>
      <c r="F3" s="28" t="s">
        <v>19</v>
      </c>
      <c r="G3" s="26"/>
      <c r="H3" s="26"/>
      <c r="I3" s="26"/>
    </row>
    <row r="4" spans="1:9" ht="18" x14ac:dyDescent="0.35">
      <c r="A4" s="27" t="s">
        <v>27</v>
      </c>
      <c r="B4" s="28" t="s">
        <v>19</v>
      </c>
      <c r="C4" s="26"/>
      <c r="D4" s="26"/>
      <c r="E4" s="27" t="s">
        <v>2</v>
      </c>
      <c r="F4" s="29"/>
      <c r="G4" s="26"/>
      <c r="H4" s="26"/>
      <c r="I4" s="26"/>
    </row>
    <row r="5" spans="1:9" ht="18" x14ac:dyDescent="0.35">
      <c r="A5" s="27" t="s">
        <v>3</v>
      </c>
      <c r="B5" s="26" t="s">
        <v>52</v>
      </c>
      <c r="C5" s="26"/>
      <c r="D5" s="26"/>
      <c r="E5" s="27" t="s">
        <v>4</v>
      </c>
      <c r="F5" s="28" t="s">
        <v>19</v>
      </c>
      <c r="G5" s="30"/>
      <c r="H5" s="26"/>
      <c r="I5" s="26"/>
    </row>
    <row r="6" spans="1:9" ht="18" x14ac:dyDescent="0.35">
      <c r="A6" s="27" t="s">
        <v>5</v>
      </c>
      <c r="B6" s="26"/>
      <c r="C6" s="26"/>
      <c r="D6" s="26"/>
      <c r="E6" s="27" t="s">
        <v>6</v>
      </c>
      <c r="F6" s="50">
        <v>62415516410</v>
      </c>
      <c r="G6" s="30"/>
      <c r="H6" s="26"/>
      <c r="I6" s="26"/>
    </row>
    <row r="7" spans="1:9" ht="18" x14ac:dyDescent="0.35">
      <c r="A7" s="26"/>
      <c r="B7" s="26"/>
      <c r="C7" s="26"/>
      <c r="D7" s="26"/>
      <c r="E7" s="26"/>
      <c r="F7" s="26"/>
      <c r="G7" s="30"/>
      <c r="H7" s="26"/>
      <c r="I7" s="26"/>
    </row>
    <row r="8" spans="1:9" ht="18" x14ac:dyDescent="0.35">
      <c r="A8" s="31" t="s">
        <v>7</v>
      </c>
      <c r="B8" s="32" t="s">
        <v>8</v>
      </c>
      <c r="C8" s="32" t="s">
        <v>9</v>
      </c>
      <c r="D8" s="31" t="s">
        <v>21</v>
      </c>
      <c r="E8" s="32" t="s">
        <v>53</v>
      </c>
      <c r="F8" s="32" t="s">
        <v>23</v>
      </c>
      <c r="G8" s="32" t="s">
        <v>24</v>
      </c>
      <c r="H8" s="33" t="s">
        <v>10</v>
      </c>
      <c r="I8" s="32" t="s">
        <v>58</v>
      </c>
    </row>
    <row r="9" spans="1:9" ht="18" x14ac:dyDescent="0.35">
      <c r="A9" s="21" t="s">
        <v>39</v>
      </c>
      <c r="B9" s="22">
        <v>76600127</v>
      </c>
      <c r="C9" s="25">
        <v>45884</v>
      </c>
      <c r="D9" s="21"/>
      <c r="E9" s="22">
        <v>5</v>
      </c>
      <c r="F9" s="22">
        <v>187</v>
      </c>
      <c r="G9" s="22">
        <f>F9*0.001</f>
        <v>0.187</v>
      </c>
      <c r="H9" s="23">
        <f>F9*5</f>
        <v>935</v>
      </c>
      <c r="I9" s="23">
        <f>F9*0.5</f>
        <v>93.5</v>
      </c>
    </row>
    <row r="10" spans="1:9" ht="18" x14ac:dyDescent="0.35">
      <c r="A10" s="21" t="s">
        <v>40</v>
      </c>
      <c r="B10" s="22">
        <v>76613841</v>
      </c>
      <c r="C10" s="25">
        <v>45884</v>
      </c>
      <c r="D10" s="21"/>
      <c r="E10" s="22">
        <v>4</v>
      </c>
      <c r="F10" s="22">
        <v>216</v>
      </c>
      <c r="G10" s="22">
        <f t="shared" ref="G10:G21" si="0">F10*0.001</f>
        <v>0.216</v>
      </c>
      <c r="H10" s="23">
        <f t="shared" ref="H10:H21" si="1">F10*5</f>
        <v>1080</v>
      </c>
      <c r="I10" s="23">
        <f t="shared" ref="I10:I21" si="2">F10*0.5</f>
        <v>108</v>
      </c>
    </row>
    <row r="11" spans="1:9" ht="18" x14ac:dyDescent="0.35">
      <c r="A11" s="21" t="s">
        <v>41</v>
      </c>
      <c r="B11" s="22">
        <v>76126901</v>
      </c>
      <c r="C11" s="25">
        <v>45884</v>
      </c>
      <c r="D11" s="21"/>
      <c r="E11" s="22">
        <v>5</v>
      </c>
      <c r="F11" s="22">
        <v>191.5</v>
      </c>
      <c r="G11" s="22">
        <f t="shared" si="0"/>
        <v>0.1915</v>
      </c>
      <c r="H11" s="23">
        <f t="shared" si="1"/>
        <v>957.5</v>
      </c>
      <c r="I11" s="23">
        <f>F11*0.5</f>
        <v>95.75</v>
      </c>
    </row>
    <row r="12" spans="1:9" ht="18" x14ac:dyDescent="0.35">
      <c r="A12" s="21" t="s">
        <v>42</v>
      </c>
      <c r="B12" s="22">
        <v>76279330</v>
      </c>
      <c r="C12" s="25">
        <v>45884</v>
      </c>
      <c r="D12" s="21"/>
      <c r="E12" s="22">
        <v>11</v>
      </c>
      <c r="F12" s="22">
        <v>578</v>
      </c>
      <c r="G12" s="22">
        <f t="shared" si="0"/>
        <v>0.57799999999999996</v>
      </c>
      <c r="H12" s="23">
        <f t="shared" si="1"/>
        <v>2890</v>
      </c>
      <c r="I12" s="23">
        <f t="shared" si="2"/>
        <v>289</v>
      </c>
    </row>
    <row r="13" spans="1:9" ht="18" x14ac:dyDescent="0.35">
      <c r="A13" s="21" t="s">
        <v>43</v>
      </c>
      <c r="B13" s="22">
        <v>76323760</v>
      </c>
      <c r="C13" s="25">
        <v>45884</v>
      </c>
      <c r="D13" s="21"/>
      <c r="E13" s="22">
        <v>20</v>
      </c>
      <c r="F13" s="22">
        <v>1353</v>
      </c>
      <c r="G13" s="22">
        <f t="shared" si="0"/>
        <v>1.353</v>
      </c>
      <c r="H13" s="23">
        <f t="shared" si="1"/>
        <v>6765</v>
      </c>
      <c r="I13" s="23">
        <f t="shared" si="2"/>
        <v>676.5</v>
      </c>
    </row>
    <row r="14" spans="1:9" ht="18" x14ac:dyDescent="0.35">
      <c r="A14" s="21" t="s">
        <v>44</v>
      </c>
      <c r="B14" s="22">
        <v>76329227</v>
      </c>
      <c r="C14" s="25">
        <v>45884</v>
      </c>
      <c r="D14" s="21"/>
      <c r="E14" s="22">
        <v>1</v>
      </c>
      <c r="F14" s="22">
        <v>87</v>
      </c>
      <c r="G14" s="22">
        <f t="shared" si="0"/>
        <v>8.7000000000000008E-2</v>
      </c>
      <c r="H14" s="23">
        <f t="shared" si="1"/>
        <v>435</v>
      </c>
      <c r="I14" s="23">
        <f t="shared" si="2"/>
        <v>43.5</v>
      </c>
    </row>
    <row r="15" spans="1:9" ht="18" x14ac:dyDescent="0.35">
      <c r="A15" s="21" t="s">
        <v>45</v>
      </c>
      <c r="B15" s="22">
        <v>76936010</v>
      </c>
      <c r="C15" s="25">
        <v>45884</v>
      </c>
      <c r="D15" s="21"/>
      <c r="E15" s="22">
        <v>2</v>
      </c>
      <c r="F15" s="22">
        <v>128</v>
      </c>
      <c r="G15" s="22">
        <f t="shared" si="0"/>
        <v>0.128</v>
      </c>
      <c r="H15" s="23">
        <f t="shared" si="1"/>
        <v>640</v>
      </c>
      <c r="I15" s="23">
        <f t="shared" si="2"/>
        <v>64</v>
      </c>
    </row>
    <row r="16" spans="1:9" ht="18" x14ac:dyDescent="0.35">
      <c r="A16" s="21" t="s">
        <v>46</v>
      </c>
      <c r="B16" s="22">
        <v>76608964</v>
      </c>
      <c r="C16" s="25">
        <v>45884</v>
      </c>
      <c r="D16" s="21"/>
      <c r="E16" s="22">
        <v>4</v>
      </c>
      <c r="F16" s="22">
        <v>181.5</v>
      </c>
      <c r="G16" s="22">
        <f t="shared" si="0"/>
        <v>0.18149999999999999</v>
      </c>
      <c r="H16" s="23">
        <f t="shared" si="1"/>
        <v>907.5</v>
      </c>
      <c r="I16" s="23">
        <f t="shared" si="2"/>
        <v>90.75</v>
      </c>
    </row>
    <row r="17" spans="1:9" ht="18" x14ac:dyDescent="0.35">
      <c r="A17" s="21" t="s">
        <v>47</v>
      </c>
      <c r="B17" s="22">
        <v>76600127</v>
      </c>
      <c r="C17" s="25">
        <v>45884</v>
      </c>
      <c r="D17" s="21"/>
      <c r="E17" s="22">
        <v>8</v>
      </c>
      <c r="F17" s="22">
        <v>448</v>
      </c>
      <c r="G17" s="22">
        <f t="shared" si="0"/>
        <v>0.44800000000000001</v>
      </c>
      <c r="H17" s="23">
        <f t="shared" si="1"/>
        <v>2240</v>
      </c>
      <c r="I17" s="23">
        <f t="shared" si="2"/>
        <v>224</v>
      </c>
    </row>
    <row r="18" spans="1:9" ht="18" x14ac:dyDescent="0.35">
      <c r="A18" s="21" t="s">
        <v>36</v>
      </c>
      <c r="B18" s="22">
        <v>76777751</v>
      </c>
      <c r="C18" s="25">
        <v>45884</v>
      </c>
      <c r="D18" s="21"/>
      <c r="E18" s="22">
        <v>8</v>
      </c>
      <c r="F18" s="22">
        <v>384</v>
      </c>
      <c r="G18" s="22">
        <f t="shared" si="0"/>
        <v>0.38400000000000001</v>
      </c>
      <c r="H18" s="23">
        <f t="shared" si="1"/>
        <v>1920</v>
      </c>
      <c r="I18" s="23">
        <f t="shared" si="2"/>
        <v>192</v>
      </c>
    </row>
    <row r="19" spans="1:9" ht="18" x14ac:dyDescent="0.35">
      <c r="A19" s="21" t="s">
        <v>48</v>
      </c>
      <c r="B19" s="22">
        <v>76048734</v>
      </c>
      <c r="C19" s="25">
        <v>45884</v>
      </c>
      <c r="D19" s="21"/>
      <c r="E19" s="22">
        <v>10</v>
      </c>
      <c r="F19" s="22">
        <v>492.5</v>
      </c>
      <c r="G19" s="22">
        <f t="shared" si="0"/>
        <v>0.49249999999999999</v>
      </c>
      <c r="H19" s="23">
        <f t="shared" si="1"/>
        <v>2462.5</v>
      </c>
      <c r="I19" s="23">
        <f t="shared" si="2"/>
        <v>246.25</v>
      </c>
    </row>
    <row r="20" spans="1:9" ht="18" x14ac:dyDescent="0.35">
      <c r="A20" s="21" t="s">
        <v>49</v>
      </c>
      <c r="B20" s="22">
        <v>78345343</v>
      </c>
      <c r="C20" s="25">
        <v>45884</v>
      </c>
      <c r="D20" s="21"/>
      <c r="E20" s="22">
        <v>6</v>
      </c>
      <c r="F20" s="22">
        <v>370.5</v>
      </c>
      <c r="G20" s="22">
        <f t="shared" si="0"/>
        <v>0.3705</v>
      </c>
      <c r="H20" s="23">
        <f t="shared" si="1"/>
        <v>1852.5</v>
      </c>
      <c r="I20" s="23">
        <f t="shared" si="2"/>
        <v>185.25</v>
      </c>
    </row>
    <row r="21" spans="1:9" ht="18" x14ac:dyDescent="0.35">
      <c r="A21" s="21" t="s">
        <v>50</v>
      </c>
      <c r="B21" s="22">
        <v>78701389</v>
      </c>
      <c r="C21" s="25">
        <v>45884</v>
      </c>
      <c r="D21" s="21"/>
      <c r="E21" s="22">
        <v>21</v>
      </c>
      <c r="F21" s="22">
        <v>680.2</v>
      </c>
      <c r="G21" s="22">
        <f t="shared" si="0"/>
        <v>0.68020000000000003</v>
      </c>
      <c r="H21" s="23">
        <f t="shared" si="1"/>
        <v>3401</v>
      </c>
      <c r="I21" s="23">
        <f t="shared" si="2"/>
        <v>340.1</v>
      </c>
    </row>
    <row r="22" spans="1:9" ht="18" x14ac:dyDescent="0.35">
      <c r="A22" s="21"/>
      <c r="B22" s="22"/>
      <c r="C22" s="21"/>
      <c r="D22" s="21"/>
      <c r="E22" s="22"/>
      <c r="F22" s="22"/>
      <c r="G22" s="22"/>
      <c r="H22" s="23"/>
      <c r="I22" s="23"/>
    </row>
    <row r="23" spans="1:9" ht="18" x14ac:dyDescent="0.35">
      <c r="A23" s="21"/>
      <c r="B23" s="22"/>
      <c r="C23" s="21"/>
      <c r="D23" s="21"/>
      <c r="E23" s="22"/>
      <c r="F23" s="22"/>
      <c r="G23" s="22"/>
      <c r="H23" s="23"/>
      <c r="I23" s="23"/>
    </row>
    <row r="24" spans="1:9" ht="18" x14ac:dyDescent="0.35">
      <c r="A24" s="21"/>
      <c r="B24" s="22"/>
      <c r="C24" s="21"/>
      <c r="D24" s="21"/>
      <c r="E24" s="22"/>
      <c r="F24" s="22"/>
      <c r="G24" s="22"/>
      <c r="H24" s="23"/>
      <c r="I24" s="23"/>
    </row>
    <row r="25" spans="1:9" ht="18" x14ac:dyDescent="0.35">
      <c r="A25" s="21"/>
      <c r="B25" s="22"/>
      <c r="C25" s="21"/>
      <c r="D25" s="21"/>
      <c r="E25" s="22"/>
      <c r="F25" s="22"/>
      <c r="G25" s="22"/>
      <c r="H25" s="23"/>
      <c r="I25" s="23"/>
    </row>
    <row r="26" spans="1:9" ht="18" x14ac:dyDescent="0.35">
      <c r="A26" s="26"/>
      <c r="B26" s="34"/>
      <c r="C26" s="26"/>
      <c r="D26" s="35" t="s">
        <v>11</v>
      </c>
      <c r="E26" s="32">
        <f>SUM(E9:E25)</f>
        <v>105</v>
      </c>
      <c r="F26" s="32">
        <f>SUM(F9:F25)</f>
        <v>5297.2</v>
      </c>
      <c r="G26" s="32">
        <f>SUM(G9:G25)</f>
        <v>5.2972000000000001</v>
      </c>
      <c r="H26" s="33">
        <f>SUM(H9:H25)</f>
        <v>26486</v>
      </c>
      <c r="I26" s="33">
        <f>SUM(I9:I25)</f>
        <v>2648.6</v>
      </c>
    </row>
    <row r="27" spans="1:9" ht="18" x14ac:dyDescent="0.35">
      <c r="A27" s="26"/>
      <c r="B27" s="34"/>
      <c r="C27" s="26"/>
      <c r="D27" s="28"/>
      <c r="E27" s="34"/>
      <c r="F27" s="36"/>
      <c r="G27" s="34"/>
      <c r="H27" s="34"/>
      <c r="I27" s="26"/>
    </row>
    <row r="28" spans="1:9" ht="18.600000000000001" thickBot="1" x14ac:dyDescent="0.4">
      <c r="A28" s="26"/>
      <c r="B28" s="34"/>
      <c r="C28" s="26"/>
      <c r="D28" s="26"/>
      <c r="E28" s="34"/>
      <c r="F28" s="34"/>
      <c r="G28" s="37" t="s">
        <v>51</v>
      </c>
      <c r="H28" s="56">
        <f>H26+I26</f>
        <v>29134.6</v>
      </c>
      <c r="I28" s="56"/>
    </row>
    <row r="29" spans="1:9" ht="18.600000000000001" thickTop="1" x14ac:dyDescent="0.35">
      <c r="A29" s="26"/>
      <c r="B29" s="34"/>
      <c r="C29" s="26"/>
      <c r="D29" s="26"/>
      <c r="E29" s="34"/>
      <c r="F29" s="34"/>
      <c r="G29" s="36"/>
      <c r="H29" s="34"/>
      <c r="I29" s="26"/>
    </row>
    <row r="30" spans="1:9" x14ac:dyDescent="0.3">
      <c r="B30" s="2"/>
      <c r="E30" s="2"/>
      <c r="F30" s="2"/>
      <c r="G30" s="5"/>
      <c r="H30" s="2"/>
    </row>
    <row r="31" spans="1:9" x14ac:dyDescent="0.3">
      <c r="B31" s="2"/>
      <c r="E31" s="2"/>
      <c r="F31" s="2"/>
      <c r="G31" s="5"/>
      <c r="H31" s="2"/>
    </row>
    <row r="32" spans="1:9" x14ac:dyDescent="0.3">
      <c r="B32" s="2"/>
      <c r="E32" s="2"/>
      <c r="F32" s="2"/>
      <c r="G32" s="5"/>
      <c r="H32" s="2"/>
    </row>
    <row r="33" spans="2:8" x14ac:dyDescent="0.3">
      <c r="B33" s="2"/>
      <c r="E33" s="2"/>
      <c r="F33" s="2"/>
      <c r="G33" s="5"/>
      <c r="H33" s="2"/>
    </row>
    <row r="34" spans="2:8" x14ac:dyDescent="0.3">
      <c r="B34" s="2"/>
      <c r="E34" s="2"/>
      <c r="F34" s="2"/>
      <c r="G34" s="5"/>
      <c r="H34" s="2"/>
    </row>
    <row r="35" spans="2:8" x14ac:dyDescent="0.3">
      <c r="B35" s="2"/>
      <c r="E35" s="2"/>
      <c r="F35" s="2"/>
      <c r="G35" s="5"/>
      <c r="H35" s="2"/>
    </row>
    <row r="36" spans="2:8" x14ac:dyDescent="0.3">
      <c r="B36" s="2"/>
      <c r="E36" s="2"/>
      <c r="F36" s="2"/>
      <c r="G36" s="5"/>
      <c r="H36" s="2"/>
    </row>
    <row r="37" spans="2:8" x14ac:dyDescent="0.3">
      <c r="B37" s="2"/>
      <c r="E37" s="2"/>
      <c r="F37" s="2"/>
      <c r="G37" s="5"/>
      <c r="H37" s="2"/>
    </row>
    <row r="38" spans="2:8" x14ac:dyDescent="0.3">
      <c r="B38" s="2"/>
      <c r="E38" s="2"/>
      <c r="F38" s="2"/>
      <c r="G38" s="5"/>
      <c r="H38" s="2"/>
    </row>
    <row r="39" spans="2:8" x14ac:dyDescent="0.3">
      <c r="B39" s="2"/>
      <c r="E39" s="2"/>
      <c r="F39" s="2"/>
      <c r="G39" s="5"/>
      <c r="H39" s="2"/>
    </row>
    <row r="40" spans="2:8" x14ac:dyDescent="0.3">
      <c r="B40" s="2"/>
      <c r="E40" s="2"/>
      <c r="F40" s="2"/>
      <c r="G40" s="5"/>
      <c r="H40" s="2"/>
    </row>
    <row r="41" spans="2:8" x14ac:dyDescent="0.3">
      <c r="B41" s="2"/>
      <c r="E41" s="2"/>
      <c r="F41" s="2"/>
      <c r="G41" s="5"/>
      <c r="H41" s="2"/>
    </row>
    <row r="42" spans="2:8" x14ac:dyDescent="0.3">
      <c r="B42" s="2"/>
      <c r="E42" s="2"/>
      <c r="F42" s="2"/>
      <c r="G42" s="5"/>
      <c r="H42" s="2"/>
    </row>
    <row r="43" spans="2:8" x14ac:dyDescent="0.3">
      <c r="B43" s="2"/>
      <c r="E43" s="2"/>
      <c r="F43" s="2"/>
      <c r="G43" s="5"/>
      <c r="H43" s="2"/>
    </row>
    <row r="44" spans="2:8" x14ac:dyDescent="0.3">
      <c r="B44" s="2"/>
      <c r="E44" s="2"/>
      <c r="F44" s="2"/>
      <c r="G44" s="5"/>
      <c r="H44" s="2"/>
    </row>
    <row r="45" spans="2:8" x14ac:dyDescent="0.3">
      <c r="B45" s="2"/>
      <c r="F45" s="2"/>
      <c r="G45" s="5"/>
      <c r="H45" s="2"/>
    </row>
    <row r="46" spans="2:8" x14ac:dyDescent="0.3">
      <c r="B46" s="2"/>
      <c r="F46" s="2"/>
      <c r="G46" s="5"/>
      <c r="H46" s="2"/>
    </row>
    <row r="47" spans="2:8" x14ac:dyDescent="0.3">
      <c r="B47" s="2"/>
      <c r="F47" s="2"/>
      <c r="G47" s="5"/>
      <c r="H47" s="2"/>
    </row>
    <row r="48" spans="2:8" x14ac:dyDescent="0.3">
      <c r="B48" s="2"/>
      <c r="F48" s="2"/>
      <c r="G48" s="5"/>
      <c r="H48" s="2"/>
    </row>
    <row r="49" spans="2:8" x14ac:dyDescent="0.3">
      <c r="B49" s="2"/>
      <c r="F49" s="2"/>
      <c r="G49" s="5"/>
      <c r="H49" s="2"/>
    </row>
    <row r="50" spans="2:8" x14ac:dyDescent="0.3">
      <c r="B50" s="2"/>
      <c r="F50" s="2"/>
      <c r="G50" s="5"/>
      <c r="H50" s="2"/>
    </row>
    <row r="51" spans="2:8" x14ac:dyDescent="0.3">
      <c r="B51" s="2"/>
      <c r="F51" s="2"/>
      <c r="G51" s="5"/>
      <c r="H51" s="2"/>
    </row>
    <row r="52" spans="2:8" x14ac:dyDescent="0.3">
      <c r="F52" s="2"/>
      <c r="G52" s="5"/>
      <c r="H52" s="2"/>
    </row>
  </sheetData>
  <mergeCells count="3">
    <mergeCell ref="A1:I1"/>
    <mergeCell ref="H2:I2"/>
    <mergeCell ref="H28:I28"/>
  </mergeCells>
  <pageMargins left="0.7" right="0.7" top="0.75" bottom="0.75" header="0.3" footer="0.3"/>
  <pageSetup paperSize="9" scale="57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D6BD-A5D4-4B63-B67C-6BA6B106CFA1}">
  <sheetPr>
    <pageSetUpPr fitToPage="1"/>
  </sheetPr>
  <dimension ref="A1:K44"/>
  <sheetViews>
    <sheetView zoomScale="70" zoomScaleNormal="70" workbookViewId="0">
      <selection activeCell="I8" sqref="I8"/>
    </sheetView>
  </sheetViews>
  <sheetFormatPr defaultRowHeight="14.4" x14ac:dyDescent="0.3"/>
  <cols>
    <col min="1" max="1" width="46.6640625" customWidth="1"/>
    <col min="2" max="2" width="20.33203125" customWidth="1"/>
    <col min="3" max="3" width="30" customWidth="1"/>
    <col min="4" max="4" width="14.88671875" customWidth="1"/>
    <col min="5" max="5" width="31" customWidth="1"/>
    <col min="6" max="6" width="38.5546875" customWidth="1"/>
    <col min="7" max="7" width="20.33203125" customWidth="1"/>
    <col min="8" max="8" width="22.88671875" style="4" customWidth="1"/>
    <col min="9" max="9" width="25.33203125" style="4" customWidth="1"/>
  </cols>
  <sheetData>
    <row r="1" spans="1:10" ht="21" x14ac:dyDescent="0.4">
      <c r="A1" s="57" t="s">
        <v>12</v>
      </c>
      <c r="B1" s="57"/>
      <c r="C1" s="57"/>
      <c r="D1" s="57"/>
      <c r="E1" s="57"/>
      <c r="F1" s="57"/>
      <c r="G1" s="57"/>
      <c r="H1" s="57"/>
      <c r="I1" s="16"/>
    </row>
    <row r="2" spans="1:10" ht="18" x14ac:dyDescent="0.35">
      <c r="H2" s="55" t="s">
        <v>37</v>
      </c>
      <c r="I2" s="55"/>
    </row>
    <row r="3" spans="1:10" x14ac:dyDescent="0.3">
      <c r="A3" s="6" t="s">
        <v>0</v>
      </c>
      <c r="B3" t="s">
        <v>15</v>
      </c>
      <c r="E3" s="6" t="s">
        <v>1</v>
      </c>
      <c r="F3" s="3" t="s">
        <v>16</v>
      </c>
      <c r="G3" s="3"/>
    </row>
    <row r="4" spans="1:10" x14ac:dyDescent="0.3">
      <c r="A4" s="6" t="s">
        <v>27</v>
      </c>
      <c r="E4" s="6" t="s">
        <v>2</v>
      </c>
      <c r="F4" s="1"/>
      <c r="G4" s="1"/>
    </row>
    <row r="5" spans="1:10" x14ac:dyDescent="0.3">
      <c r="A5" s="6" t="s">
        <v>3</v>
      </c>
      <c r="B5" t="s">
        <v>62</v>
      </c>
      <c r="E5" s="6" t="s">
        <v>4</v>
      </c>
      <c r="F5" s="7" t="s">
        <v>60</v>
      </c>
      <c r="G5" s="3"/>
    </row>
    <row r="6" spans="1:10" x14ac:dyDescent="0.3">
      <c r="A6" s="6" t="s">
        <v>5</v>
      </c>
      <c r="B6" t="s">
        <v>61</v>
      </c>
      <c r="E6" s="6" t="s">
        <v>6</v>
      </c>
      <c r="F6" s="38">
        <v>63165335811</v>
      </c>
    </row>
    <row r="8" spans="1:10" x14ac:dyDescent="0.3">
      <c r="A8" s="40" t="s">
        <v>7</v>
      </c>
      <c r="B8" s="41" t="s">
        <v>8</v>
      </c>
      <c r="C8" s="41" t="s">
        <v>9</v>
      </c>
      <c r="D8" s="40" t="s">
        <v>21</v>
      </c>
      <c r="E8" s="41" t="s">
        <v>22</v>
      </c>
      <c r="F8" s="41" t="s">
        <v>23</v>
      </c>
      <c r="G8" s="41" t="s">
        <v>24</v>
      </c>
      <c r="H8" s="42" t="s">
        <v>10</v>
      </c>
      <c r="I8" s="43" t="s">
        <v>63</v>
      </c>
      <c r="J8" s="17"/>
    </row>
    <row r="9" spans="1:10" ht="18" x14ac:dyDescent="0.35">
      <c r="A9" s="21" t="s">
        <v>59</v>
      </c>
      <c r="B9" s="22">
        <v>76450513</v>
      </c>
      <c r="C9" s="25">
        <v>45894</v>
      </c>
      <c r="D9" s="21"/>
      <c r="E9" s="22">
        <v>13</v>
      </c>
      <c r="F9" s="22">
        <v>779.5</v>
      </c>
      <c r="G9" s="22">
        <f>F9*0.001</f>
        <v>0.77949999999999997</v>
      </c>
      <c r="H9" s="23">
        <f>F9*5</f>
        <v>3897.5</v>
      </c>
      <c r="I9" s="44">
        <f>F9*0.5</f>
        <v>389.75</v>
      </c>
      <c r="J9" s="5"/>
    </row>
    <row r="10" spans="1:10" x14ac:dyDescent="0.3">
      <c r="A10" s="11"/>
      <c r="B10" s="12"/>
      <c r="C10" s="11"/>
      <c r="D10" s="11"/>
      <c r="E10" s="12"/>
      <c r="F10" s="12"/>
      <c r="G10" s="12">
        <f t="shared" ref="G10:G11" si="0">F10*0.001</f>
        <v>0</v>
      </c>
      <c r="H10" s="13">
        <f t="shared" ref="H10:H11" si="1">F10*5</f>
        <v>0</v>
      </c>
      <c r="I10" s="39">
        <f t="shared" ref="I10:I11" si="2">H10/5*0.005</f>
        <v>0</v>
      </c>
      <c r="J10" s="5"/>
    </row>
    <row r="11" spans="1:10" x14ac:dyDescent="0.3">
      <c r="A11" s="11"/>
      <c r="B11" s="12"/>
      <c r="C11" s="11"/>
      <c r="D11" s="11"/>
      <c r="E11" s="12"/>
      <c r="F11" s="12"/>
      <c r="G11" s="12">
        <f t="shared" si="0"/>
        <v>0</v>
      </c>
      <c r="H11" s="13">
        <f t="shared" si="1"/>
        <v>0</v>
      </c>
      <c r="I11" s="39">
        <f t="shared" si="2"/>
        <v>0</v>
      </c>
      <c r="J11" s="5"/>
    </row>
    <row r="12" spans="1:10" x14ac:dyDescent="0.3">
      <c r="A12" s="11"/>
      <c r="B12" s="12"/>
      <c r="C12" s="11"/>
      <c r="D12" s="11"/>
      <c r="E12" s="12"/>
      <c r="F12" s="12"/>
      <c r="G12" s="12"/>
      <c r="H12" s="13"/>
      <c r="I12" s="39"/>
      <c r="J12" s="5"/>
    </row>
    <row r="13" spans="1:10" x14ac:dyDescent="0.3">
      <c r="A13" s="11"/>
      <c r="B13" s="12"/>
      <c r="C13" s="11"/>
      <c r="D13" s="11"/>
      <c r="E13" s="12"/>
      <c r="F13" s="12"/>
      <c r="G13" s="12"/>
      <c r="H13" s="13"/>
      <c r="I13" s="39"/>
      <c r="J13" s="5"/>
    </row>
    <row r="14" spans="1:10" x14ac:dyDescent="0.3">
      <c r="A14" s="11"/>
      <c r="B14" s="12"/>
      <c r="C14" s="11"/>
      <c r="D14" s="11"/>
      <c r="E14" s="12"/>
      <c r="F14" s="12"/>
      <c r="G14" s="12"/>
      <c r="H14" s="13"/>
      <c r="I14" s="39"/>
      <c r="J14" s="5"/>
    </row>
    <row r="15" spans="1:10" x14ac:dyDescent="0.3">
      <c r="A15" s="11"/>
      <c r="B15" s="12"/>
      <c r="C15" s="11"/>
      <c r="D15" s="11"/>
      <c r="E15" s="12"/>
      <c r="F15" s="12"/>
      <c r="G15" s="12"/>
      <c r="H15" s="13"/>
      <c r="I15" s="39"/>
      <c r="J15" s="5"/>
    </row>
    <row r="16" spans="1:10" x14ac:dyDescent="0.3">
      <c r="A16" s="11"/>
      <c r="B16" s="12"/>
      <c r="C16" s="11"/>
      <c r="D16" s="11"/>
      <c r="E16" s="12"/>
      <c r="F16" s="12"/>
      <c r="G16" s="12"/>
      <c r="H16" s="13"/>
      <c r="I16" s="39"/>
      <c r="J16" s="5"/>
    </row>
    <row r="17" spans="1:11" x14ac:dyDescent="0.3">
      <c r="A17" s="11"/>
      <c r="B17" s="12"/>
      <c r="C17" s="11"/>
      <c r="D17" s="11"/>
      <c r="E17" s="12"/>
      <c r="F17" s="12"/>
      <c r="G17" s="12"/>
      <c r="H17" s="13"/>
      <c r="I17" s="39"/>
      <c r="J17" s="5"/>
    </row>
    <row r="18" spans="1:11" ht="18" x14ac:dyDescent="0.35">
      <c r="B18" s="2"/>
      <c r="D18" s="44" t="s">
        <v>11</v>
      </c>
      <c r="E18" s="44">
        <f>SUM(E9:E11)</f>
        <v>13</v>
      </c>
      <c r="F18" s="44">
        <f t="shared" ref="F18:H18" si="3">SUM(F9:F11)</f>
        <v>779.5</v>
      </c>
      <c r="G18" s="45">
        <f>SUM(G9:G11)</f>
        <v>0.77949999999999997</v>
      </c>
      <c r="H18" s="45">
        <f t="shared" si="3"/>
        <v>3897.5</v>
      </c>
      <c r="I18" s="45">
        <f t="shared" ref="I18" si="4">SUM(I9:I11)</f>
        <v>389.75</v>
      </c>
      <c r="J18" s="17"/>
    </row>
    <row r="19" spans="1:11" x14ac:dyDescent="0.3">
      <c r="B19" s="2"/>
      <c r="D19" s="7"/>
      <c r="E19" s="2"/>
      <c r="F19" s="5"/>
      <c r="G19" s="5"/>
      <c r="H19" s="2"/>
      <c r="I19" s="2"/>
      <c r="J19" s="2"/>
    </row>
    <row r="20" spans="1:11" ht="18.600000000000001" thickBot="1" x14ac:dyDescent="0.4">
      <c r="B20" s="2"/>
      <c r="E20" s="2"/>
      <c r="F20" s="2"/>
      <c r="G20" s="37" t="s">
        <v>51</v>
      </c>
      <c r="H20" s="56">
        <f>H18+I18</f>
        <v>4287.25</v>
      </c>
      <c r="I20" s="56"/>
      <c r="J20" s="2"/>
    </row>
    <row r="21" spans="1:11" ht="15" thickTop="1" x14ac:dyDescent="0.3">
      <c r="B21" s="2"/>
      <c r="E21" s="2"/>
      <c r="F21" s="2"/>
      <c r="G21" s="2"/>
      <c r="H21" s="5"/>
      <c r="I21" s="5"/>
      <c r="J21" s="2"/>
    </row>
    <row r="22" spans="1:11" x14ac:dyDescent="0.3">
      <c r="B22" s="2"/>
      <c r="E22" s="2"/>
      <c r="F22" s="2"/>
      <c r="G22" s="2"/>
      <c r="H22" s="5"/>
      <c r="I22" s="5"/>
      <c r="J22" s="2"/>
    </row>
    <row r="23" spans="1:11" x14ac:dyDescent="0.3">
      <c r="B23" s="2"/>
      <c r="E23" s="2"/>
      <c r="F23" s="2"/>
      <c r="G23" s="2"/>
      <c r="H23" s="5"/>
      <c r="I23" s="5"/>
      <c r="J23" s="2"/>
    </row>
    <row r="24" spans="1:11" x14ac:dyDescent="0.3">
      <c r="B24" s="2"/>
      <c r="E24" s="2"/>
      <c r="F24" s="2"/>
      <c r="G24" s="2"/>
      <c r="H24" s="5"/>
      <c r="I24" s="5"/>
      <c r="J24" s="2"/>
    </row>
    <row r="25" spans="1:11" x14ac:dyDescent="0.3">
      <c r="B25" s="2"/>
      <c r="E25" s="2"/>
      <c r="F25" s="2"/>
      <c r="G25" s="2"/>
      <c r="H25" s="5"/>
      <c r="I25" s="5"/>
      <c r="J25" s="2"/>
      <c r="K25" t="s">
        <v>35</v>
      </c>
    </row>
    <row r="26" spans="1:11" x14ac:dyDescent="0.3">
      <c r="B26" s="2"/>
      <c r="E26" s="2"/>
      <c r="F26" s="2"/>
      <c r="G26" s="2"/>
      <c r="H26" s="5"/>
      <c r="I26" s="5"/>
      <c r="J26" s="2"/>
    </row>
    <row r="27" spans="1:11" x14ac:dyDescent="0.3">
      <c r="B27" s="2"/>
      <c r="E27" s="2"/>
      <c r="F27" s="2"/>
      <c r="G27" s="2"/>
      <c r="H27" s="5"/>
      <c r="I27" s="5"/>
      <c r="J27" s="2"/>
    </row>
    <row r="28" spans="1:11" x14ac:dyDescent="0.3">
      <c r="B28" s="2"/>
      <c r="E28" s="2"/>
      <c r="F28" s="2"/>
      <c r="G28" s="2"/>
      <c r="H28" s="5"/>
      <c r="I28" s="5"/>
      <c r="J28" s="2"/>
    </row>
    <row r="29" spans="1:11" x14ac:dyDescent="0.3">
      <c r="B29" s="2"/>
      <c r="E29" s="2"/>
      <c r="F29" s="2"/>
      <c r="G29" s="2"/>
      <c r="H29" s="5"/>
      <c r="I29" s="5"/>
      <c r="J29" s="2"/>
    </row>
    <row r="30" spans="1:11" x14ac:dyDescent="0.3">
      <c r="B30" s="2"/>
      <c r="E30" s="2"/>
      <c r="F30" s="2"/>
      <c r="G30" s="2"/>
      <c r="H30" s="5"/>
      <c r="I30" s="5"/>
      <c r="J30" s="2"/>
    </row>
    <row r="31" spans="1:11" x14ac:dyDescent="0.3">
      <c r="B31" s="2"/>
      <c r="E31" s="2"/>
      <c r="F31" s="2"/>
      <c r="G31" s="2"/>
      <c r="H31" s="5"/>
      <c r="I31" s="5"/>
      <c r="J31" s="2"/>
    </row>
    <row r="32" spans="1:11" x14ac:dyDescent="0.3">
      <c r="B32" s="2"/>
      <c r="E32" s="2"/>
      <c r="F32" s="2"/>
      <c r="G32" s="2"/>
      <c r="H32" s="5"/>
      <c r="I32" s="5"/>
      <c r="J32" s="2"/>
    </row>
    <row r="33" spans="2:10" x14ac:dyDescent="0.3">
      <c r="B33" s="2"/>
      <c r="E33" s="2"/>
      <c r="F33" s="2"/>
      <c r="G33" s="2"/>
      <c r="H33" s="5"/>
      <c r="I33" s="5"/>
      <c r="J33" s="2"/>
    </row>
    <row r="34" spans="2:10" x14ac:dyDescent="0.3">
      <c r="B34" s="2"/>
      <c r="E34" s="2"/>
      <c r="F34" s="2"/>
      <c r="G34" s="2"/>
      <c r="H34" s="5"/>
      <c r="I34" s="5"/>
      <c r="J34" s="2"/>
    </row>
    <row r="35" spans="2:10" x14ac:dyDescent="0.3">
      <c r="B35" s="2"/>
      <c r="E35" s="2"/>
      <c r="F35" s="2"/>
      <c r="G35" s="2"/>
      <c r="H35" s="5"/>
      <c r="I35" s="5"/>
      <c r="J35" s="2"/>
    </row>
    <row r="36" spans="2:10" x14ac:dyDescent="0.3">
      <c r="B36" s="2"/>
      <c r="E36" s="2"/>
      <c r="F36" s="2"/>
      <c r="G36" s="2"/>
      <c r="H36" s="5"/>
      <c r="I36" s="5"/>
      <c r="J36" s="2"/>
    </row>
    <row r="37" spans="2:10" x14ac:dyDescent="0.3">
      <c r="B37" s="2"/>
      <c r="F37" s="2"/>
      <c r="G37" s="2"/>
      <c r="H37" s="5"/>
      <c r="I37" s="5"/>
      <c r="J37" s="2"/>
    </row>
    <row r="38" spans="2:10" x14ac:dyDescent="0.3">
      <c r="B38" s="2"/>
      <c r="F38" s="2"/>
      <c r="G38" s="2"/>
      <c r="H38" s="5"/>
      <c r="I38" s="5"/>
      <c r="J38" s="2"/>
    </row>
    <row r="39" spans="2:10" x14ac:dyDescent="0.3">
      <c r="B39" s="2"/>
      <c r="F39" s="2"/>
      <c r="G39" s="2"/>
      <c r="H39" s="5"/>
      <c r="I39" s="5"/>
      <c r="J39" s="2"/>
    </row>
    <row r="40" spans="2:10" x14ac:dyDescent="0.3">
      <c r="B40" s="2"/>
      <c r="F40" s="2"/>
      <c r="G40" s="2"/>
      <c r="H40" s="5"/>
      <c r="I40" s="5"/>
      <c r="J40" s="2"/>
    </row>
    <row r="41" spans="2:10" x14ac:dyDescent="0.3">
      <c r="B41" s="2"/>
      <c r="F41" s="2"/>
      <c r="G41" s="2"/>
      <c r="H41" s="5"/>
      <c r="I41" s="5"/>
      <c r="J41" s="2"/>
    </row>
    <row r="42" spans="2:10" x14ac:dyDescent="0.3">
      <c r="B42" s="2"/>
      <c r="F42" s="2"/>
      <c r="G42" s="2"/>
      <c r="H42" s="5"/>
      <c r="I42" s="5"/>
      <c r="J42" s="2"/>
    </row>
    <row r="43" spans="2:10" x14ac:dyDescent="0.3">
      <c r="B43" s="2"/>
      <c r="F43" s="2"/>
      <c r="G43" s="2"/>
      <c r="H43" s="5"/>
      <c r="I43" s="5"/>
      <c r="J43" s="2"/>
    </row>
    <row r="44" spans="2:10" x14ac:dyDescent="0.3">
      <c r="F44" s="2"/>
      <c r="G44" s="2"/>
      <c r="H44" s="5"/>
      <c r="I44" s="5"/>
      <c r="J44" s="2"/>
    </row>
  </sheetData>
  <mergeCells count="3">
    <mergeCell ref="A1:H1"/>
    <mergeCell ref="H20:I20"/>
    <mergeCell ref="H2:I2"/>
  </mergeCells>
  <pageMargins left="0.7" right="0.7" top="0.75" bottom="0.75" header="0.3" footer="0.3"/>
  <pageSetup paperSize="9" scale="5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9E62-C722-4FC3-B0EA-945A77CA22AE}">
  <dimension ref="A1:I51"/>
  <sheetViews>
    <sheetView zoomScale="60" zoomScaleNormal="60" workbookViewId="0">
      <selection activeCell="N13" sqref="N13"/>
    </sheetView>
  </sheetViews>
  <sheetFormatPr defaultRowHeight="14.4" x14ac:dyDescent="0.3"/>
  <cols>
    <col min="1" max="1" width="45.5546875" customWidth="1"/>
    <col min="2" max="2" width="21.5546875" customWidth="1"/>
    <col min="3" max="3" width="12.44140625" customWidth="1"/>
    <col min="4" max="4" width="13.44140625" customWidth="1"/>
    <col min="5" max="5" width="31" customWidth="1"/>
    <col min="6" max="6" width="24.44140625" customWidth="1"/>
    <col min="7" max="7" width="22.88671875" style="4" customWidth="1"/>
    <col min="8" max="8" width="14.109375" customWidth="1"/>
    <col min="9" max="9" width="24" bestFit="1" customWidth="1"/>
  </cols>
  <sheetData>
    <row r="1" spans="1:9" ht="21" x14ac:dyDescent="0.4">
      <c r="A1" s="57" t="s">
        <v>12</v>
      </c>
      <c r="B1" s="57"/>
      <c r="C1" s="57"/>
      <c r="D1" s="57"/>
      <c r="E1" s="57"/>
      <c r="F1" s="57"/>
      <c r="G1" s="57"/>
      <c r="H1" s="57"/>
      <c r="I1" s="16"/>
    </row>
    <row r="2" spans="1:9" ht="18" x14ac:dyDescent="0.35">
      <c r="G2"/>
      <c r="H2" s="55" t="s">
        <v>37</v>
      </c>
      <c r="I2" s="55"/>
    </row>
    <row r="3" spans="1:9" x14ac:dyDescent="0.3">
      <c r="A3" s="6" t="s">
        <v>0</v>
      </c>
      <c r="B3" t="s">
        <v>17</v>
      </c>
      <c r="E3" s="6" t="s">
        <v>1</v>
      </c>
      <c r="F3" s="7" t="s">
        <v>18</v>
      </c>
    </row>
    <row r="4" spans="1:9" x14ac:dyDescent="0.3">
      <c r="A4" s="6" t="s">
        <v>27</v>
      </c>
      <c r="E4" s="6" t="s">
        <v>2</v>
      </c>
      <c r="F4" s="1"/>
    </row>
    <row r="5" spans="1:9" ht="28.8" x14ac:dyDescent="0.3">
      <c r="A5" s="6" t="s">
        <v>3</v>
      </c>
      <c r="B5" t="s">
        <v>62</v>
      </c>
      <c r="E5" s="6" t="s">
        <v>4</v>
      </c>
      <c r="F5" s="48" t="s">
        <v>81</v>
      </c>
    </row>
    <row r="6" spans="1:9" ht="28.8" x14ac:dyDescent="0.3">
      <c r="A6" s="6" t="s">
        <v>5</v>
      </c>
      <c r="B6" s="49" t="s">
        <v>61</v>
      </c>
      <c r="E6" s="6" t="s">
        <v>6</v>
      </c>
      <c r="F6" s="1">
        <v>63166073535</v>
      </c>
    </row>
    <row r="8" spans="1:9" x14ac:dyDescent="0.3">
      <c r="A8" s="8" t="s">
        <v>7</v>
      </c>
      <c r="B8" s="9" t="s">
        <v>8</v>
      </c>
      <c r="C8" s="9" t="s">
        <v>9</v>
      </c>
      <c r="D8" s="8" t="s">
        <v>21</v>
      </c>
      <c r="E8" s="9" t="s">
        <v>22</v>
      </c>
      <c r="F8" s="9" t="s">
        <v>23</v>
      </c>
      <c r="G8" s="9" t="s">
        <v>24</v>
      </c>
      <c r="H8" s="10" t="s">
        <v>10</v>
      </c>
      <c r="I8" s="10" t="s">
        <v>34</v>
      </c>
    </row>
    <row r="9" spans="1:9" x14ac:dyDescent="0.3">
      <c r="A9" s="11" t="s">
        <v>71</v>
      </c>
      <c r="B9" s="12">
        <v>76600852</v>
      </c>
      <c r="C9" s="24">
        <v>45897</v>
      </c>
      <c r="D9" s="11"/>
      <c r="E9" s="12">
        <v>30</v>
      </c>
      <c r="F9" s="12">
        <v>1567.5</v>
      </c>
      <c r="G9" s="12">
        <f>F9*0.001</f>
        <v>1.5675000000000001</v>
      </c>
      <c r="H9" s="13">
        <f>F9*5</f>
        <v>7837.5</v>
      </c>
      <c r="I9" s="13">
        <f>F9*0.5</f>
        <v>783.75</v>
      </c>
    </row>
    <row r="10" spans="1:9" x14ac:dyDescent="0.3">
      <c r="A10" s="11" t="s">
        <v>72</v>
      </c>
      <c r="B10" s="12">
        <v>76557417</v>
      </c>
      <c r="C10" s="24">
        <v>45897</v>
      </c>
      <c r="D10" s="11"/>
      <c r="E10" s="12">
        <v>2</v>
      </c>
      <c r="F10" s="12">
        <v>76.5</v>
      </c>
      <c r="G10" s="12">
        <f>F10*0.001</f>
        <v>7.6499999999999999E-2</v>
      </c>
      <c r="H10" s="13">
        <f>F10*5</f>
        <v>382.5</v>
      </c>
      <c r="I10" s="13">
        <f>F10*0.5</f>
        <v>38.25</v>
      </c>
    </row>
    <row r="11" spans="1:9" x14ac:dyDescent="0.3">
      <c r="A11" s="11" t="s">
        <v>73</v>
      </c>
      <c r="B11" s="12">
        <v>76911326</v>
      </c>
      <c r="C11" s="24">
        <v>45897</v>
      </c>
      <c r="D11" s="11"/>
      <c r="E11" s="12">
        <v>3</v>
      </c>
      <c r="F11" s="12">
        <v>134.5</v>
      </c>
      <c r="G11" s="12">
        <f t="shared" ref="G11" si="0">F11*0.001</f>
        <v>0.13450000000000001</v>
      </c>
      <c r="H11" s="13">
        <f t="shared" ref="H11" si="1">F11*5</f>
        <v>672.5</v>
      </c>
      <c r="I11" s="13">
        <f>F11*0.5</f>
        <v>67.25</v>
      </c>
    </row>
    <row r="12" spans="1:9" x14ac:dyDescent="0.3">
      <c r="A12" s="11" t="s">
        <v>74</v>
      </c>
      <c r="B12" s="12">
        <v>76185935</v>
      </c>
      <c r="C12" s="24">
        <v>45897</v>
      </c>
      <c r="D12" s="11"/>
      <c r="E12" s="12">
        <v>2</v>
      </c>
      <c r="F12" s="12">
        <v>97</v>
      </c>
      <c r="G12" s="12">
        <f t="shared" ref="G12:G19" si="2">F12*0.001</f>
        <v>9.7000000000000003E-2</v>
      </c>
      <c r="H12" s="13">
        <f t="shared" ref="H12:H19" si="3">F12*5</f>
        <v>485</v>
      </c>
      <c r="I12" s="13">
        <f t="shared" ref="I12:I19" si="4">F12*0.5</f>
        <v>48.5</v>
      </c>
    </row>
    <row r="13" spans="1:9" x14ac:dyDescent="0.3">
      <c r="A13" s="11" t="s">
        <v>18</v>
      </c>
      <c r="B13" s="12">
        <v>76435589</v>
      </c>
      <c r="C13" s="24">
        <v>45897</v>
      </c>
      <c r="D13" s="11"/>
      <c r="E13" s="12">
        <v>152</v>
      </c>
      <c r="F13" s="12">
        <v>557.5</v>
      </c>
      <c r="G13" s="12">
        <f t="shared" si="2"/>
        <v>0.5575</v>
      </c>
      <c r="H13" s="13">
        <f t="shared" si="3"/>
        <v>2787.5</v>
      </c>
      <c r="I13" s="13">
        <f t="shared" si="4"/>
        <v>278.75</v>
      </c>
    </row>
    <row r="14" spans="1:9" x14ac:dyDescent="0.3">
      <c r="A14" s="11" t="s">
        <v>75</v>
      </c>
      <c r="B14" s="12">
        <v>76882058</v>
      </c>
      <c r="C14" s="24">
        <v>45897</v>
      </c>
      <c r="D14" s="11"/>
      <c r="E14" s="12">
        <v>4</v>
      </c>
      <c r="F14" s="12">
        <v>184</v>
      </c>
      <c r="G14" s="12">
        <f t="shared" si="2"/>
        <v>0.184</v>
      </c>
      <c r="H14" s="13">
        <f t="shared" si="3"/>
        <v>920</v>
      </c>
      <c r="I14" s="13">
        <f t="shared" si="4"/>
        <v>92</v>
      </c>
    </row>
    <row r="15" spans="1:9" x14ac:dyDescent="0.3">
      <c r="A15" s="11" t="s">
        <v>76</v>
      </c>
      <c r="B15" s="12">
        <v>76180917</v>
      </c>
      <c r="C15" s="24">
        <v>45897</v>
      </c>
      <c r="D15" s="11"/>
      <c r="E15" s="12">
        <v>13</v>
      </c>
      <c r="F15" s="12">
        <v>954</v>
      </c>
      <c r="G15" s="12">
        <f t="shared" si="2"/>
        <v>0.95400000000000007</v>
      </c>
      <c r="H15" s="13">
        <f t="shared" si="3"/>
        <v>4770</v>
      </c>
      <c r="I15" s="13">
        <f t="shared" si="4"/>
        <v>477</v>
      </c>
    </row>
    <row r="16" spans="1:9" x14ac:dyDescent="0.3">
      <c r="A16" s="11" t="s">
        <v>77</v>
      </c>
      <c r="B16" s="12">
        <v>76350206</v>
      </c>
      <c r="C16" s="24">
        <v>45897</v>
      </c>
      <c r="D16" s="11"/>
      <c r="E16" s="12">
        <v>40</v>
      </c>
      <c r="F16" s="12">
        <v>2450</v>
      </c>
      <c r="G16" s="12">
        <f t="shared" si="2"/>
        <v>2.4500000000000002</v>
      </c>
      <c r="H16" s="13">
        <f t="shared" si="3"/>
        <v>12250</v>
      </c>
      <c r="I16" s="13">
        <f t="shared" si="4"/>
        <v>1225</v>
      </c>
    </row>
    <row r="17" spans="1:9" x14ac:dyDescent="0.3">
      <c r="A17" s="11" t="s">
        <v>78</v>
      </c>
      <c r="B17" s="12">
        <v>76991227</v>
      </c>
      <c r="C17" s="24">
        <v>45897</v>
      </c>
      <c r="D17" s="11"/>
      <c r="E17" s="12">
        <v>20</v>
      </c>
      <c r="F17" s="12">
        <v>1229</v>
      </c>
      <c r="G17" s="12">
        <f t="shared" si="2"/>
        <v>1.2290000000000001</v>
      </c>
      <c r="H17" s="13">
        <f t="shared" si="3"/>
        <v>6145</v>
      </c>
      <c r="I17" s="13">
        <f t="shared" si="4"/>
        <v>614.5</v>
      </c>
    </row>
    <row r="18" spans="1:9" x14ac:dyDescent="0.3">
      <c r="A18" s="11" t="s">
        <v>79</v>
      </c>
      <c r="B18" s="12">
        <v>76583989</v>
      </c>
      <c r="C18" s="24">
        <v>45897</v>
      </c>
      <c r="D18" s="11"/>
      <c r="E18" s="12">
        <v>10</v>
      </c>
      <c r="F18" s="12">
        <v>607.5</v>
      </c>
      <c r="G18" s="12">
        <f t="shared" si="2"/>
        <v>0.60750000000000004</v>
      </c>
      <c r="H18" s="13">
        <f t="shared" si="3"/>
        <v>3037.5</v>
      </c>
      <c r="I18" s="13">
        <f t="shared" si="4"/>
        <v>303.75</v>
      </c>
    </row>
    <row r="19" spans="1:9" x14ac:dyDescent="0.3">
      <c r="A19" s="11" t="s">
        <v>80</v>
      </c>
      <c r="B19" s="12">
        <v>76360462</v>
      </c>
      <c r="C19" s="24">
        <v>45897</v>
      </c>
      <c r="D19" s="11"/>
      <c r="E19" s="12">
        <v>8</v>
      </c>
      <c r="F19" s="12">
        <v>570.5</v>
      </c>
      <c r="G19" s="12">
        <f t="shared" si="2"/>
        <v>0.57050000000000001</v>
      </c>
      <c r="H19" s="13">
        <f t="shared" si="3"/>
        <v>2852.5</v>
      </c>
      <c r="I19" s="13">
        <f t="shared" si="4"/>
        <v>285.25</v>
      </c>
    </row>
    <row r="20" spans="1:9" x14ac:dyDescent="0.3">
      <c r="A20" s="12"/>
      <c r="B20" s="12"/>
      <c r="C20" s="12"/>
      <c r="D20" s="11"/>
      <c r="E20" s="12"/>
      <c r="F20" s="12"/>
      <c r="G20" s="12"/>
      <c r="H20" s="13"/>
      <c r="I20" s="13"/>
    </row>
    <row r="21" spans="1:9" x14ac:dyDescent="0.3">
      <c r="A21" s="12"/>
      <c r="B21" s="12"/>
      <c r="C21" s="12"/>
      <c r="D21" s="11"/>
      <c r="E21" s="12"/>
      <c r="F21" s="12"/>
      <c r="G21" s="12"/>
      <c r="H21" s="13"/>
      <c r="I21" s="13"/>
    </row>
    <row r="22" spans="1:9" x14ac:dyDescent="0.3">
      <c r="B22" s="2"/>
      <c r="D22" s="14" t="s">
        <v>11</v>
      </c>
      <c r="E22" s="9">
        <f>SUM(E9:E19)</f>
        <v>284</v>
      </c>
      <c r="F22" s="9">
        <f>SUM(F9:F19)</f>
        <v>8428</v>
      </c>
      <c r="G22" s="9">
        <f>SUM(G9:G19)</f>
        <v>8.4280000000000008</v>
      </c>
      <c r="H22" s="10">
        <f>SUM(H9:H19)</f>
        <v>42140</v>
      </c>
      <c r="I22" s="10">
        <f>SUM(I9:I19)</f>
        <v>4214</v>
      </c>
    </row>
    <row r="23" spans="1:9" x14ac:dyDescent="0.3">
      <c r="B23" s="2"/>
      <c r="D23" s="7"/>
      <c r="E23" s="2"/>
      <c r="F23" s="5"/>
      <c r="G23" s="2"/>
      <c r="H23" s="2"/>
    </row>
    <row r="24" spans="1:9" ht="18.600000000000001" thickBot="1" x14ac:dyDescent="0.4">
      <c r="B24" s="2"/>
      <c r="E24" s="2"/>
      <c r="F24" s="2"/>
      <c r="G24" s="37" t="s">
        <v>51</v>
      </c>
      <c r="H24" s="56">
        <f>H22+I22</f>
        <v>46354</v>
      </c>
      <c r="I24" s="56"/>
    </row>
    <row r="25" spans="1:9" ht="21.6" thickTop="1" x14ac:dyDescent="0.4">
      <c r="A25" s="57" t="s">
        <v>12</v>
      </c>
      <c r="B25" s="57"/>
      <c r="C25" s="57"/>
      <c r="D25" s="57"/>
      <c r="E25" s="57"/>
      <c r="F25" s="57"/>
      <c r="G25" s="57"/>
      <c r="H25" s="57"/>
      <c r="I25" s="16"/>
    </row>
    <row r="26" spans="1:9" ht="18" x14ac:dyDescent="0.35">
      <c r="G26"/>
      <c r="H26" s="55" t="s">
        <v>37</v>
      </c>
      <c r="I26" s="55"/>
    </row>
    <row r="27" spans="1:9" x14ac:dyDescent="0.3">
      <c r="A27" s="6" t="s">
        <v>0</v>
      </c>
      <c r="B27" t="s">
        <v>17</v>
      </c>
      <c r="E27" s="6" t="s">
        <v>1</v>
      </c>
      <c r="F27" s="7" t="s">
        <v>18</v>
      </c>
    </row>
    <row r="28" spans="1:9" x14ac:dyDescent="0.3">
      <c r="A28" s="6" t="s">
        <v>27</v>
      </c>
      <c r="B28" s="7" t="s">
        <v>18</v>
      </c>
      <c r="E28" s="6" t="s">
        <v>2</v>
      </c>
      <c r="F28" s="1"/>
    </row>
    <row r="29" spans="1:9" ht="28.8" x14ac:dyDescent="0.3">
      <c r="A29" s="6" t="s">
        <v>3</v>
      </c>
      <c r="B29" t="s">
        <v>62</v>
      </c>
      <c r="E29" s="6" t="s">
        <v>4</v>
      </c>
      <c r="F29" s="48" t="s">
        <v>81</v>
      </c>
    </row>
    <row r="30" spans="1:9" ht="28.8" x14ac:dyDescent="0.3">
      <c r="A30" s="6" t="s">
        <v>5</v>
      </c>
      <c r="B30" s="49" t="s">
        <v>61</v>
      </c>
      <c r="E30" s="6" t="s">
        <v>6</v>
      </c>
      <c r="F30" s="1">
        <v>63166073535</v>
      </c>
    </row>
    <row r="32" spans="1:9" x14ac:dyDescent="0.3">
      <c r="A32" s="8" t="s">
        <v>7</v>
      </c>
      <c r="B32" s="9" t="s">
        <v>8</v>
      </c>
      <c r="C32" s="9" t="s">
        <v>9</v>
      </c>
      <c r="D32" s="8" t="s">
        <v>21</v>
      </c>
      <c r="E32" s="9" t="s">
        <v>22</v>
      </c>
      <c r="F32" s="9" t="s">
        <v>23</v>
      </c>
      <c r="G32" s="9" t="s">
        <v>24</v>
      </c>
      <c r="H32" s="10" t="s">
        <v>10</v>
      </c>
      <c r="I32" s="10" t="s">
        <v>68</v>
      </c>
    </row>
    <row r="33" spans="1:9" x14ac:dyDescent="0.3">
      <c r="A33" s="11" t="s">
        <v>111</v>
      </c>
      <c r="B33" s="12">
        <v>76459955</v>
      </c>
      <c r="C33" s="24">
        <v>45959</v>
      </c>
      <c r="D33" s="12">
        <v>5</v>
      </c>
      <c r="E33" s="12"/>
      <c r="F33" s="12">
        <v>333</v>
      </c>
      <c r="G33" s="12">
        <f>F33*0.001</f>
        <v>0.33300000000000002</v>
      </c>
      <c r="H33" s="13">
        <f>F33*5</f>
        <v>1665</v>
      </c>
      <c r="I33" s="13">
        <f>F33*0.5</f>
        <v>166.5</v>
      </c>
    </row>
    <row r="34" spans="1:9" x14ac:dyDescent="0.3">
      <c r="A34" s="11" t="s">
        <v>112</v>
      </c>
      <c r="B34" s="12">
        <v>76970198</v>
      </c>
      <c r="C34" s="24">
        <v>45959</v>
      </c>
      <c r="D34" s="12">
        <v>5</v>
      </c>
      <c r="E34" s="12"/>
      <c r="F34" s="12">
        <v>80</v>
      </c>
      <c r="G34" s="12">
        <f>F34*0.001</f>
        <v>0.08</v>
      </c>
      <c r="H34" s="13">
        <f>F34*5</f>
        <v>400</v>
      </c>
      <c r="I34" s="13">
        <f>F34*0.5</f>
        <v>40</v>
      </c>
    </row>
    <row r="35" spans="1:9" x14ac:dyDescent="0.3">
      <c r="A35" s="11" t="s">
        <v>113</v>
      </c>
      <c r="B35" s="12">
        <v>76245737</v>
      </c>
      <c r="C35" s="24">
        <v>45959</v>
      </c>
      <c r="D35" s="12">
        <v>5</v>
      </c>
      <c r="E35" s="12"/>
      <c r="F35" s="12">
        <v>256.5</v>
      </c>
      <c r="G35" s="12">
        <f t="shared" ref="G35:G46" si="5">F35*0.001</f>
        <v>0.25650000000000001</v>
      </c>
      <c r="H35" s="13">
        <f t="shared" ref="H35:H46" si="6">F35*5</f>
        <v>1282.5</v>
      </c>
      <c r="I35" s="13">
        <f>F35*0.5</f>
        <v>128.25</v>
      </c>
    </row>
    <row r="36" spans="1:9" x14ac:dyDescent="0.3">
      <c r="A36" s="11" t="s">
        <v>114</v>
      </c>
      <c r="B36" s="12">
        <v>76766464</v>
      </c>
      <c r="C36" s="24">
        <v>45959</v>
      </c>
      <c r="D36" s="12">
        <v>5</v>
      </c>
      <c r="E36" s="12"/>
      <c r="F36" s="12">
        <v>83.5</v>
      </c>
      <c r="G36" s="12">
        <f t="shared" si="5"/>
        <v>8.3500000000000005E-2</v>
      </c>
      <c r="H36" s="13">
        <f t="shared" si="6"/>
        <v>417.5</v>
      </c>
      <c r="I36" s="13">
        <f t="shared" ref="I36:I46" si="7">F36*0.5</f>
        <v>41.75</v>
      </c>
    </row>
    <row r="37" spans="1:9" x14ac:dyDescent="0.3">
      <c r="A37" s="11" t="s">
        <v>115</v>
      </c>
      <c r="B37" s="12">
        <v>76326615</v>
      </c>
      <c r="C37" s="24">
        <v>45959</v>
      </c>
      <c r="D37" s="12">
        <v>5</v>
      </c>
      <c r="E37" s="12"/>
      <c r="F37" s="12">
        <v>88</v>
      </c>
      <c r="G37" s="12">
        <f t="shared" si="5"/>
        <v>8.7999999999999995E-2</v>
      </c>
      <c r="H37" s="13">
        <f t="shared" si="6"/>
        <v>440</v>
      </c>
      <c r="I37" s="13">
        <f t="shared" si="7"/>
        <v>44</v>
      </c>
    </row>
    <row r="38" spans="1:9" x14ac:dyDescent="0.3">
      <c r="A38" s="11" t="s">
        <v>116</v>
      </c>
      <c r="B38" s="12">
        <v>76112198</v>
      </c>
      <c r="C38" s="24">
        <v>45959</v>
      </c>
      <c r="D38" s="12">
        <v>5</v>
      </c>
      <c r="E38" s="12"/>
      <c r="F38" s="12">
        <v>42</v>
      </c>
      <c r="G38" s="12">
        <f t="shared" si="5"/>
        <v>4.2000000000000003E-2</v>
      </c>
      <c r="H38" s="13">
        <f t="shared" si="6"/>
        <v>210</v>
      </c>
      <c r="I38" s="13">
        <f t="shared" si="7"/>
        <v>21</v>
      </c>
    </row>
    <row r="39" spans="1:9" x14ac:dyDescent="0.3">
      <c r="A39" s="11" t="s">
        <v>117</v>
      </c>
      <c r="B39" s="12">
        <v>76878407</v>
      </c>
      <c r="C39" s="24">
        <v>45959</v>
      </c>
      <c r="D39" s="12">
        <v>5</v>
      </c>
      <c r="E39" s="12"/>
      <c r="F39" s="12">
        <f>105+40</f>
        <v>145</v>
      </c>
      <c r="G39" s="12">
        <f t="shared" si="5"/>
        <v>0.14499999999999999</v>
      </c>
      <c r="H39" s="13">
        <f t="shared" si="6"/>
        <v>725</v>
      </c>
      <c r="I39" s="13">
        <f t="shared" si="7"/>
        <v>72.5</v>
      </c>
    </row>
    <row r="40" spans="1:9" x14ac:dyDescent="0.3">
      <c r="A40" s="11" t="s">
        <v>118</v>
      </c>
      <c r="B40" s="12" t="s">
        <v>120</v>
      </c>
      <c r="C40" s="24">
        <v>45959</v>
      </c>
      <c r="D40" s="12">
        <v>5</v>
      </c>
      <c r="E40" s="12"/>
      <c r="F40" s="12">
        <v>265</v>
      </c>
      <c r="G40" s="12">
        <f t="shared" si="5"/>
        <v>0.26500000000000001</v>
      </c>
      <c r="H40" s="13">
        <f t="shared" si="6"/>
        <v>1325</v>
      </c>
      <c r="I40" s="13">
        <f t="shared" si="7"/>
        <v>132.5</v>
      </c>
    </row>
    <row r="41" spans="1:9" x14ac:dyDescent="0.3">
      <c r="A41" s="11" t="s">
        <v>119</v>
      </c>
      <c r="B41" s="12">
        <v>76296744</v>
      </c>
      <c r="C41" s="24">
        <v>45959</v>
      </c>
      <c r="D41" s="12">
        <v>5</v>
      </c>
      <c r="E41" s="12"/>
      <c r="F41" s="12">
        <v>270</v>
      </c>
      <c r="G41" s="12">
        <f t="shared" si="5"/>
        <v>0.27</v>
      </c>
      <c r="H41" s="13">
        <f t="shared" si="6"/>
        <v>1350</v>
      </c>
      <c r="I41" s="13">
        <f t="shared" si="7"/>
        <v>135</v>
      </c>
    </row>
    <row r="42" spans="1:9" x14ac:dyDescent="0.3">
      <c r="A42" s="11" t="s">
        <v>121</v>
      </c>
      <c r="B42" s="12">
        <v>76544000</v>
      </c>
      <c r="C42" s="24">
        <v>45959</v>
      </c>
      <c r="D42" s="12">
        <v>5</v>
      </c>
      <c r="E42" s="12"/>
      <c r="F42" s="12">
        <v>294</v>
      </c>
      <c r="G42" s="12">
        <f t="shared" si="5"/>
        <v>0.29399999999999998</v>
      </c>
      <c r="H42" s="13">
        <f t="shared" si="6"/>
        <v>1470</v>
      </c>
      <c r="I42" s="13">
        <f t="shared" si="7"/>
        <v>147</v>
      </c>
    </row>
    <row r="43" spans="1:9" x14ac:dyDescent="0.3">
      <c r="A43" s="11" t="s">
        <v>122</v>
      </c>
      <c r="B43" s="12">
        <v>7688406</v>
      </c>
      <c r="C43" s="24">
        <v>45959</v>
      </c>
      <c r="D43" s="12">
        <v>5</v>
      </c>
      <c r="E43" s="12"/>
      <c r="F43" s="12">
        <v>200</v>
      </c>
      <c r="G43" s="12">
        <f t="shared" si="5"/>
        <v>0.2</v>
      </c>
      <c r="H43" s="13">
        <f t="shared" si="6"/>
        <v>1000</v>
      </c>
      <c r="I43" s="13">
        <f t="shared" si="7"/>
        <v>100</v>
      </c>
    </row>
    <row r="44" spans="1:9" x14ac:dyDescent="0.3">
      <c r="A44" s="52" t="s">
        <v>123</v>
      </c>
      <c r="B44" s="12">
        <v>76544947</v>
      </c>
      <c r="C44" s="24">
        <v>45959</v>
      </c>
      <c r="D44" s="12">
        <v>5</v>
      </c>
      <c r="E44" s="12"/>
      <c r="F44" s="12">
        <v>540</v>
      </c>
      <c r="G44" s="12">
        <f t="shared" si="5"/>
        <v>0.54</v>
      </c>
      <c r="H44" s="13">
        <f t="shared" si="6"/>
        <v>2700</v>
      </c>
      <c r="I44" s="13">
        <f t="shared" si="7"/>
        <v>270</v>
      </c>
    </row>
    <row r="45" spans="1:9" x14ac:dyDescent="0.3">
      <c r="A45" s="11" t="s">
        <v>124</v>
      </c>
      <c r="B45" s="12">
        <v>76376171</v>
      </c>
      <c r="C45" s="24">
        <v>45959</v>
      </c>
      <c r="D45" s="12">
        <v>5</v>
      </c>
      <c r="E45" s="12"/>
      <c r="F45" s="12">
        <v>200</v>
      </c>
      <c r="G45" s="12">
        <f t="shared" si="5"/>
        <v>0.2</v>
      </c>
      <c r="H45" s="13">
        <f t="shared" si="6"/>
        <v>1000</v>
      </c>
      <c r="I45" s="13">
        <f t="shared" si="7"/>
        <v>100</v>
      </c>
    </row>
    <row r="46" spans="1:9" x14ac:dyDescent="0.3">
      <c r="A46" s="52" t="s">
        <v>125</v>
      </c>
      <c r="B46" s="12">
        <v>76350065</v>
      </c>
      <c r="C46" s="24">
        <v>45959</v>
      </c>
      <c r="D46" s="12">
        <v>5</v>
      </c>
      <c r="E46" s="12"/>
      <c r="F46" s="12">
        <v>180</v>
      </c>
      <c r="G46" s="12">
        <f t="shared" si="5"/>
        <v>0.18</v>
      </c>
      <c r="H46" s="13">
        <f t="shared" si="6"/>
        <v>900</v>
      </c>
      <c r="I46" s="13">
        <f t="shared" si="7"/>
        <v>90</v>
      </c>
    </row>
    <row r="47" spans="1:9" x14ac:dyDescent="0.3">
      <c r="A47" s="12"/>
      <c r="B47" s="12"/>
      <c r="C47" s="12"/>
      <c r="D47" s="11"/>
      <c r="E47" s="12"/>
      <c r="F47" s="12"/>
      <c r="G47" s="12"/>
      <c r="H47" s="13"/>
      <c r="I47" s="13"/>
    </row>
    <row r="48" spans="1:9" x14ac:dyDescent="0.3">
      <c r="B48" s="2"/>
      <c r="D48" s="14" t="s">
        <v>11</v>
      </c>
      <c r="E48" s="9">
        <f>SUM(E33:E45)</f>
        <v>0</v>
      </c>
      <c r="F48" s="9">
        <f>SUM(F33:F46)</f>
        <v>2977</v>
      </c>
      <c r="G48" s="9">
        <f>SUM(G33:G46)</f>
        <v>2.9770000000000008</v>
      </c>
      <c r="H48" s="10">
        <f>SUM(H33:H46)</f>
        <v>14885</v>
      </c>
      <c r="I48" s="10">
        <f>SUM(I33:I46)</f>
        <v>1488.5</v>
      </c>
    </row>
    <row r="49" spans="2:9" x14ac:dyDescent="0.3">
      <c r="B49" s="2"/>
      <c r="D49" s="7"/>
      <c r="E49" s="2"/>
      <c r="F49" s="5"/>
      <c r="G49" s="2"/>
      <c r="H49" s="2"/>
    </row>
    <row r="50" spans="2:9" ht="18.600000000000001" thickBot="1" x14ac:dyDescent="0.4">
      <c r="B50" s="2"/>
      <c r="E50" s="2"/>
      <c r="F50" s="2"/>
      <c r="G50" s="37" t="s">
        <v>51</v>
      </c>
      <c r="H50" s="56">
        <f>H48+I48</f>
        <v>16373.5</v>
      </c>
      <c r="I50" s="56"/>
    </row>
    <row r="51" spans="2:9" ht="15" thickTop="1" x14ac:dyDescent="0.3"/>
  </sheetData>
  <mergeCells count="6">
    <mergeCell ref="H50:I50"/>
    <mergeCell ref="A1:H1"/>
    <mergeCell ref="H24:I24"/>
    <mergeCell ref="H2:I2"/>
    <mergeCell ref="A25:H25"/>
    <mergeCell ref="H26:I26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FDBF-8019-40A2-A5C9-E0BEE7AD53BF}">
  <sheetPr>
    <pageSetUpPr fitToPage="1"/>
  </sheetPr>
  <dimension ref="A1:I51"/>
  <sheetViews>
    <sheetView topLeftCell="A26" zoomScale="77" zoomScaleNormal="60" workbookViewId="0">
      <selection activeCell="N41" sqref="N41"/>
    </sheetView>
  </sheetViews>
  <sheetFormatPr defaultRowHeight="14.4" x14ac:dyDescent="0.3"/>
  <cols>
    <col min="1" max="1" width="37.5546875" customWidth="1"/>
    <col min="2" max="2" width="20.6640625" customWidth="1"/>
    <col min="3" max="3" width="13" customWidth="1"/>
    <col min="4" max="4" width="13" style="2" customWidth="1"/>
    <col min="5" max="5" width="25.44140625" bestFit="1" customWidth="1"/>
    <col min="6" max="6" width="24.109375" customWidth="1"/>
    <col min="7" max="7" width="9.109375" customWidth="1"/>
    <col min="8" max="8" width="25.33203125" customWidth="1"/>
    <col min="9" max="9" width="23.6640625" customWidth="1"/>
  </cols>
  <sheetData>
    <row r="1" spans="1:9" ht="21" x14ac:dyDescent="0.4">
      <c r="A1" s="57" t="s">
        <v>129</v>
      </c>
      <c r="B1" s="57"/>
      <c r="C1" s="57"/>
      <c r="D1" s="57"/>
      <c r="E1" s="57"/>
      <c r="F1" s="57"/>
      <c r="G1" s="57"/>
      <c r="H1" s="57"/>
      <c r="I1" s="16"/>
    </row>
    <row r="2" spans="1:9" ht="18" x14ac:dyDescent="0.35">
      <c r="H2" s="55" t="s">
        <v>37</v>
      </c>
      <c r="I2" s="55"/>
    </row>
    <row r="3" spans="1:9" x14ac:dyDescent="0.3">
      <c r="A3" s="6" t="s">
        <v>0</v>
      </c>
      <c r="B3" t="s">
        <v>106</v>
      </c>
      <c r="E3" s="6" t="s">
        <v>1</v>
      </c>
      <c r="F3" s="7" t="s">
        <v>107</v>
      </c>
      <c r="G3" s="4"/>
    </row>
    <row r="4" spans="1:9" x14ac:dyDescent="0.3">
      <c r="A4" s="6" t="s">
        <v>27</v>
      </c>
      <c r="E4" s="6" t="s">
        <v>2</v>
      </c>
      <c r="F4" s="1"/>
      <c r="G4" s="4"/>
    </row>
    <row r="5" spans="1:9" ht="17.25" customHeight="1" x14ac:dyDescent="0.3">
      <c r="A5" s="6" t="s">
        <v>3</v>
      </c>
      <c r="B5" t="s">
        <v>62</v>
      </c>
      <c r="E5" s="6" t="s">
        <v>4</v>
      </c>
      <c r="F5" s="51" t="s">
        <v>81</v>
      </c>
      <c r="G5" s="4"/>
    </row>
    <row r="6" spans="1:9" ht="28.5" customHeight="1" x14ac:dyDescent="0.3">
      <c r="A6" s="6" t="s">
        <v>5</v>
      </c>
      <c r="B6" s="49" t="s">
        <v>61</v>
      </c>
      <c r="E6" s="6" t="s">
        <v>6</v>
      </c>
      <c r="F6" s="38">
        <v>63166073535</v>
      </c>
      <c r="G6" s="4"/>
    </row>
    <row r="7" spans="1:9" x14ac:dyDescent="0.3">
      <c r="G7" s="4"/>
    </row>
    <row r="8" spans="1:9" x14ac:dyDescent="0.3">
      <c r="A8" s="8" t="s">
        <v>7</v>
      </c>
      <c r="B8" s="9" t="s">
        <v>8</v>
      </c>
      <c r="C8" s="9" t="s">
        <v>9</v>
      </c>
      <c r="D8" s="9" t="s">
        <v>21</v>
      </c>
      <c r="E8" s="9" t="s">
        <v>22</v>
      </c>
      <c r="F8" s="9" t="s">
        <v>23</v>
      </c>
      <c r="G8" s="9" t="s">
        <v>24</v>
      </c>
      <c r="H8" s="10" t="s">
        <v>10</v>
      </c>
      <c r="I8" s="10" t="s">
        <v>108</v>
      </c>
    </row>
    <row r="9" spans="1:9" x14ac:dyDescent="0.3">
      <c r="A9" s="11" t="s">
        <v>83</v>
      </c>
      <c r="B9" s="12">
        <v>76178004</v>
      </c>
      <c r="C9" s="24" t="s">
        <v>84</v>
      </c>
      <c r="D9" s="12"/>
      <c r="E9" s="12">
        <v>24</v>
      </c>
      <c r="F9" s="12">
        <v>1447</v>
      </c>
      <c r="G9" s="12">
        <f>F9*0.001</f>
        <v>1.4470000000000001</v>
      </c>
      <c r="H9" s="13">
        <f>F9*5</f>
        <v>7235</v>
      </c>
      <c r="I9" s="13">
        <f>F9*0.5</f>
        <v>723.5</v>
      </c>
    </row>
    <row r="10" spans="1:9" x14ac:dyDescent="0.3">
      <c r="A10" s="11" t="s">
        <v>85</v>
      </c>
      <c r="B10" s="12">
        <v>76608974</v>
      </c>
      <c r="C10" s="24" t="s">
        <v>84</v>
      </c>
      <c r="D10" s="12"/>
      <c r="E10" s="12">
        <v>22</v>
      </c>
      <c r="F10" s="12">
        <v>1431.5</v>
      </c>
      <c r="G10" s="12">
        <f>F10*0.001</f>
        <v>1.4315</v>
      </c>
      <c r="H10" s="13">
        <f>F10*5</f>
        <v>7157.5</v>
      </c>
      <c r="I10" s="13">
        <f>F10*0.5</f>
        <v>715.75</v>
      </c>
    </row>
    <row r="11" spans="1:9" x14ac:dyDescent="0.3">
      <c r="A11" s="11" t="s">
        <v>86</v>
      </c>
      <c r="B11" s="12">
        <v>76415917</v>
      </c>
      <c r="C11" s="24" t="s">
        <v>84</v>
      </c>
      <c r="D11" s="12"/>
      <c r="E11" s="12">
        <v>5</v>
      </c>
      <c r="F11" s="12">
        <v>315</v>
      </c>
      <c r="G11" s="12">
        <f t="shared" ref="G11:G30" si="0">F11*0.001</f>
        <v>0.315</v>
      </c>
      <c r="H11" s="13">
        <f t="shared" ref="H11:H30" si="1">F11*5</f>
        <v>1575</v>
      </c>
      <c r="I11" s="13">
        <f>F11*0.5</f>
        <v>157.5</v>
      </c>
    </row>
    <row r="12" spans="1:9" x14ac:dyDescent="0.3">
      <c r="A12" s="11" t="s">
        <v>87</v>
      </c>
      <c r="B12" s="12">
        <v>76622874</v>
      </c>
      <c r="C12" s="24" t="s">
        <v>84</v>
      </c>
      <c r="D12" s="12"/>
      <c r="E12" s="12">
        <v>4</v>
      </c>
      <c r="F12" s="12">
        <v>169</v>
      </c>
      <c r="G12" s="12">
        <f t="shared" si="0"/>
        <v>0.16900000000000001</v>
      </c>
      <c r="H12" s="13">
        <f t="shared" si="1"/>
        <v>845</v>
      </c>
      <c r="I12" s="13">
        <f t="shared" ref="I12:I30" si="2">F12*0.5</f>
        <v>84.5</v>
      </c>
    </row>
    <row r="13" spans="1:9" x14ac:dyDescent="0.3">
      <c r="A13" s="11" t="s">
        <v>88</v>
      </c>
      <c r="B13" s="12">
        <v>76588605</v>
      </c>
      <c r="C13" s="24" t="s">
        <v>84</v>
      </c>
      <c r="D13" s="12"/>
      <c r="E13" s="12">
        <v>8</v>
      </c>
      <c r="F13" s="12">
        <v>505</v>
      </c>
      <c r="G13" s="12">
        <f t="shared" si="0"/>
        <v>0.505</v>
      </c>
      <c r="H13" s="13">
        <f t="shared" si="1"/>
        <v>2525</v>
      </c>
      <c r="I13" s="13">
        <f t="shared" si="2"/>
        <v>252.5</v>
      </c>
    </row>
    <row r="14" spans="1:9" x14ac:dyDescent="0.3">
      <c r="A14" s="11" t="s">
        <v>89</v>
      </c>
      <c r="B14" s="12">
        <v>76223389</v>
      </c>
      <c r="C14" s="24" t="s">
        <v>84</v>
      </c>
      <c r="D14" s="12"/>
      <c r="E14" s="12">
        <v>5</v>
      </c>
      <c r="F14" s="12">
        <v>223</v>
      </c>
      <c r="G14" s="12">
        <f t="shared" si="0"/>
        <v>0.223</v>
      </c>
      <c r="H14" s="13">
        <f t="shared" si="1"/>
        <v>1115</v>
      </c>
      <c r="I14" s="13">
        <f t="shared" si="2"/>
        <v>111.5</v>
      </c>
    </row>
    <row r="15" spans="1:9" x14ac:dyDescent="0.3">
      <c r="A15" s="11" t="s">
        <v>90</v>
      </c>
      <c r="B15" s="12">
        <v>76899443</v>
      </c>
      <c r="C15" s="24" t="s">
        <v>84</v>
      </c>
      <c r="D15" s="12"/>
      <c r="E15" s="12">
        <v>7</v>
      </c>
      <c r="F15" s="12">
        <v>419</v>
      </c>
      <c r="G15" s="12">
        <f t="shared" si="0"/>
        <v>0.41899999999999998</v>
      </c>
      <c r="H15" s="13">
        <f t="shared" si="1"/>
        <v>2095</v>
      </c>
      <c r="I15" s="13">
        <f t="shared" si="2"/>
        <v>209.5</v>
      </c>
    </row>
    <row r="16" spans="1:9" x14ac:dyDescent="0.3">
      <c r="A16" s="11" t="s">
        <v>91</v>
      </c>
      <c r="B16" s="12">
        <v>76686198</v>
      </c>
      <c r="C16" s="24" t="s">
        <v>84</v>
      </c>
      <c r="D16" s="12"/>
      <c r="E16" s="12">
        <v>11</v>
      </c>
      <c r="F16" s="12">
        <v>617</v>
      </c>
      <c r="G16" s="12">
        <f t="shared" si="0"/>
        <v>0.61699999999999999</v>
      </c>
      <c r="H16" s="13">
        <f t="shared" si="1"/>
        <v>3085</v>
      </c>
      <c r="I16" s="13">
        <f t="shared" si="2"/>
        <v>308.5</v>
      </c>
    </row>
    <row r="17" spans="1:9" x14ac:dyDescent="0.3">
      <c r="A17" s="11" t="s">
        <v>92</v>
      </c>
      <c r="B17" s="12">
        <v>76393926</v>
      </c>
      <c r="C17" s="24" t="s">
        <v>84</v>
      </c>
      <c r="D17" s="12"/>
      <c r="E17" s="12">
        <v>3</v>
      </c>
      <c r="F17" s="12">
        <v>130.5</v>
      </c>
      <c r="G17" s="12">
        <f t="shared" si="0"/>
        <v>0.1305</v>
      </c>
      <c r="H17" s="13">
        <f t="shared" si="1"/>
        <v>652.5</v>
      </c>
      <c r="I17" s="13">
        <f t="shared" si="2"/>
        <v>65.25</v>
      </c>
    </row>
    <row r="18" spans="1:9" x14ac:dyDescent="0.3">
      <c r="A18" s="11" t="s">
        <v>93</v>
      </c>
      <c r="B18" s="12">
        <v>76358035</v>
      </c>
      <c r="C18" s="24" t="s">
        <v>84</v>
      </c>
      <c r="D18" s="12"/>
      <c r="E18" s="12">
        <v>2</v>
      </c>
      <c r="F18" s="12">
        <v>93.5</v>
      </c>
      <c r="G18" s="12">
        <f t="shared" si="0"/>
        <v>9.35E-2</v>
      </c>
      <c r="H18" s="13">
        <f t="shared" si="1"/>
        <v>467.5</v>
      </c>
      <c r="I18" s="13">
        <f t="shared" si="2"/>
        <v>46.75</v>
      </c>
    </row>
    <row r="19" spans="1:9" x14ac:dyDescent="0.3">
      <c r="A19" s="11" t="s">
        <v>94</v>
      </c>
      <c r="B19" s="12">
        <v>76120786</v>
      </c>
      <c r="C19" s="24" t="s">
        <v>84</v>
      </c>
      <c r="D19" s="12"/>
      <c r="E19" s="12">
        <v>2</v>
      </c>
      <c r="F19" s="12">
        <v>113.5</v>
      </c>
      <c r="G19" s="12">
        <f t="shared" si="0"/>
        <v>0.1135</v>
      </c>
      <c r="H19" s="13">
        <f t="shared" si="1"/>
        <v>567.5</v>
      </c>
      <c r="I19" s="13">
        <f t="shared" si="2"/>
        <v>56.75</v>
      </c>
    </row>
    <row r="20" spans="1:9" x14ac:dyDescent="0.3">
      <c r="A20" s="11" t="s">
        <v>95</v>
      </c>
      <c r="B20" s="12">
        <v>76772817</v>
      </c>
      <c r="C20" s="24" t="s">
        <v>84</v>
      </c>
      <c r="D20" s="12"/>
      <c r="E20" s="12">
        <v>2</v>
      </c>
      <c r="F20" s="12">
        <v>120</v>
      </c>
      <c r="G20" s="12">
        <f t="shared" si="0"/>
        <v>0.12</v>
      </c>
      <c r="H20" s="13">
        <f t="shared" si="1"/>
        <v>600</v>
      </c>
      <c r="I20" s="13">
        <f t="shared" si="2"/>
        <v>60</v>
      </c>
    </row>
    <row r="21" spans="1:9" x14ac:dyDescent="0.3">
      <c r="A21" s="52" t="s">
        <v>96</v>
      </c>
      <c r="B21" s="12">
        <v>76110109</v>
      </c>
      <c r="C21" s="24" t="s">
        <v>84</v>
      </c>
      <c r="D21" s="12"/>
      <c r="E21" s="12">
        <v>11</v>
      </c>
      <c r="F21" s="12">
        <v>528.5</v>
      </c>
      <c r="G21" s="12">
        <f t="shared" si="0"/>
        <v>0.52849999999999997</v>
      </c>
      <c r="H21" s="13">
        <f t="shared" si="1"/>
        <v>2642.5</v>
      </c>
      <c r="I21" s="13">
        <f t="shared" si="2"/>
        <v>264.25</v>
      </c>
    </row>
    <row r="22" spans="1:9" x14ac:dyDescent="0.3">
      <c r="A22" s="52" t="s">
        <v>97</v>
      </c>
      <c r="B22" s="12">
        <v>76832983</v>
      </c>
      <c r="C22" s="24" t="s">
        <v>84</v>
      </c>
      <c r="D22" s="12"/>
      <c r="E22" s="12">
        <v>1</v>
      </c>
      <c r="F22" s="12">
        <v>54</v>
      </c>
      <c r="G22" s="12">
        <f t="shared" si="0"/>
        <v>5.3999999999999999E-2</v>
      </c>
      <c r="H22" s="13">
        <f t="shared" si="1"/>
        <v>270</v>
      </c>
      <c r="I22" s="13">
        <f t="shared" si="2"/>
        <v>27</v>
      </c>
    </row>
    <row r="23" spans="1:9" x14ac:dyDescent="0.3">
      <c r="A23" s="52" t="s">
        <v>98</v>
      </c>
      <c r="B23" s="12">
        <v>76457507</v>
      </c>
      <c r="C23" s="24" t="s">
        <v>84</v>
      </c>
      <c r="D23" s="12"/>
      <c r="E23" s="12">
        <v>8</v>
      </c>
      <c r="F23" s="12">
        <v>358</v>
      </c>
      <c r="G23" s="12">
        <f t="shared" si="0"/>
        <v>0.35799999999999998</v>
      </c>
      <c r="H23" s="13">
        <f t="shared" si="1"/>
        <v>1790</v>
      </c>
      <c r="I23" s="13">
        <f t="shared" si="2"/>
        <v>179</v>
      </c>
    </row>
    <row r="24" spans="1:9" x14ac:dyDescent="0.3">
      <c r="A24" s="52" t="s">
        <v>99</v>
      </c>
      <c r="B24" s="12">
        <v>76111933</v>
      </c>
      <c r="C24" s="24" t="s">
        <v>84</v>
      </c>
      <c r="D24" s="12"/>
      <c r="E24" s="12">
        <v>7</v>
      </c>
      <c r="F24" s="12">
        <v>434.5</v>
      </c>
      <c r="G24" s="12">
        <f t="shared" si="0"/>
        <v>0.4345</v>
      </c>
      <c r="H24" s="13">
        <f t="shared" si="1"/>
        <v>2172.5</v>
      </c>
      <c r="I24" s="13">
        <f t="shared" si="2"/>
        <v>217.25</v>
      </c>
    </row>
    <row r="25" spans="1:9" x14ac:dyDescent="0.3">
      <c r="A25" s="52" t="s">
        <v>100</v>
      </c>
      <c r="B25" s="12">
        <v>78606074</v>
      </c>
      <c r="C25" s="24" t="s">
        <v>84</v>
      </c>
      <c r="D25" s="12"/>
      <c r="E25" s="12">
        <v>1</v>
      </c>
      <c r="F25" s="12">
        <v>92.5</v>
      </c>
      <c r="G25" s="12">
        <f t="shared" si="0"/>
        <v>9.2499999999999999E-2</v>
      </c>
      <c r="H25" s="13">
        <f t="shared" si="1"/>
        <v>462.5</v>
      </c>
      <c r="I25" s="13">
        <f t="shared" si="2"/>
        <v>46.25</v>
      </c>
    </row>
    <row r="26" spans="1:9" x14ac:dyDescent="0.3">
      <c r="A26" s="52" t="s">
        <v>101</v>
      </c>
      <c r="B26" s="12">
        <v>76833058</v>
      </c>
      <c r="C26" s="24" t="s">
        <v>84</v>
      </c>
      <c r="D26" s="12"/>
      <c r="E26" s="12">
        <v>4</v>
      </c>
      <c r="F26" s="12">
        <v>230.5</v>
      </c>
      <c r="G26" s="12">
        <f t="shared" si="0"/>
        <v>0.23050000000000001</v>
      </c>
      <c r="H26" s="13">
        <f t="shared" si="1"/>
        <v>1152.5</v>
      </c>
      <c r="I26" s="13">
        <f t="shared" si="2"/>
        <v>115.25</v>
      </c>
    </row>
    <row r="27" spans="1:9" x14ac:dyDescent="0.3">
      <c r="A27" s="52" t="s">
        <v>102</v>
      </c>
      <c r="B27" s="12">
        <v>78174580</v>
      </c>
      <c r="C27" s="24" t="s">
        <v>84</v>
      </c>
      <c r="D27" s="12"/>
      <c r="E27" s="12">
        <v>39</v>
      </c>
      <c r="F27" s="12">
        <v>2387</v>
      </c>
      <c r="G27" s="12">
        <f t="shared" si="0"/>
        <v>2.387</v>
      </c>
      <c r="H27" s="13">
        <f t="shared" si="1"/>
        <v>11935</v>
      </c>
      <c r="I27" s="13">
        <f t="shared" si="2"/>
        <v>1193.5</v>
      </c>
    </row>
    <row r="28" spans="1:9" x14ac:dyDescent="0.3">
      <c r="A28" s="52" t="s">
        <v>103</v>
      </c>
      <c r="B28" s="12">
        <v>76145568</v>
      </c>
      <c r="C28" s="24" t="s">
        <v>84</v>
      </c>
      <c r="D28" s="12"/>
      <c r="E28" s="12">
        <v>10</v>
      </c>
      <c r="F28" s="12">
        <v>460</v>
      </c>
      <c r="G28" s="12">
        <f t="shared" si="0"/>
        <v>0.46</v>
      </c>
      <c r="H28" s="13">
        <f t="shared" si="1"/>
        <v>2300</v>
      </c>
      <c r="I28" s="13">
        <f t="shared" si="2"/>
        <v>230</v>
      </c>
    </row>
    <row r="29" spans="1:9" x14ac:dyDescent="0.3">
      <c r="A29" s="52" t="s">
        <v>104</v>
      </c>
      <c r="B29" s="12">
        <v>76539473</v>
      </c>
      <c r="C29" s="24" t="s">
        <v>84</v>
      </c>
      <c r="D29" s="12"/>
      <c r="E29" s="12">
        <v>1</v>
      </c>
      <c r="F29" s="12">
        <v>64</v>
      </c>
      <c r="G29" s="12">
        <f t="shared" si="0"/>
        <v>6.4000000000000001E-2</v>
      </c>
      <c r="H29" s="13">
        <f t="shared" si="1"/>
        <v>320</v>
      </c>
      <c r="I29" s="13">
        <f t="shared" si="2"/>
        <v>32</v>
      </c>
    </row>
    <row r="30" spans="1:9" x14ac:dyDescent="0.3">
      <c r="A30" s="52" t="s">
        <v>105</v>
      </c>
      <c r="B30" s="12">
        <v>76826548</v>
      </c>
      <c r="C30" s="24" t="s">
        <v>84</v>
      </c>
      <c r="D30" s="12"/>
      <c r="E30" s="12">
        <v>4</v>
      </c>
      <c r="F30" s="12">
        <v>216</v>
      </c>
      <c r="G30" s="12">
        <f t="shared" si="0"/>
        <v>0.216</v>
      </c>
      <c r="H30" s="13">
        <f t="shared" si="1"/>
        <v>1080</v>
      </c>
      <c r="I30" s="13">
        <f t="shared" si="2"/>
        <v>108</v>
      </c>
    </row>
    <row r="31" spans="1:9" x14ac:dyDescent="0.3">
      <c r="A31" s="12"/>
      <c r="B31" s="12"/>
      <c r="C31" s="12"/>
      <c r="D31" s="12"/>
      <c r="E31" s="12"/>
      <c r="F31" s="12"/>
      <c r="G31" s="12"/>
      <c r="H31" s="13"/>
      <c r="I31" s="13"/>
    </row>
    <row r="32" spans="1:9" x14ac:dyDescent="0.3">
      <c r="B32" s="2"/>
      <c r="D32" s="9" t="s">
        <v>11</v>
      </c>
      <c r="E32" s="9">
        <f>SUM(E9:E30)</f>
        <v>181</v>
      </c>
      <c r="F32" s="9">
        <f>SUM(F9:F30)</f>
        <v>10409</v>
      </c>
      <c r="G32" s="9">
        <f>SUM(G9:G30)</f>
        <v>10.408999999999999</v>
      </c>
      <c r="H32" s="10">
        <f>SUM(H9:H29)</f>
        <v>50965</v>
      </c>
      <c r="I32" s="10">
        <f>SUM(I9:I29)</f>
        <v>5096.5</v>
      </c>
    </row>
    <row r="33" spans="1:9" x14ac:dyDescent="0.3">
      <c r="B33" s="2"/>
      <c r="E33" s="2"/>
      <c r="F33" s="5"/>
      <c r="G33" s="2"/>
      <c r="H33" s="2"/>
    </row>
    <row r="34" spans="1:9" ht="18.600000000000001" thickBot="1" x14ac:dyDescent="0.4">
      <c r="B34" s="2"/>
      <c r="E34" s="2"/>
      <c r="F34" s="58" t="s">
        <v>51</v>
      </c>
      <c r="G34" s="58"/>
      <c r="H34" s="56">
        <f>H32+I32</f>
        <v>56061.5</v>
      </c>
      <c r="I34" s="56"/>
    </row>
    <row r="35" spans="1:9" ht="15" thickTop="1" x14ac:dyDescent="0.3">
      <c r="B35" s="2"/>
      <c r="E35" s="2"/>
      <c r="F35" s="2"/>
      <c r="G35" s="5"/>
      <c r="H35" s="2"/>
    </row>
    <row r="37" spans="1:9" ht="21" x14ac:dyDescent="0.4">
      <c r="A37" s="57" t="s">
        <v>12</v>
      </c>
      <c r="B37" s="57"/>
      <c r="C37" s="57"/>
      <c r="D37" s="57"/>
      <c r="E37" s="57"/>
      <c r="F37" s="57"/>
      <c r="G37" s="57"/>
      <c r="H37" s="57"/>
      <c r="I37" s="16"/>
    </row>
    <row r="38" spans="1:9" ht="18" x14ac:dyDescent="0.35">
      <c r="H38" s="55" t="s">
        <v>37</v>
      </c>
      <c r="I38" s="55"/>
    </row>
    <row r="39" spans="1:9" x14ac:dyDescent="0.3">
      <c r="A39" s="6" t="s">
        <v>0</v>
      </c>
      <c r="B39" t="s">
        <v>106</v>
      </c>
      <c r="E39" s="6" t="s">
        <v>1</v>
      </c>
      <c r="F39" s="7" t="s">
        <v>107</v>
      </c>
      <c r="G39" s="4"/>
    </row>
    <row r="40" spans="1:9" x14ac:dyDescent="0.3">
      <c r="A40" s="6" t="s">
        <v>27</v>
      </c>
      <c r="E40" s="6" t="s">
        <v>2</v>
      </c>
      <c r="F40" s="1"/>
      <c r="G40" s="4"/>
    </row>
    <row r="41" spans="1:9" ht="28.8" x14ac:dyDescent="0.3">
      <c r="A41" s="6" t="s">
        <v>3</v>
      </c>
      <c r="B41" t="s">
        <v>62</v>
      </c>
      <c r="E41" s="6" t="s">
        <v>4</v>
      </c>
      <c r="F41" s="51" t="s">
        <v>81</v>
      </c>
      <c r="G41" s="4"/>
    </row>
    <row r="42" spans="1:9" ht="28.8" x14ac:dyDescent="0.3">
      <c r="A42" s="6" t="s">
        <v>5</v>
      </c>
      <c r="B42" s="49" t="s">
        <v>61</v>
      </c>
      <c r="E42" s="6" t="s">
        <v>6</v>
      </c>
      <c r="F42" s="38">
        <v>63166073535</v>
      </c>
      <c r="G42" s="4"/>
    </row>
    <row r="43" spans="1:9" x14ac:dyDescent="0.3">
      <c r="G43" s="4"/>
    </row>
    <row r="44" spans="1:9" x14ac:dyDescent="0.3">
      <c r="A44" s="8" t="s">
        <v>7</v>
      </c>
      <c r="B44" s="9" t="s">
        <v>8</v>
      </c>
      <c r="C44" s="9" t="s">
        <v>9</v>
      </c>
      <c r="D44" s="9" t="s">
        <v>21</v>
      </c>
      <c r="E44" s="9" t="s">
        <v>22</v>
      </c>
      <c r="F44" s="9" t="s">
        <v>23</v>
      </c>
      <c r="G44" s="9" t="s">
        <v>24</v>
      </c>
      <c r="H44" s="10" t="s">
        <v>10</v>
      </c>
      <c r="I44" s="10" t="s">
        <v>108</v>
      </c>
    </row>
    <row r="45" spans="1:9" x14ac:dyDescent="0.3">
      <c r="A45" s="11" t="s">
        <v>109</v>
      </c>
      <c r="B45" s="12">
        <v>76261853</v>
      </c>
      <c r="C45" s="24">
        <v>45960</v>
      </c>
      <c r="D45" s="12">
        <v>5</v>
      </c>
      <c r="E45" s="12">
        <v>60</v>
      </c>
      <c r="F45" s="12">
        <v>1200</v>
      </c>
      <c r="G45" s="12">
        <f>F45*0.001</f>
        <v>1.2</v>
      </c>
      <c r="H45" s="13">
        <f>F45*5</f>
        <v>6000</v>
      </c>
      <c r="I45" s="13">
        <f>F45*0.5</f>
        <v>600</v>
      </c>
    </row>
    <row r="46" spans="1:9" x14ac:dyDescent="0.3">
      <c r="A46" s="11" t="s">
        <v>110</v>
      </c>
      <c r="B46" s="12">
        <v>76680176</v>
      </c>
      <c r="C46" s="24">
        <v>45960</v>
      </c>
      <c r="D46" s="12">
        <v>5</v>
      </c>
      <c r="E46" s="12">
        <v>80</v>
      </c>
      <c r="F46" s="12">
        <v>1600</v>
      </c>
      <c r="G46" s="12">
        <f>F46*0.001</f>
        <v>1.6</v>
      </c>
      <c r="H46" s="13">
        <f>F46*5</f>
        <v>8000</v>
      </c>
      <c r="I46" s="13">
        <f>F46*0.5</f>
        <v>800</v>
      </c>
    </row>
    <row r="47" spans="1:9" x14ac:dyDescent="0.3">
      <c r="A47" s="12"/>
      <c r="B47" s="12"/>
      <c r="C47" s="12"/>
      <c r="D47" s="12"/>
      <c r="E47" s="12"/>
      <c r="F47" s="12"/>
      <c r="G47" s="12"/>
      <c r="H47" s="13"/>
      <c r="I47" s="13"/>
    </row>
    <row r="48" spans="1:9" x14ac:dyDescent="0.3">
      <c r="B48" s="2"/>
      <c r="D48" s="9" t="s">
        <v>11</v>
      </c>
      <c r="E48" s="9">
        <f>SUM(E45:E46)</f>
        <v>140</v>
      </c>
      <c r="F48" s="9">
        <f>SUM(F45:F46)</f>
        <v>2800</v>
      </c>
      <c r="G48" s="9">
        <f>SUM(G45:G46)</f>
        <v>2.8</v>
      </c>
      <c r="H48" s="10">
        <f>SUM(H45:H46)</f>
        <v>14000</v>
      </c>
      <c r="I48" s="10">
        <f>SUM(I45:I46)</f>
        <v>1400</v>
      </c>
    </row>
    <row r="49" spans="2:9" x14ac:dyDescent="0.3">
      <c r="B49" s="2"/>
      <c r="E49" s="2"/>
      <c r="F49" s="5"/>
      <c r="G49" s="2"/>
      <c r="H49" s="2"/>
    </row>
    <row r="50" spans="2:9" ht="18.600000000000001" thickBot="1" x14ac:dyDescent="0.4">
      <c r="B50" s="2"/>
      <c r="E50" s="2"/>
      <c r="F50" s="58" t="s">
        <v>51</v>
      </c>
      <c r="G50" s="58"/>
      <c r="H50" s="56">
        <f>H48+I48</f>
        <v>15400</v>
      </c>
      <c r="I50" s="56"/>
    </row>
    <row r="51" spans="2:9" ht="15" thickTop="1" x14ac:dyDescent="0.3">
      <c r="B51" s="2"/>
      <c r="E51" s="2"/>
      <c r="F51" s="2"/>
      <c r="G51" s="5"/>
      <c r="H51" s="2"/>
    </row>
  </sheetData>
  <mergeCells count="8">
    <mergeCell ref="H38:I38"/>
    <mergeCell ref="F50:G50"/>
    <mergeCell ref="H50:I50"/>
    <mergeCell ref="A1:H1"/>
    <mergeCell ref="H2:I2"/>
    <mergeCell ref="H34:I34"/>
    <mergeCell ref="F34:G34"/>
    <mergeCell ref="A37:H37"/>
  </mergeCells>
  <pageMargins left="0.7" right="0.7" top="0.75" bottom="0.75" header="0.3" footer="0.3"/>
  <pageSetup paperSize="9" scale="69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144C-AD61-4E6E-BC23-F7BB920028B5}">
  <sheetPr>
    <pageSetUpPr fitToPage="1"/>
  </sheetPr>
  <dimension ref="A1:I33"/>
  <sheetViews>
    <sheetView zoomScale="70" zoomScaleNormal="70" workbookViewId="0">
      <selection activeCell="M18" sqref="M18"/>
    </sheetView>
  </sheetViews>
  <sheetFormatPr defaultRowHeight="14.4" x14ac:dyDescent="0.3"/>
  <cols>
    <col min="1" max="1" width="44" customWidth="1"/>
    <col min="2" max="2" width="25.44140625" customWidth="1"/>
    <col min="3" max="3" width="16.109375" customWidth="1"/>
    <col min="4" max="4" width="15" customWidth="1"/>
    <col min="5" max="5" width="30" customWidth="1"/>
    <col min="6" max="6" width="26.33203125" customWidth="1"/>
    <col min="7" max="7" width="16.33203125" bestFit="1" customWidth="1"/>
    <col min="8" max="8" width="20.6640625" customWidth="1"/>
    <col min="9" max="9" width="29.33203125" customWidth="1"/>
  </cols>
  <sheetData>
    <row r="1" spans="1:9" ht="21" x14ac:dyDescent="0.4">
      <c r="A1" s="57" t="s">
        <v>12</v>
      </c>
      <c r="B1" s="57"/>
      <c r="C1" s="57"/>
      <c r="D1" s="57"/>
      <c r="E1" s="57"/>
      <c r="F1" s="57"/>
      <c r="G1" s="57"/>
      <c r="H1" s="57"/>
      <c r="I1" s="16"/>
    </row>
    <row r="2" spans="1:9" ht="18" x14ac:dyDescent="0.35">
      <c r="H2" s="55" t="s">
        <v>37</v>
      </c>
      <c r="I2" s="55"/>
    </row>
    <row r="3" spans="1:9" x14ac:dyDescent="0.3">
      <c r="A3" s="6" t="s">
        <v>0</v>
      </c>
      <c r="B3" t="s">
        <v>25</v>
      </c>
      <c r="E3" s="6" t="s">
        <v>1</v>
      </c>
      <c r="F3" s="7" t="s">
        <v>26</v>
      </c>
      <c r="G3" s="7"/>
      <c r="H3" s="4"/>
    </row>
    <row r="4" spans="1:9" x14ac:dyDescent="0.3">
      <c r="A4" s="6" t="s">
        <v>27</v>
      </c>
      <c r="B4" t="s">
        <v>57</v>
      </c>
      <c r="E4" s="6" t="s">
        <v>2</v>
      </c>
      <c r="F4" s="1"/>
      <c r="G4" s="1"/>
      <c r="H4" s="4"/>
    </row>
    <row r="5" spans="1:9" ht="28.8" x14ac:dyDescent="0.3">
      <c r="A5" s="6" t="s">
        <v>3</v>
      </c>
      <c r="B5" t="s">
        <v>62</v>
      </c>
      <c r="E5" s="6" t="s">
        <v>4</v>
      </c>
      <c r="F5" s="48" t="s">
        <v>69</v>
      </c>
      <c r="G5" s="3"/>
      <c r="H5" s="4"/>
    </row>
    <row r="6" spans="1:9" x14ac:dyDescent="0.3">
      <c r="A6" s="6" t="s">
        <v>5</v>
      </c>
      <c r="B6" s="7">
        <v>281764</v>
      </c>
      <c r="E6" s="6" t="s">
        <v>6</v>
      </c>
      <c r="F6" s="1">
        <v>63167087121</v>
      </c>
      <c r="G6" s="1"/>
      <c r="H6" s="4"/>
    </row>
    <row r="7" spans="1:9" x14ac:dyDescent="0.3">
      <c r="H7" s="4"/>
    </row>
    <row r="8" spans="1:9" x14ac:dyDescent="0.3">
      <c r="A8" s="8" t="s">
        <v>7</v>
      </c>
      <c r="B8" s="9" t="s">
        <v>8</v>
      </c>
      <c r="C8" s="9" t="s">
        <v>9</v>
      </c>
      <c r="D8" s="8"/>
      <c r="E8" s="9" t="s">
        <v>14</v>
      </c>
      <c r="F8" s="9" t="s">
        <v>13</v>
      </c>
      <c r="G8" s="9" t="s">
        <v>70</v>
      </c>
      <c r="H8" s="10" t="s">
        <v>10</v>
      </c>
      <c r="I8" s="10" t="s">
        <v>68</v>
      </c>
    </row>
    <row r="9" spans="1:9" x14ac:dyDescent="0.3">
      <c r="A9" s="11" t="s">
        <v>64</v>
      </c>
      <c r="B9" s="12">
        <v>78356535</v>
      </c>
      <c r="C9" s="47">
        <v>45896</v>
      </c>
      <c r="D9" s="11"/>
      <c r="E9" s="12">
        <v>12</v>
      </c>
      <c r="F9" s="12">
        <v>691.4</v>
      </c>
      <c r="G9" s="12">
        <f>F9*0.001</f>
        <v>0.69140000000000001</v>
      </c>
      <c r="H9" s="13">
        <f>F9*5</f>
        <v>3457</v>
      </c>
      <c r="I9" s="13">
        <f>F9*0.5</f>
        <v>345.7</v>
      </c>
    </row>
    <row r="10" spans="1:9" x14ac:dyDescent="0.3">
      <c r="A10" s="11" t="s">
        <v>38</v>
      </c>
      <c r="B10" s="12" t="s">
        <v>65</v>
      </c>
      <c r="C10" s="46">
        <v>45896</v>
      </c>
      <c r="D10" s="11"/>
      <c r="E10" s="12">
        <v>15</v>
      </c>
      <c r="F10" s="12">
        <v>981</v>
      </c>
      <c r="G10" s="12">
        <f>F10*0.001</f>
        <v>0.98099999999999998</v>
      </c>
      <c r="H10" s="13">
        <f>F10*5</f>
        <v>4905</v>
      </c>
      <c r="I10" s="13">
        <f>F10*0.5</f>
        <v>490.5</v>
      </c>
    </row>
    <row r="11" spans="1:9" x14ac:dyDescent="0.3">
      <c r="A11" s="11" t="s">
        <v>54</v>
      </c>
      <c r="B11" s="12">
        <v>76499671</v>
      </c>
      <c r="C11" s="46">
        <v>45896</v>
      </c>
      <c r="D11" s="11"/>
      <c r="E11" s="12">
        <v>6</v>
      </c>
      <c r="F11" s="12">
        <v>292.5</v>
      </c>
      <c r="G11" s="12">
        <f t="shared" ref="G11:G19" si="0">F11*0.001</f>
        <v>0.29249999999999998</v>
      </c>
      <c r="H11" s="13">
        <f>F11*5</f>
        <v>1462.5</v>
      </c>
      <c r="I11" s="13">
        <f>F11*0.5</f>
        <v>146.25</v>
      </c>
    </row>
    <row r="12" spans="1:9" x14ac:dyDescent="0.3">
      <c r="A12" s="11" t="s">
        <v>55</v>
      </c>
      <c r="B12" s="12">
        <v>76176833</v>
      </c>
      <c r="C12" s="46">
        <v>45896</v>
      </c>
      <c r="D12" s="11"/>
      <c r="E12" s="12">
        <v>12</v>
      </c>
      <c r="F12" s="12">
        <v>769</v>
      </c>
      <c r="G12" s="12">
        <f t="shared" si="0"/>
        <v>0.76900000000000002</v>
      </c>
      <c r="H12" s="13">
        <f t="shared" ref="H12:H19" si="1">F12*5</f>
        <v>3845</v>
      </c>
      <c r="I12" s="13">
        <f t="shared" ref="I12:I19" si="2">F12*0.5</f>
        <v>384.5</v>
      </c>
    </row>
    <row r="13" spans="1:9" x14ac:dyDescent="0.3">
      <c r="A13" s="11" t="s">
        <v>66</v>
      </c>
      <c r="B13" s="12">
        <v>78361597</v>
      </c>
      <c r="C13" s="46">
        <v>45896</v>
      </c>
      <c r="D13" s="11"/>
      <c r="E13" s="12">
        <v>4</v>
      </c>
      <c r="F13" s="12">
        <v>185.5</v>
      </c>
      <c r="G13" s="12">
        <f t="shared" si="0"/>
        <v>0.1855</v>
      </c>
      <c r="H13" s="13">
        <f t="shared" si="1"/>
        <v>927.5</v>
      </c>
      <c r="I13" s="13">
        <f t="shared" si="2"/>
        <v>92.75</v>
      </c>
    </row>
    <row r="14" spans="1:9" x14ac:dyDescent="0.3">
      <c r="A14" s="11" t="s">
        <v>56</v>
      </c>
      <c r="B14" s="12">
        <v>76393233</v>
      </c>
      <c r="C14" s="46">
        <v>45896</v>
      </c>
      <c r="D14" s="11"/>
      <c r="E14" s="12">
        <v>13</v>
      </c>
      <c r="F14" s="12">
        <v>712</v>
      </c>
      <c r="G14" s="12">
        <f t="shared" si="0"/>
        <v>0.71199999999999997</v>
      </c>
      <c r="H14" s="13">
        <f t="shared" si="1"/>
        <v>3560</v>
      </c>
      <c r="I14" s="13">
        <f>F14*0.5</f>
        <v>356</v>
      </c>
    </row>
    <row r="15" spans="1:9" x14ac:dyDescent="0.3">
      <c r="A15" s="11" t="s">
        <v>67</v>
      </c>
      <c r="B15" s="12">
        <v>76258171</v>
      </c>
      <c r="C15" s="46">
        <v>45896</v>
      </c>
      <c r="D15" s="11"/>
      <c r="E15" s="12">
        <v>2</v>
      </c>
      <c r="F15" s="12">
        <v>139</v>
      </c>
      <c r="G15" s="12">
        <f t="shared" si="0"/>
        <v>0.13900000000000001</v>
      </c>
      <c r="H15" s="13">
        <f>F15*5</f>
        <v>695</v>
      </c>
      <c r="I15" s="13">
        <f>F15*0.5</f>
        <v>69.5</v>
      </c>
    </row>
    <row r="16" spans="1:9" x14ac:dyDescent="0.3">
      <c r="A16" s="11" t="s">
        <v>82</v>
      </c>
      <c r="B16" s="12">
        <v>768357129</v>
      </c>
      <c r="C16" s="46">
        <v>45896</v>
      </c>
      <c r="D16" s="11"/>
      <c r="E16" s="12">
        <v>6</v>
      </c>
      <c r="F16" s="12">
        <v>338.5</v>
      </c>
      <c r="G16" s="12">
        <f t="shared" si="0"/>
        <v>0.33850000000000002</v>
      </c>
      <c r="H16" s="13">
        <f>F16*5</f>
        <v>1692.5</v>
      </c>
      <c r="I16" s="13">
        <f>F16*0.5</f>
        <v>169.25</v>
      </c>
    </row>
    <row r="17" spans="1:9" x14ac:dyDescent="0.3">
      <c r="A17" s="11"/>
      <c r="B17" s="12"/>
      <c r="C17" s="11"/>
      <c r="D17" s="11"/>
      <c r="E17" s="12"/>
      <c r="F17" s="12">
        <f t="shared" ref="F17:F18" si="3">E17*20</f>
        <v>0</v>
      </c>
      <c r="G17" s="12">
        <f t="shared" si="0"/>
        <v>0</v>
      </c>
      <c r="H17" s="13">
        <f t="shared" si="1"/>
        <v>0</v>
      </c>
      <c r="I17" s="13">
        <f t="shared" si="2"/>
        <v>0</v>
      </c>
    </row>
    <row r="18" spans="1:9" x14ac:dyDescent="0.3">
      <c r="A18" s="11"/>
      <c r="B18" s="12"/>
      <c r="C18" s="11"/>
      <c r="D18" s="11"/>
      <c r="E18" s="12"/>
      <c r="F18" s="12">
        <f t="shared" si="3"/>
        <v>0</v>
      </c>
      <c r="G18" s="12">
        <f t="shared" si="0"/>
        <v>0</v>
      </c>
      <c r="H18" s="13">
        <f t="shared" si="1"/>
        <v>0</v>
      </c>
      <c r="I18" s="13">
        <f t="shared" si="2"/>
        <v>0</v>
      </c>
    </row>
    <row r="19" spans="1:9" x14ac:dyDescent="0.3">
      <c r="A19" s="11"/>
      <c r="B19" s="12"/>
      <c r="C19" s="11"/>
      <c r="D19" s="11"/>
      <c r="E19" s="12"/>
      <c r="F19" s="12">
        <f>E19*20</f>
        <v>0</v>
      </c>
      <c r="G19" s="12">
        <f t="shared" si="0"/>
        <v>0</v>
      </c>
      <c r="H19" s="13">
        <f t="shared" si="1"/>
        <v>0</v>
      </c>
      <c r="I19" s="13">
        <f t="shared" si="2"/>
        <v>0</v>
      </c>
    </row>
    <row r="20" spans="1:9" x14ac:dyDescent="0.3">
      <c r="B20" s="2"/>
      <c r="D20" s="14" t="s">
        <v>11</v>
      </c>
      <c r="E20" s="9">
        <f>SUM(E10:E15)</f>
        <v>52</v>
      </c>
      <c r="F20" s="9">
        <f>SUM(F9:F17)</f>
        <v>4108.8999999999996</v>
      </c>
      <c r="G20" s="9">
        <f>SUM(G9:G19)</f>
        <v>4.1089000000000002</v>
      </c>
      <c r="H20" s="10">
        <f>SUM(H9:H18)</f>
        <v>20544.5</v>
      </c>
      <c r="I20" s="10">
        <f>SUM(I9:I19)</f>
        <v>2054.4499999999998</v>
      </c>
    </row>
    <row r="22" spans="1:9" ht="18.600000000000001" thickBot="1" x14ac:dyDescent="0.4">
      <c r="G22" s="37" t="s">
        <v>51</v>
      </c>
      <c r="H22" s="56">
        <f>H20+I20</f>
        <v>22598.95</v>
      </c>
      <c r="I22" s="56"/>
    </row>
    <row r="23" spans="1:9" ht="15" thickTop="1" x14ac:dyDescent="0.3"/>
    <row r="25" spans="1:9" x14ac:dyDescent="0.3">
      <c r="A25" s="8" t="s">
        <v>7</v>
      </c>
      <c r="B25" s="9" t="s">
        <v>8</v>
      </c>
      <c r="C25" s="9" t="s">
        <v>9</v>
      </c>
      <c r="D25" s="8"/>
      <c r="E25" s="9" t="s">
        <v>14</v>
      </c>
      <c r="F25" s="9" t="s">
        <v>13</v>
      </c>
      <c r="G25" s="9" t="s">
        <v>70</v>
      </c>
      <c r="H25" s="10" t="s">
        <v>10</v>
      </c>
      <c r="I25" s="10" t="s">
        <v>68</v>
      </c>
    </row>
    <row r="26" spans="1:9" x14ac:dyDescent="0.3">
      <c r="A26" s="11" t="s">
        <v>82</v>
      </c>
      <c r="B26" s="12">
        <v>768357129</v>
      </c>
      <c r="C26" s="46">
        <v>45896</v>
      </c>
      <c r="D26" s="11"/>
      <c r="E26" s="12">
        <v>6</v>
      </c>
      <c r="F26" s="12">
        <v>338.5</v>
      </c>
      <c r="G26" s="12">
        <f t="shared" ref="G26:G29" si="4">F26*0.001</f>
        <v>0.33850000000000002</v>
      </c>
      <c r="H26" s="13">
        <f>F26*5</f>
        <v>1692.5</v>
      </c>
      <c r="I26" s="13">
        <f>F26*0.5</f>
        <v>169.25</v>
      </c>
    </row>
    <row r="27" spans="1:9" x14ac:dyDescent="0.3">
      <c r="A27" s="11"/>
      <c r="B27" s="12"/>
      <c r="C27" s="11"/>
      <c r="D27" s="11"/>
      <c r="E27" s="12"/>
      <c r="F27" s="12">
        <f t="shared" ref="F27:F28" si="5">E27*20</f>
        <v>0</v>
      </c>
      <c r="G27" s="12">
        <f t="shared" si="4"/>
        <v>0</v>
      </c>
      <c r="H27" s="13">
        <f t="shared" ref="H27:H29" si="6">F27*5</f>
        <v>0</v>
      </c>
      <c r="I27" s="13">
        <f t="shared" ref="I27:I29" si="7">F27*0.5</f>
        <v>0</v>
      </c>
    </row>
    <row r="28" spans="1:9" x14ac:dyDescent="0.3">
      <c r="A28" s="11"/>
      <c r="B28" s="12"/>
      <c r="C28" s="11"/>
      <c r="D28" s="11"/>
      <c r="E28" s="12"/>
      <c r="F28" s="12">
        <f t="shared" si="5"/>
        <v>0</v>
      </c>
      <c r="G28" s="12">
        <f t="shared" si="4"/>
        <v>0</v>
      </c>
      <c r="H28" s="13">
        <f t="shared" si="6"/>
        <v>0</v>
      </c>
      <c r="I28" s="13">
        <f t="shared" si="7"/>
        <v>0</v>
      </c>
    </row>
    <row r="29" spans="1:9" x14ac:dyDescent="0.3">
      <c r="A29" s="11"/>
      <c r="B29" s="12"/>
      <c r="C29" s="11"/>
      <c r="D29" s="11"/>
      <c r="E29" s="12"/>
      <c r="F29" s="12">
        <f>E29*20</f>
        <v>0</v>
      </c>
      <c r="G29" s="12">
        <f t="shared" si="4"/>
        <v>0</v>
      </c>
      <c r="H29" s="13">
        <f t="shared" si="6"/>
        <v>0</v>
      </c>
      <c r="I29" s="13">
        <f t="shared" si="7"/>
        <v>0</v>
      </c>
    </row>
    <row r="30" spans="1:9" x14ac:dyDescent="0.3">
      <c r="B30" s="2"/>
      <c r="D30" s="14" t="s">
        <v>11</v>
      </c>
      <c r="E30" s="9">
        <f>SUM(E26:E28)</f>
        <v>6</v>
      </c>
      <c r="F30" s="9">
        <f>SUM(F26:F27)</f>
        <v>338.5</v>
      </c>
      <c r="G30" s="9">
        <f>SUM(G26:G29)</f>
        <v>0.33850000000000002</v>
      </c>
      <c r="H30" s="10">
        <f>SUM(H26:H28)</f>
        <v>1692.5</v>
      </c>
      <c r="I30" s="10">
        <f>SUM(I26:I29)</f>
        <v>169.25</v>
      </c>
    </row>
    <row r="32" spans="1:9" ht="18.600000000000001" thickBot="1" x14ac:dyDescent="0.4">
      <c r="G32" s="37" t="s">
        <v>51</v>
      </c>
      <c r="H32" s="56">
        <f>H30+I30</f>
        <v>1861.75</v>
      </c>
      <c r="I32" s="56"/>
    </row>
    <row r="33" ht="15" thickTop="1" x14ac:dyDescent="0.3"/>
  </sheetData>
  <mergeCells count="4">
    <mergeCell ref="H22:I22"/>
    <mergeCell ref="A1:H1"/>
    <mergeCell ref="H2:I2"/>
    <mergeCell ref="H32:I32"/>
  </mergeCells>
  <pageMargins left="0.7" right="0.7" top="0.75" bottom="0.75" header="0.3" footer="0.3"/>
  <pageSetup paperSize="9" scale="58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5C2E639A21C543BDA0CC39BBCEE23F" ma:contentTypeVersion="12" ma:contentTypeDescription="Create a new document." ma:contentTypeScope="" ma:versionID="6430d2c5c82f2bdb494be44ddf918b3a">
  <xsd:schema xmlns:xsd="http://www.w3.org/2001/XMLSchema" xmlns:xs="http://www.w3.org/2001/XMLSchema" xmlns:p="http://schemas.microsoft.com/office/2006/metadata/properties" xmlns:ns2="d605fb9e-3197-4618-aab7-16a3ee0e6913" xmlns:ns3="34d000cf-cc1a-4d78-b409-980d9e31e4f4" targetNamespace="http://schemas.microsoft.com/office/2006/metadata/properties" ma:root="true" ma:fieldsID="30701851025ca8c366bcaeb2acad5231" ns2:_="" ns3:_="">
    <xsd:import namespace="d605fb9e-3197-4618-aab7-16a3ee0e6913"/>
    <xsd:import namespace="34d000cf-cc1a-4d78-b409-980d9e31e4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5fb9e-3197-4618-aab7-16a3ee0e6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b920e1-3b67-40e4-bde2-f5c4f9859f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000cf-cc1a-4d78-b409-980d9e31e4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30eef3-1870-4bc2-873e-27497f9cfce8}" ma:internalName="TaxCatchAll" ma:showField="CatchAllData" ma:web="34d000cf-cc1a-4d78-b409-980d9e31e4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000cf-cc1a-4d78-b409-980d9e31e4f4" xsi:nil="true"/>
    <lcf76f155ced4ddcb4097134ff3c332f xmlns="d605fb9e-3197-4618-aab7-16a3ee0e69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4EBF7D-3645-4701-B671-16CCC84EF3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39A674-0605-48D4-9F7C-C9A5E5979BCB}"/>
</file>

<file path=customXml/itemProps3.xml><?xml version="1.0" encoding="utf-8"?>
<ds:datastoreItem xmlns:ds="http://schemas.openxmlformats.org/officeDocument/2006/customXml" ds:itemID="{A293287F-115A-4AC0-8675-2AE42FA47747}">
  <ds:schemaRefs>
    <ds:schemaRef ds:uri="http://purl.org/dc/elements/1.1/"/>
    <ds:schemaRef ds:uri="4360943a-6cca-43c0-80a7-f5a865f7ab88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SUMMARIES</vt:lpstr>
      <vt:lpstr>SIGOMBENI</vt:lpstr>
      <vt:lpstr>NGWENYA</vt:lpstr>
      <vt:lpstr>ZONDWAKO</vt:lpstr>
      <vt:lpstr>SIGANGENI</vt:lpstr>
      <vt:lpstr>MABHUKWINI</vt:lpstr>
      <vt:lpstr>MABHUKWINI!Print_Area</vt:lpstr>
      <vt:lpstr>SIGOMBENI!Print_Area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Bonginkosi Ndwandwe</dc:creator>
  <cp:lastModifiedBy>Bonginkosi Ndwandwe</cp:lastModifiedBy>
  <cp:lastPrinted>2025-10-30T07:23:34Z</cp:lastPrinted>
  <dcterms:created xsi:type="dcterms:W3CDTF">2025-07-31T09:09:04Z</dcterms:created>
  <dcterms:modified xsi:type="dcterms:W3CDTF">2026-01-19T08:07:22Z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0x010100CC5C2E639A21C543BDA0CC39BBCEE23F</vt:lpwstr>
  </property>
</Properties>
</file>