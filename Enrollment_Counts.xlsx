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yan\OneDrive\Desktop\"/>
    </mc:Choice>
  </mc:AlternateContent>
  <xr:revisionPtr revIDLastSave="0" documentId="13_ncr:1_{A155EF9E-BB27-423B-AD8D-E7D62467AFED}" xr6:coauthVersionLast="47" xr6:coauthVersionMax="47" xr10:uidLastSave="{00000000-0000-0000-0000-000000000000}"/>
  <bookViews>
    <workbookView xWindow="3324" yWindow="636" windowWidth="16116" windowHeight="135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40" i="1"/>
  <c r="D41" i="1"/>
  <c r="D42" i="1"/>
  <c r="D43" i="1"/>
  <c r="D44" i="1"/>
  <c r="D45" i="1"/>
  <c r="P46" i="1"/>
  <c r="F46" i="1"/>
  <c r="G46" i="1"/>
  <c r="H46" i="1"/>
  <c r="I46" i="1"/>
  <c r="J46" i="1"/>
  <c r="K46" i="1"/>
  <c r="L46" i="1"/>
  <c r="M46" i="1"/>
  <c r="N46" i="1"/>
  <c r="O4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E2" i="1"/>
  <c r="E46" i="1" s="1"/>
  <c r="D2" i="1"/>
  <c r="D46" i="1" l="1"/>
</calcChain>
</file>

<file path=xl/sharedStrings.xml><?xml version="1.0" encoding="utf-8"?>
<sst xmlns="http://schemas.openxmlformats.org/spreadsheetml/2006/main" count="147" uniqueCount="147">
  <si>
    <t>Code</t>
  </si>
  <si>
    <t>Town</t>
  </si>
  <si>
    <t>Name</t>
  </si>
  <si>
    <t>Total Enrollments</t>
  </si>
  <si>
    <t>Total Sponsored Children</t>
  </si>
  <si>
    <t xml:space="preserve">Graduates '25 </t>
  </si>
  <si>
    <t>Enrollments '26</t>
  </si>
  <si>
    <t>Sponsored '26</t>
  </si>
  <si>
    <t>Enrollments '25</t>
  </si>
  <si>
    <t>Sponsored '25</t>
  </si>
  <si>
    <t>Enrollments '24</t>
  </si>
  <si>
    <t>Sponsored '24</t>
  </si>
  <si>
    <t>Enrollments '23</t>
  </si>
  <si>
    <t>Sponsored '23</t>
  </si>
  <si>
    <t>Enrollments '22</t>
  </si>
  <si>
    <t>Sponsored '22</t>
  </si>
  <si>
    <t>B</t>
  </si>
  <si>
    <t>Bulunga</t>
  </si>
  <si>
    <t>Seek God First Preschool</t>
  </si>
  <si>
    <t>E</t>
  </si>
  <si>
    <t>Engcamini</t>
  </si>
  <si>
    <t>Precious Stones Preschool</t>
  </si>
  <si>
    <t>EC</t>
  </si>
  <si>
    <t>Esigcaweni</t>
  </si>
  <si>
    <t>Izanokuhle Preschool</t>
  </si>
  <si>
    <t>G</t>
  </si>
  <si>
    <t>Gebeni</t>
  </si>
  <si>
    <t>Gebeni Christian Life Church Preschool</t>
  </si>
  <si>
    <t>GU</t>
  </si>
  <si>
    <t>Gundvwini</t>
  </si>
  <si>
    <t>Gundvwini CLC Preschool</t>
  </si>
  <si>
    <t>HP</t>
  </si>
  <si>
    <t>Hawane</t>
  </si>
  <si>
    <t>Hawane Christian Life Church Preschool</t>
  </si>
  <si>
    <t>JB</t>
  </si>
  <si>
    <t>Jubukweni</t>
  </si>
  <si>
    <t>Faith English Medium Preschool</t>
  </si>
  <si>
    <t>KA</t>
  </si>
  <si>
    <t>Ka-Liba</t>
  </si>
  <si>
    <t>God's grace Preschool</t>
  </si>
  <si>
    <t>KN</t>
  </si>
  <si>
    <t>Ka-Ncesi</t>
  </si>
  <si>
    <t>Ka-Ncesi Preschool</t>
  </si>
  <si>
    <t>L</t>
  </si>
  <si>
    <t>Lavumisa</t>
  </si>
  <si>
    <t>Ezindwendweni Community Life Church Preschool</t>
  </si>
  <si>
    <t>LH</t>
  </si>
  <si>
    <t>Lonhlalane</t>
  </si>
  <si>
    <t>Bright Light Preschool</t>
  </si>
  <si>
    <t>LD</t>
  </si>
  <si>
    <t>Lundzi</t>
  </si>
  <si>
    <t>Sikhulanaye Preschool</t>
  </si>
  <si>
    <t>LU</t>
  </si>
  <si>
    <t>Lushikishini</t>
  </si>
  <si>
    <t>Little Ponds Preschool</t>
  </si>
  <si>
    <t>MA</t>
  </si>
  <si>
    <t>Mabhukwini</t>
  </si>
  <si>
    <t>Mabhukwini Walk By Faith Preschool</t>
  </si>
  <si>
    <t>MK</t>
  </si>
  <si>
    <t>Makhungutja</t>
  </si>
  <si>
    <t>Makhungutja ICBC Preschool</t>
  </si>
  <si>
    <t>MC</t>
  </si>
  <si>
    <t>Mangcongco</t>
  </si>
  <si>
    <t>Mangcongco Preschool</t>
  </si>
  <si>
    <t>MT</t>
  </si>
  <si>
    <t>Mantabeni</t>
  </si>
  <si>
    <t>Sihawusakhe Preschool</t>
  </si>
  <si>
    <t>M</t>
  </si>
  <si>
    <t>Mbowane</t>
  </si>
  <si>
    <t>Mbowane Christian Life Church Preschool</t>
  </si>
  <si>
    <t>MB</t>
  </si>
  <si>
    <t>Mcuba</t>
  </si>
  <si>
    <t>Spirit of Praise Preschool</t>
  </si>
  <si>
    <t>MV</t>
  </si>
  <si>
    <t>Mhlabubovu</t>
  </si>
  <si>
    <t>Great Harvest Preschool</t>
  </si>
  <si>
    <t>MG</t>
  </si>
  <si>
    <t>Mhlangatane</t>
  </si>
  <si>
    <t>Caring and Healing Preschool</t>
  </si>
  <si>
    <t>ML</t>
  </si>
  <si>
    <t>Mlindazwe</t>
  </si>
  <si>
    <t>Liberty Christian Academy Preschool</t>
  </si>
  <si>
    <t>MN</t>
  </si>
  <si>
    <t>Moneni</t>
  </si>
  <si>
    <t>Real Blessing Preschool</t>
  </si>
  <si>
    <t>MJ</t>
  </si>
  <si>
    <t>Mpolonjeni</t>
  </si>
  <si>
    <t>New Fountain Preschool</t>
  </si>
  <si>
    <t>MP</t>
  </si>
  <si>
    <t>Mpuluzi</t>
  </si>
  <si>
    <t>Mpuluzi Christian Life Preparatory School</t>
  </si>
  <si>
    <t>MS</t>
  </si>
  <si>
    <t>Msahweni</t>
  </si>
  <si>
    <t>Msahweni Caring &amp; Healing Preschool</t>
  </si>
  <si>
    <t>NG</t>
  </si>
  <si>
    <t>Ngwempisi</t>
  </si>
  <si>
    <t>Charity Preschool</t>
  </si>
  <si>
    <t>NW</t>
  </si>
  <si>
    <t>Ngwenya</t>
  </si>
  <si>
    <t>Ngwenya CIC Preschool</t>
  </si>
  <si>
    <t>NJ</t>
  </si>
  <si>
    <t>Njakeni</t>
  </si>
  <si>
    <t>Allos Academy Preschool</t>
  </si>
  <si>
    <t xml:space="preserve">NS </t>
  </si>
  <si>
    <t>Nsingweni</t>
  </si>
  <si>
    <t>Ngingweni Christian Life Preschool</t>
  </si>
  <si>
    <t>N</t>
  </si>
  <si>
    <t>Nsubane</t>
  </si>
  <si>
    <t>Jesus For All Nations Preschool</t>
  </si>
  <si>
    <t>NT</t>
  </si>
  <si>
    <t>Ntondozi</t>
  </si>
  <si>
    <t>Ntondozi Walk By Faith Preschool</t>
  </si>
  <si>
    <t>NK</t>
  </si>
  <si>
    <t>Nyakeni</t>
  </si>
  <si>
    <t>Nyakeni Christian Life Community School</t>
  </si>
  <si>
    <t>NM</t>
  </si>
  <si>
    <t>Nyamane</t>
  </si>
  <si>
    <t>God’s Compassionate Academy</t>
  </si>
  <si>
    <t>NY</t>
  </si>
  <si>
    <t>Nyathela</t>
  </si>
  <si>
    <t>Nyathela Christian Life Preschool</t>
  </si>
  <si>
    <t>PH</t>
  </si>
  <si>
    <t>Phonjwane</t>
  </si>
  <si>
    <t>Shining Stars Preschool</t>
  </si>
  <si>
    <t>PZ</t>
  </si>
  <si>
    <t>Phuzweni</t>
  </si>
  <si>
    <t>Phuzweni Christian Life Preschool</t>
  </si>
  <si>
    <t>SB</t>
  </si>
  <si>
    <t>Sibovini</t>
  </si>
  <si>
    <t>Little Angels Preschool</t>
  </si>
  <si>
    <t>SG</t>
  </si>
  <si>
    <t>Sigangeni</t>
  </si>
  <si>
    <t>Sigangeni Christian Life Community Preschool</t>
  </si>
  <si>
    <t>SE</t>
  </si>
  <si>
    <t>Sigengeni</t>
  </si>
  <si>
    <t>Sigengeni Christian Life Community Preschool</t>
  </si>
  <si>
    <t>SM</t>
  </si>
  <si>
    <t>Sigombeni</t>
  </si>
  <si>
    <t>Sigombeni English Medium Preschool</t>
  </si>
  <si>
    <t>T</t>
  </si>
  <si>
    <t>Tibane</t>
  </si>
  <si>
    <t>Tibane Christian Life Church Preschool</t>
  </si>
  <si>
    <t>Z</t>
  </si>
  <si>
    <t>Zondwako</t>
  </si>
  <si>
    <t>Walk by Faith Preschool</t>
  </si>
  <si>
    <t>PV</t>
  </si>
  <si>
    <t>Pine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</si>
</sst>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topLeftCell="G7" workbookViewId="0">
      <selection activeCell="J22" sqref="J22"/>
    </sheetView>
  </sheetViews>
  <sheetFormatPr defaultRowHeight="14.4" x14ac:dyDescent="0.3"/>
  <cols>
    <col min="2" max="2" width="11.6640625" bestFit="1" customWidth="1"/>
    <col min="3" max="3" width="42.21875" bestFit="1" customWidth="1"/>
    <col min="4" max="4" width="15.77734375" bestFit="1" customWidth="1"/>
    <col min="5" max="5" width="22.44140625" bestFit="1" customWidth="1"/>
    <col min="6" max="6" width="12.88671875" bestFit="1" customWidth="1"/>
    <col min="7" max="7" width="14" bestFit="1" customWidth="1"/>
    <col min="8" max="8" width="12.88671875" bestFit="1" customWidth="1"/>
    <col min="9" max="9" width="14" bestFit="1" customWidth="1"/>
    <col min="10" max="10" width="12.88671875" bestFit="1" customWidth="1"/>
    <col min="11" max="11" width="14" bestFit="1" customWidth="1"/>
    <col min="12" max="12" width="12.88671875" bestFit="1" customWidth="1"/>
    <col min="13" max="13" width="14" bestFit="1" customWidth="1"/>
    <col min="14" max="14" width="12.88671875" bestFit="1" customWidth="1"/>
    <col min="15" max="15" width="14" bestFit="1" customWidth="1"/>
    <col min="16" max="16" width="12.88671875" bestFit="1" customWidth="1"/>
  </cols>
  <sheetData>
    <row r="1" spans="1:16" s="7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3">
      <c r="A2" s="6" t="s">
        <v>16</v>
      </c>
      <c r="B2" s="4" t="s">
        <v>17</v>
      </c>
      <c r="C2" s="4" t="s">
        <v>18</v>
      </c>
      <c r="D2" s="4">
        <f>SUM(G2,I2,K2,M2,O2)</f>
        <v>162</v>
      </c>
      <c r="E2" s="4">
        <f>SUM(H2,J2,L2,N2,P2)</f>
        <v>24</v>
      </c>
      <c r="F2" s="4">
        <v>11</v>
      </c>
      <c r="G2" s="4">
        <v>29</v>
      </c>
      <c r="H2" s="8"/>
      <c r="I2" s="4">
        <v>36</v>
      </c>
      <c r="J2" s="8"/>
      <c r="K2" s="4">
        <v>25</v>
      </c>
      <c r="L2" s="8"/>
      <c r="M2" s="4">
        <v>41</v>
      </c>
      <c r="N2" s="8"/>
      <c r="O2" s="4">
        <v>31</v>
      </c>
      <c r="P2" s="4">
        <v>24</v>
      </c>
    </row>
    <row r="3" spans="1:16" x14ac:dyDescent="0.3">
      <c r="A3" s="6" t="s">
        <v>19</v>
      </c>
      <c r="B3" s="4" t="s">
        <v>20</v>
      </c>
      <c r="C3" s="4" t="s">
        <v>21</v>
      </c>
      <c r="D3" s="4">
        <f t="shared" ref="D3:D45" si="0">SUM(G3,I3,K3,M3,O3)</f>
        <v>210</v>
      </c>
      <c r="E3" s="4">
        <v>0</v>
      </c>
      <c r="F3" s="4">
        <v>9</v>
      </c>
      <c r="G3" s="4">
        <v>26</v>
      </c>
      <c r="H3" s="8"/>
      <c r="I3" s="4">
        <v>35</v>
      </c>
      <c r="J3" s="8"/>
      <c r="K3" s="4">
        <v>18</v>
      </c>
      <c r="L3" s="8"/>
      <c r="M3" s="4">
        <v>34</v>
      </c>
      <c r="N3" s="8"/>
      <c r="O3" s="4">
        <v>97</v>
      </c>
      <c r="P3" s="4">
        <v>30</v>
      </c>
    </row>
    <row r="4" spans="1:16" x14ac:dyDescent="0.3">
      <c r="A4" s="6" t="s">
        <v>22</v>
      </c>
      <c r="B4" s="4" t="s">
        <v>23</v>
      </c>
      <c r="C4" s="4" t="s">
        <v>24</v>
      </c>
      <c r="D4" s="4">
        <f t="shared" si="0"/>
        <v>224</v>
      </c>
      <c r="E4" s="4">
        <v>0</v>
      </c>
      <c r="F4" s="4">
        <v>38</v>
      </c>
      <c r="G4" s="4">
        <v>43</v>
      </c>
      <c r="H4" s="8"/>
      <c r="I4" s="4">
        <v>42</v>
      </c>
      <c r="J4" s="8"/>
      <c r="K4" s="4">
        <v>40</v>
      </c>
      <c r="L4" s="8"/>
      <c r="M4" s="4">
        <v>31</v>
      </c>
      <c r="N4" s="8"/>
      <c r="O4" s="4">
        <v>68</v>
      </c>
      <c r="P4" s="4">
        <v>68</v>
      </c>
    </row>
    <row r="5" spans="1:16" x14ac:dyDescent="0.3">
      <c r="A5" s="6" t="s">
        <v>25</v>
      </c>
      <c r="B5" s="4" t="s">
        <v>26</v>
      </c>
      <c r="C5" s="4" t="s">
        <v>27</v>
      </c>
      <c r="D5" s="4">
        <f t="shared" si="0"/>
        <v>205</v>
      </c>
      <c r="E5" s="4">
        <v>0</v>
      </c>
      <c r="F5" s="4">
        <v>18</v>
      </c>
      <c r="G5" s="4">
        <v>31</v>
      </c>
      <c r="H5" s="8"/>
      <c r="I5" s="4">
        <v>15</v>
      </c>
      <c r="J5" s="8"/>
      <c r="K5" s="4">
        <v>31</v>
      </c>
      <c r="L5" s="8"/>
      <c r="M5" s="4">
        <v>32</v>
      </c>
      <c r="N5" s="8"/>
      <c r="O5" s="4">
        <v>96</v>
      </c>
      <c r="P5" s="4">
        <v>54</v>
      </c>
    </row>
    <row r="6" spans="1:16" x14ac:dyDescent="0.3">
      <c r="A6" s="6" t="s">
        <v>28</v>
      </c>
      <c r="B6" s="4" t="s">
        <v>29</v>
      </c>
      <c r="C6" s="4" t="s">
        <v>30</v>
      </c>
      <c r="D6" s="4">
        <f t="shared" si="0"/>
        <v>99</v>
      </c>
      <c r="E6" s="4">
        <v>0</v>
      </c>
      <c r="F6" s="4">
        <v>31</v>
      </c>
      <c r="G6" s="4">
        <v>38</v>
      </c>
      <c r="H6" s="8"/>
      <c r="I6" s="4">
        <v>36</v>
      </c>
      <c r="J6" s="8"/>
      <c r="K6" s="4">
        <v>25</v>
      </c>
      <c r="L6" s="8"/>
      <c r="M6" s="5">
        <v>0</v>
      </c>
      <c r="N6" s="8"/>
      <c r="O6" s="5">
        <v>0</v>
      </c>
      <c r="P6" s="5"/>
    </row>
    <row r="7" spans="1:16" x14ac:dyDescent="0.3">
      <c r="A7" s="6" t="s">
        <v>31</v>
      </c>
      <c r="B7" s="4" t="s">
        <v>32</v>
      </c>
      <c r="C7" s="4" t="s">
        <v>33</v>
      </c>
      <c r="D7" s="4">
        <f t="shared" si="0"/>
        <v>198</v>
      </c>
      <c r="E7" s="4">
        <v>0</v>
      </c>
      <c r="F7" s="4">
        <v>27</v>
      </c>
      <c r="G7" s="4">
        <v>29</v>
      </c>
      <c r="H7" s="8"/>
      <c r="I7" s="4">
        <v>26</v>
      </c>
      <c r="J7" s="8"/>
      <c r="K7" s="4">
        <v>25</v>
      </c>
      <c r="L7" s="8"/>
      <c r="M7" s="4">
        <v>31</v>
      </c>
      <c r="N7" s="8"/>
      <c r="O7" s="4">
        <v>87</v>
      </c>
      <c r="P7" s="4">
        <v>87</v>
      </c>
    </row>
    <row r="8" spans="1:16" x14ac:dyDescent="0.3">
      <c r="A8" s="6" t="s">
        <v>34</v>
      </c>
      <c r="B8" s="4" t="s">
        <v>35</v>
      </c>
      <c r="C8" s="4" t="s">
        <v>36</v>
      </c>
      <c r="D8" s="4">
        <f t="shared" si="0"/>
        <v>110</v>
      </c>
      <c r="E8" s="4">
        <v>0</v>
      </c>
      <c r="F8" s="4">
        <v>17</v>
      </c>
      <c r="G8" s="4">
        <v>41</v>
      </c>
      <c r="H8" s="8"/>
      <c r="I8" s="4">
        <v>26</v>
      </c>
      <c r="J8" s="8"/>
      <c r="K8" s="4">
        <v>5</v>
      </c>
      <c r="L8" s="8"/>
      <c r="M8" s="4">
        <v>38</v>
      </c>
      <c r="N8" s="8"/>
      <c r="O8" s="5">
        <v>0</v>
      </c>
      <c r="P8" s="5"/>
    </row>
    <row r="9" spans="1:16" x14ac:dyDescent="0.3">
      <c r="A9" s="6" t="s">
        <v>37</v>
      </c>
      <c r="B9" s="4" t="s">
        <v>38</v>
      </c>
      <c r="C9" s="4" t="s">
        <v>39</v>
      </c>
      <c r="D9" s="4">
        <f t="shared" si="0"/>
        <v>151</v>
      </c>
      <c r="E9" s="4">
        <v>0</v>
      </c>
      <c r="F9" s="4">
        <v>34</v>
      </c>
      <c r="G9" s="4">
        <v>37</v>
      </c>
      <c r="H9" s="8"/>
      <c r="I9" s="4">
        <v>31</v>
      </c>
      <c r="J9" s="8"/>
      <c r="K9" s="4">
        <v>36</v>
      </c>
      <c r="L9" s="8"/>
      <c r="M9" s="4">
        <v>29</v>
      </c>
      <c r="N9" s="8"/>
      <c r="O9" s="4">
        <v>18</v>
      </c>
      <c r="P9" s="4">
        <v>17</v>
      </c>
    </row>
    <row r="10" spans="1:16" x14ac:dyDescent="0.3">
      <c r="A10" s="6" t="s">
        <v>40</v>
      </c>
      <c r="B10" s="4" t="s">
        <v>41</v>
      </c>
      <c r="C10" s="4" t="s">
        <v>42</v>
      </c>
      <c r="D10" s="4">
        <f t="shared" si="0"/>
        <v>169</v>
      </c>
      <c r="E10" s="4">
        <v>0</v>
      </c>
      <c r="F10" s="4">
        <v>35</v>
      </c>
      <c r="G10" s="4">
        <v>22</v>
      </c>
      <c r="H10" s="8"/>
      <c r="I10" s="4">
        <v>30</v>
      </c>
      <c r="J10" s="8"/>
      <c r="K10" s="4">
        <v>38</v>
      </c>
      <c r="L10" s="8"/>
      <c r="M10" s="4">
        <v>26</v>
      </c>
      <c r="N10" s="8"/>
      <c r="O10" s="4">
        <v>53</v>
      </c>
      <c r="P10" s="4">
        <v>47</v>
      </c>
    </row>
    <row r="11" spans="1:16" x14ac:dyDescent="0.3">
      <c r="A11" s="6" t="s">
        <v>43</v>
      </c>
      <c r="B11" s="4" t="s">
        <v>44</v>
      </c>
      <c r="C11" s="4" t="s">
        <v>45</v>
      </c>
      <c r="D11" s="4">
        <f t="shared" si="0"/>
        <v>200</v>
      </c>
      <c r="E11" s="4">
        <v>0</v>
      </c>
      <c r="F11" s="4">
        <v>24</v>
      </c>
      <c r="G11" s="4">
        <v>24</v>
      </c>
      <c r="H11" s="8"/>
      <c r="I11" s="4">
        <v>36</v>
      </c>
      <c r="J11" s="8"/>
      <c r="K11" s="4">
        <v>16</v>
      </c>
      <c r="L11" s="8"/>
      <c r="M11" s="4">
        <v>21</v>
      </c>
      <c r="N11" s="8"/>
      <c r="O11" s="4">
        <v>103</v>
      </c>
      <c r="P11" s="4">
        <v>60</v>
      </c>
    </row>
    <row r="12" spans="1:16" x14ac:dyDescent="0.3">
      <c r="A12" s="6" t="s">
        <v>46</v>
      </c>
      <c r="B12" s="4" t="s">
        <v>47</v>
      </c>
      <c r="C12" s="4" t="s">
        <v>48</v>
      </c>
      <c r="D12" s="4">
        <f t="shared" si="0"/>
        <v>154</v>
      </c>
      <c r="E12" s="4">
        <v>0</v>
      </c>
      <c r="F12" s="4">
        <v>19</v>
      </c>
      <c r="G12" s="4">
        <v>17</v>
      </c>
      <c r="H12" s="8"/>
      <c r="I12" s="4">
        <v>25</v>
      </c>
      <c r="J12" s="8"/>
      <c r="K12" s="4">
        <v>29</v>
      </c>
      <c r="L12" s="8"/>
      <c r="M12" s="4">
        <v>40</v>
      </c>
      <c r="N12" s="8"/>
      <c r="O12" s="4">
        <v>43</v>
      </c>
      <c r="P12" s="4">
        <v>43</v>
      </c>
    </row>
    <row r="13" spans="1:16" x14ac:dyDescent="0.3">
      <c r="A13" s="6" t="s">
        <v>49</v>
      </c>
      <c r="B13" s="4" t="s">
        <v>50</v>
      </c>
      <c r="C13" s="4" t="s">
        <v>51</v>
      </c>
      <c r="D13" s="4">
        <f t="shared" si="0"/>
        <v>175</v>
      </c>
      <c r="E13" s="4">
        <v>0</v>
      </c>
      <c r="F13" s="4">
        <v>17</v>
      </c>
      <c r="G13" s="4">
        <v>10</v>
      </c>
      <c r="H13" s="8"/>
      <c r="I13" s="4">
        <v>19</v>
      </c>
      <c r="J13" s="8"/>
      <c r="K13" s="4">
        <v>36</v>
      </c>
      <c r="L13" s="8"/>
      <c r="M13" s="4">
        <v>14</v>
      </c>
      <c r="N13" s="8"/>
      <c r="O13" s="4">
        <v>96</v>
      </c>
      <c r="P13" s="4">
        <v>96</v>
      </c>
    </row>
    <row r="14" spans="1:16" x14ac:dyDescent="0.3">
      <c r="A14" s="6" t="s">
        <v>52</v>
      </c>
      <c r="B14" s="4" t="s">
        <v>53</v>
      </c>
      <c r="C14" s="4" t="s">
        <v>54</v>
      </c>
      <c r="D14" s="4">
        <f t="shared" si="0"/>
        <v>93</v>
      </c>
      <c r="E14" s="4">
        <v>0</v>
      </c>
      <c r="F14" s="4">
        <v>18</v>
      </c>
      <c r="G14" s="4">
        <v>34</v>
      </c>
      <c r="H14" s="8"/>
      <c r="I14" s="4">
        <v>34</v>
      </c>
      <c r="J14" s="8"/>
      <c r="K14" s="4">
        <v>25</v>
      </c>
      <c r="L14" s="8"/>
      <c r="M14" s="5">
        <v>0</v>
      </c>
      <c r="N14" s="8"/>
      <c r="O14" s="5">
        <v>0</v>
      </c>
      <c r="P14" s="5"/>
    </row>
    <row r="15" spans="1:16" x14ac:dyDescent="0.3">
      <c r="A15" s="6" t="s">
        <v>55</v>
      </c>
      <c r="B15" s="4" t="s">
        <v>56</v>
      </c>
      <c r="C15" s="4" t="s">
        <v>57</v>
      </c>
      <c r="D15" s="4">
        <f t="shared" si="0"/>
        <v>41</v>
      </c>
      <c r="E15" s="4">
        <v>0</v>
      </c>
      <c r="F15" s="4">
        <v>13</v>
      </c>
      <c r="G15" s="4">
        <v>14</v>
      </c>
      <c r="H15" s="8"/>
      <c r="I15" s="4">
        <v>27</v>
      </c>
      <c r="J15" s="8"/>
      <c r="K15" s="5">
        <v>0</v>
      </c>
      <c r="L15" s="8"/>
      <c r="M15" s="5">
        <v>0</v>
      </c>
      <c r="N15" s="8"/>
      <c r="O15" s="5">
        <v>0</v>
      </c>
      <c r="P15" s="5"/>
    </row>
    <row r="16" spans="1:16" x14ac:dyDescent="0.3">
      <c r="A16" s="6" t="s">
        <v>58</v>
      </c>
      <c r="B16" s="4" t="s">
        <v>59</v>
      </c>
      <c r="C16" s="4" t="s">
        <v>60</v>
      </c>
      <c r="D16" s="4">
        <f t="shared" si="0"/>
        <v>28</v>
      </c>
      <c r="E16" s="4">
        <v>0</v>
      </c>
      <c r="F16" s="4">
        <v>25</v>
      </c>
      <c r="G16" s="4">
        <v>0</v>
      </c>
      <c r="H16" s="8">
        <v>0</v>
      </c>
      <c r="I16" s="4">
        <v>28</v>
      </c>
      <c r="J16" s="8"/>
      <c r="K16" s="5">
        <v>0</v>
      </c>
      <c r="L16" s="8"/>
      <c r="M16" s="5">
        <v>0</v>
      </c>
      <c r="N16" s="8"/>
      <c r="O16" s="5">
        <v>0</v>
      </c>
      <c r="P16" s="5"/>
    </row>
    <row r="17" spans="1:16" x14ac:dyDescent="0.3">
      <c r="A17" s="6" t="s">
        <v>61</v>
      </c>
      <c r="B17" s="4" t="s">
        <v>62</v>
      </c>
      <c r="C17" s="4" t="s">
        <v>63</v>
      </c>
      <c r="D17" s="4">
        <f t="shared" si="0"/>
        <v>133</v>
      </c>
      <c r="E17" s="4">
        <v>0</v>
      </c>
      <c r="F17" s="4">
        <v>21</v>
      </c>
      <c r="G17" s="4">
        <v>0</v>
      </c>
      <c r="H17" s="8">
        <v>0</v>
      </c>
      <c r="I17" s="4">
        <v>25</v>
      </c>
      <c r="J17" s="8"/>
      <c r="K17" s="4">
        <v>31</v>
      </c>
      <c r="L17" s="8"/>
      <c r="M17" s="4">
        <v>31</v>
      </c>
      <c r="N17" s="8"/>
      <c r="O17" s="4">
        <v>46</v>
      </c>
      <c r="P17" s="4">
        <v>40</v>
      </c>
    </row>
    <row r="18" spans="1:16" x14ac:dyDescent="0.3">
      <c r="A18" s="6" t="s">
        <v>64</v>
      </c>
      <c r="B18" s="4" t="s">
        <v>65</v>
      </c>
      <c r="C18" s="4" t="s">
        <v>66</v>
      </c>
      <c r="D18" s="4">
        <f t="shared" si="0"/>
        <v>41</v>
      </c>
      <c r="E18" s="4">
        <v>0</v>
      </c>
      <c r="F18" s="4">
        <v>15</v>
      </c>
      <c r="G18" s="4">
        <v>12</v>
      </c>
      <c r="H18" s="8"/>
      <c r="I18" s="4">
        <v>29</v>
      </c>
      <c r="J18" s="8"/>
      <c r="K18" s="5">
        <v>0</v>
      </c>
      <c r="L18" s="8"/>
      <c r="M18" s="5">
        <v>0</v>
      </c>
      <c r="N18" s="8"/>
      <c r="O18" s="5">
        <v>0</v>
      </c>
      <c r="P18" s="5"/>
    </row>
    <row r="19" spans="1:16" x14ac:dyDescent="0.3">
      <c r="A19" s="6" t="s">
        <v>67</v>
      </c>
      <c r="B19" s="4" t="s">
        <v>68</v>
      </c>
      <c r="C19" s="4" t="s">
        <v>69</v>
      </c>
      <c r="D19" s="4">
        <f t="shared" si="0"/>
        <v>151</v>
      </c>
      <c r="E19" s="4">
        <v>0</v>
      </c>
      <c r="F19" s="4">
        <v>11</v>
      </c>
      <c r="G19" s="4">
        <v>15</v>
      </c>
      <c r="H19" s="8"/>
      <c r="I19" s="4">
        <v>20</v>
      </c>
      <c r="J19" s="8"/>
      <c r="K19" s="4">
        <v>32</v>
      </c>
      <c r="L19" s="8"/>
      <c r="M19" s="4">
        <v>29</v>
      </c>
      <c r="N19" s="8"/>
      <c r="O19" s="4">
        <v>55</v>
      </c>
      <c r="P19" s="4">
        <v>38</v>
      </c>
    </row>
    <row r="20" spans="1:16" x14ac:dyDescent="0.3">
      <c r="A20" s="6" t="s">
        <v>70</v>
      </c>
      <c r="B20" s="4" t="s">
        <v>71</v>
      </c>
      <c r="C20" s="4" t="s">
        <v>72</v>
      </c>
      <c r="D20" s="4">
        <f t="shared" si="0"/>
        <v>76</v>
      </c>
      <c r="E20" s="4">
        <v>0</v>
      </c>
      <c r="F20" s="4">
        <v>15</v>
      </c>
      <c r="G20" s="4">
        <v>16</v>
      </c>
      <c r="H20" s="8"/>
      <c r="I20" s="4">
        <v>23</v>
      </c>
      <c r="J20" s="8"/>
      <c r="K20" s="4">
        <v>37</v>
      </c>
      <c r="L20" s="8"/>
      <c r="M20" s="5">
        <v>0</v>
      </c>
      <c r="N20" s="8"/>
      <c r="O20" s="5">
        <v>0</v>
      </c>
      <c r="P20" s="5"/>
    </row>
    <row r="21" spans="1:16" x14ac:dyDescent="0.3">
      <c r="A21" s="6" t="s">
        <v>73</v>
      </c>
      <c r="B21" s="4" t="s">
        <v>74</v>
      </c>
      <c r="C21" s="4" t="s">
        <v>75</v>
      </c>
      <c r="D21" s="4">
        <f t="shared" si="0"/>
        <v>72</v>
      </c>
      <c r="E21" s="4">
        <v>0</v>
      </c>
      <c r="F21" s="4">
        <v>26</v>
      </c>
      <c r="G21" s="4">
        <v>30</v>
      </c>
      <c r="H21" s="8"/>
      <c r="I21" s="4">
        <v>42</v>
      </c>
      <c r="J21" s="8"/>
      <c r="K21" s="5">
        <v>0</v>
      </c>
      <c r="L21" s="8"/>
      <c r="M21" s="5">
        <v>0</v>
      </c>
      <c r="N21" s="8"/>
      <c r="O21" s="5">
        <v>0</v>
      </c>
      <c r="P21" s="5"/>
    </row>
    <row r="22" spans="1:16" x14ac:dyDescent="0.3">
      <c r="A22" s="6" t="s">
        <v>76</v>
      </c>
      <c r="B22" s="4" t="s">
        <v>77</v>
      </c>
      <c r="C22" s="4" t="s">
        <v>78</v>
      </c>
      <c r="D22" s="4">
        <f t="shared" si="0"/>
        <v>176</v>
      </c>
      <c r="E22" s="4">
        <v>0</v>
      </c>
      <c r="F22" s="4">
        <v>26</v>
      </c>
      <c r="G22" s="4">
        <v>33</v>
      </c>
      <c r="H22" s="8"/>
      <c r="I22" s="4">
        <v>45</v>
      </c>
      <c r="J22" s="8"/>
      <c r="K22" s="4">
        <v>37</v>
      </c>
      <c r="L22" s="8"/>
      <c r="M22" s="4">
        <v>39</v>
      </c>
      <c r="N22" s="8"/>
      <c r="O22" s="4">
        <v>22</v>
      </c>
      <c r="P22" s="4">
        <v>22</v>
      </c>
    </row>
    <row r="23" spans="1:16" x14ac:dyDescent="0.3">
      <c r="A23" s="6" t="s">
        <v>79</v>
      </c>
      <c r="B23" s="4" t="s">
        <v>80</v>
      </c>
      <c r="C23" s="4" t="s">
        <v>81</v>
      </c>
      <c r="D23" s="4">
        <f t="shared" si="0"/>
        <v>156</v>
      </c>
      <c r="E23" s="4">
        <v>0</v>
      </c>
      <c r="F23" s="4">
        <v>27</v>
      </c>
      <c r="G23" s="4">
        <v>27</v>
      </c>
      <c r="H23" s="8"/>
      <c r="I23" s="4">
        <v>39</v>
      </c>
      <c r="J23" s="8"/>
      <c r="K23" s="4">
        <v>30</v>
      </c>
      <c r="L23" s="8"/>
      <c r="M23" s="4">
        <v>26</v>
      </c>
      <c r="N23" s="8"/>
      <c r="O23" s="4">
        <v>34</v>
      </c>
      <c r="P23" s="4">
        <v>34</v>
      </c>
    </row>
    <row r="24" spans="1:16" x14ac:dyDescent="0.3">
      <c r="A24" s="6" t="s">
        <v>82</v>
      </c>
      <c r="B24" s="4" t="s">
        <v>83</v>
      </c>
      <c r="C24" s="4" t="s">
        <v>84</v>
      </c>
      <c r="D24" s="4">
        <f t="shared" si="0"/>
        <v>70</v>
      </c>
      <c r="E24" s="4">
        <v>0</v>
      </c>
      <c r="F24" s="4">
        <v>22</v>
      </c>
      <c r="G24" s="4">
        <v>24</v>
      </c>
      <c r="H24" s="8"/>
      <c r="I24" s="4">
        <v>46</v>
      </c>
      <c r="J24" s="8"/>
      <c r="K24" s="5">
        <v>0</v>
      </c>
      <c r="L24" s="8"/>
      <c r="M24" s="5">
        <v>0</v>
      </c>
      <c r="N24" s="8"/>
      <c r="O24" s="5">
        <v>0</v>
      </c>
      <c r="P24" s="5"/>
    </row>
    <row r="25" spans="1:16" x14ac:dyDescent="0.3">
      <c r="A25" s="6" t="s">
        <v>85</v>
      </c>
      <c r="B25" s="4" t="s">
        <v>86</v>
      </c>
      <c r="C25" s="4" t="s">
        <v>87</v>
      </c>
      <c r="D25" s="4">
        <f t="shared" si="0"/>
        <v>109</v>
      </c>
      <c r="E25" s="4">
        <v>0</v>
      </c>
      <c r="F25" s="4">
        <v>29</v>
      </c>
      <c r="G25" s="4">
        <v>33</v>
      </c>
      <c r="H25" s="8"/>
      <c r="I25" s="4">
        <v>23</v>
      </c>
      <c r="J25" s="8"/>
      <c r="K25" s="4">
        <v>25</v>
      </c>
      <c r="L25" s="8"/>
      <c r="M25" s="4">
        <v>28</v>
      </c>
      <c r="N25" s="8"/>
      <c r="O25" s="5">
        <v>0</v>
      </c>
      <c r="P25" s="5"/>
    </row>
    <row r="26" spans="1:16" x14ac:dyDescent="0.3">
      <c r="A26" s="6" t="s">
        <v>88</v>
      </c>
      <c r="B26" s="4" t="s">
        <v>89</v>
      </c>
      <c r="C26" s="4" t="s">
        <v>90</v>
      </c>
      <c r="D26" s="4">
        <f t="shared" si="0"/>
        <v>170</v>
      </c>
      <c r="E26" s="4">
        <v>0</v>
      </c>
      <c r="F26" s="4">
        <v>28</v>
      </c>
      <c r="G26" s="4">
        <v>28</v>
      </c>
      <c r="H26" s="8"/>
      <c r="I26" s="4">
        <v>36</v>
      </c>
      <c r="J26" s="8"/>
      <c r="K26" s="4">
        <v>27</v>
      </c>
      <c r="L26" s="8"/>
      <c r="M26" s="4">
        <v>30</v>
      </c>
      <c r="N26" s="8"/>
      <c r="O26" s="4">
        <v>49</v>
      </c>
      <c r="P26" s="4">
        <v>49</v>
      </c>
    </row>
    <row r="27" spans="1:16" x14ac:dyDescent="0.3">
      <c r="A27" s="6" t="s">
        <v>91</v>
      </c>
      <c r="B27" s="4" t="s">
        <v>92</v>
      </c>
      <c r="C27" s="4" t="s">
        <v>93</v>
      </c>
      <c r="D27" s="4">
        <f t="shared" si="0"/>
        <v>90</v>
      </c>
      <c r="E27" s="4">
        <v>0</v>
      </c>
      <c r="F27" s="4">
        <v>23</v>
      </c>
      <c r="G27" s="4">
        <v>28</v>
      </c>
      <c r="H27" s="9"/>
      <c r="I27" s="4">
        <v>26</v>
      </c>
      <c r="J27" s="9"/>
      <c r="K27" s="4">
        <v>36</v>
      </c>
      <c r="L27" s="9"/>
      <c r="M27" s="1">
        <v>0</v>
      </c>
      <c r="N27" s="8"/>
      <c r="O27" s="1">
        <v>0</v>
      </c>
      <c r="P27" s="1"/>
    </row>
    <row r="28" spans="1:16" x14ac:dyDescent="0.3">
      <c r="A28" s="6" t="s">
        <v>94</v>
      </c>
      <c r="B28" s="4" t="s">
        <v>95</v>
      </c>
      <c r="C28" s="4" t="s">
        <v>96</v>
      </c>
      <c r="D28" s="4">
        <f t="shared" si="0"/>
        <v>257</v>
      </c>
      <c r="E28" s="4">
        <v>0</v>
      </c>
      <c r="F28" s="4">
        <v>33</v>
      </c>
      <c r="G28" s="4">
        <v>35</v>
      </c>
      <c r="H28" s="8"/>
      <c r="I28" s="4">
        <v>37</v>
      </c>
      <c r="J28" s="8"/>
      <c r="K28" s="4">
        <v>50</v>
      </c>
      <c r="L28" s="8"/>
      <c r="M28" s="4">
        <v>40</v>
      </c>
      <c r="N28" s="8"/>
      <c r="O28" s="4">
        <v>95</v>
      </c>
      <c r="P28" s="4">
        <v>76</v>
      </c>
    </row>
    <row r="29" spans="1:16" x14ac:dyDescent="0.3">
      <c r="A29" s="6" t="s">
        <v>97</v>
      </c>
      <c r="B29" s="4" t="s">
        <v>98</v>
      </c>
      <c r="C29" s="4" t="s">
        <v>99</v>
      </c>
      <c r="D29" s="4">
        <f t="shared" si="0"/>
        <v>101</v>
      </c>
      <c r="E29" s="4">
        <v>0</v>
      </c>
      <c r="F29" s="4">
        <v>34</v>
      </c>
      <c r="G29" s="4">
        <v>37</v>
      </c>
      <c r="H29" s="8"/>
      <c r="I29" s="4">
        <v>29</v>
      </c>
      <c r="J29" s="8"/>
      <c r="K29" s="4">
        <v>35</v>
      </c>
      <c r="L29" s="8"/>
      <c r="M29" s="5">
        <v>0</v>
      </c>
      <c r="N29" s="8"/>
      <c r="O29" s="5">
        <v>0</v>
      </c>
      <c r="P29" s="5"/>
    </row>
    <row r="30" spans="1:16" x14ac:dyDescent="0.3">
      <c r="A30" s="6" t="s">
        <v>100</v>
      </c>
      <c r="B30" s="4" t="s">
        <v>101</v>
      </c>
      <c r="C30" s="4" t="s">
        <v>102</v>
      </c>
      <c r="D30" s="4">
        <f t="shared" si="0"/>
        <v>86</v>
      </c>
      <c r="E30" s="4">
        <v>0</v>
      </c>
      <c r="F30" s="4">
        <v>26</v>
      </c>
      <c r="G30" s="4">
        <v>25</v>
      </c>
      <c r="H30" s="8"/>
      <c r="I30" s="4">
        <v>61</v>
      </c>
      <c r="J30" s="8"/>
      <c r="K30" s="5">
        <v>0</v>
      </c>
      <c r="L30" s="8"/>
      <c r="M30" s="5">
        <v>0</v>
      </c>
      <c r="N30" s="8"/>
      <c r="O30" s="5">
        <v>0</v>
      </c>
      <c r="P30" s="5"/>
    </row>
    <row r="31" spans="1:16" x14ac:dyDescent="0.3">
      <c r="A31" s="6" t="s">
        <v>103</v>
      </c>
      <c r="B31" s="4" t="s">
        <v>104</v>
      </c>
      <c r="C31" s="4" t="s">
        <v>105</v>
      </c>
      <c r="D31" s="4">
        <f t="shared" si="0"/>
        <v>40</v>
      </c>
      <c r="E31" s="4">
        <v>0</v>
      </c>
      <c r="F31" s="4">
        <v>8</v>
      </c>
      <c r="G31" s="4">
        <v>40</v>
      </c>
      <c r="H31" s="8"/>
      <c r="I31" s="4">
        <v>0</v>
      </c>
      <c r="J31" s="8"/>
      <c r="K31" s="5">
        <v>0</v>
      </c>
      <c r="L31" s="8"/>
      <c r="M31" s="5">
        <v>0</v>
      </c>
      <c r="N31" s="8"/>
      <c r="O31" s="5">
        <v>0</v>
      </c>
      <c r="P31" s="5"/>
    </row>
    <row r="32" spans="1:16" x14ac:dyDescent="0.3">
      <c r="A32" s="6" t="s">
        <v>106</v>
      </c>
      <c r="B32" s="4" t="s">
        <v>107</v>
      </c>
      <c r="C32" s="4" t="s">
        <v>108</v>
      </c>
      <c r="D32" s="4">
        <f t="shared" si="0"/>
        <v>134</v>
      </c>
      <c r="E32" s="4">
        <v>0</v>
      </c>
      <c r="F32" s="4">
        <v>18</v>
      </c>
      <c r="G32" s="4">
        <v>14</v>
      </c>
      <c r="H32" s="8"/>
      <c r="I32" s="4">
        <v>42</v>
      </c>
      <c r="J32" s="8"/>
      <c r="K32" s="4">
        <v>30</v>
      </c>
      <c r="L32" s="8"/>
      <c r="M32" s="4">
        <v>48</v>
      </c>
      <c r="N32" s="8"/>
      <c r="O32" s="4">
        <v>0</v>
      </c>
      <c r="P32" s="4"/>
    </row>
    <row r="33" spans="1:16" x14ac:dyDescent="0.3">
      <c r="A33" s="6" t="s">
        <v>109</v>
      </c>
      <c r="B33" s="4" t="s">
        <v>110</v>
      </c>
      <c r="C33" s="4" t="s">
        <v>111</v>
      </c>
      <c r="D33" s="4">
        <f t="shared" si="0"/>
        <v>38</v>
      </c>
      <c r="E33" s="4">
        <v>0</v>
      </c>
      <c r="F33" s="4">
        <v>0</v>
      </c>
      <c r="G33" s="4">
        <v>38</v>
      </c>
      <c r="H33" s="8"/>
      <c r="I33" s="5">
        <v>0</v>
      </c>
      <c r="J33" s="8"/>
      <c r="K33" s="5">
        <v>0</v>
      </c>
      <c r="L33" s="8"/>
      <c r="M33" s="5">
        <v>0</v>
      </c>
      <c r="N33" s="8"/>
      <c r="O33" s="5">
        <v>0</v>
      </c>
      <c r="P33" s="5"/>
    </row>
    <row r="34" spans="1:16" x14ac:dyDescent="0.3">
      <c r="A34" s="6" t="s">
        <v>112</v>
      </c>
      <c r="B34" s="4" t="s">
        <v>113</v>
      </c>
      <c r="C34" s="4" t="s">
        <v>114</v>
      </c>
      <c r="D34" s="4">
        <f t="shared" si="0"/>
        <v>38</v>
      </c>
      <c r="E34" s="4">
        <v>0</v>
      </c>
      <c r="F34" s="4">
        <v>0</v>
      </c>
      <c r="G34" s="4">
        <v>38</v>
      </c>
      <c r="H34" s="8"/>
      <c r="I34" s="5">
        <v>0</v>
      </c>
      <c r="J34" s="8"/>
      <c r="K34" s="5">
        <v>0</v>
      </c>
      <c r="L34" s="8"/>
      <c r="M34" s="5">
        <v>0</v>
      </c>
      <c r="N34" s="8"/>
      <c r="O34" s="5">
        <v>0</v>
      </c>
      <c r="P34" s="5"/>
    </row>
    <row r="35" spans="1:16" x14ac:dyDescent="0.3">
      <c r="A35" s="6" t="s">
        <v>115</v>
      </c>
      <c r="B35" s="4" t="s">
        <v>116</v>
      </c>
      <c r="C35" s="4" t="s">
        <v>117</v>
      </c>
      <c r="D35" s="4">
        <f t="shared" si="0"/>
        <v>25</v>
      </c>
      <c r="E35" s="4">
        <v>0</v>
      </c>
      <c r="F35" s="4">
        <v>0</v>
      </c>
      <c r="G35" s="4">
        <v>25</v>
      </c>
      <c r="H35" s="8"/>
      <c r="I35" s="5">
        <v>0</v>
      </c>
      <c r="J35" s="8"/>
      <c r="K35" s="5">
        <v>0</v>
      </c>
      <c r="L35" s="8"/>
      <c r="M35" s="5">
        <v>0</v>
      </c>
      <c r="N35" s="8"/>
      <c r="O35" s="5">
        <v>0</v>
      </c>
      <c r="P35" s="5"/>
    </row>
    <row r="36" spans="1:16" x14ac:dyDescent="0.3">
      <c r="A36" s="6" t="s">
        <v>118</v>
      </c>
      <c r="B36" s="4" t="s">
        <v>119</v>
      </c>
      <c r="C36" s="4" t="s">
        <v>120</v>
      </c>
      <c r="D36" s="4">
        <f t="shared" si="0"/>
        <v>206</v>
      </c>
      <c r="E36" s="4">
        <v>0</v>
      </c>
      <c r="F36" s="4">
        <v>27</v>
      </c>
      <c r="G36" s="4">
        <v>28</v>
      </c>
      <c r="H36" s="8"/>
      <c r="I36" s="4">
        <v>29</v>
      </c>
      <c r="J36" s="8"/>
      <c r="K36" s="4">
        <v>30</v>
      </c>
      <c r="L36" s="8"/>
      <c r="M36" s="4">
        <v>22</v>
      </c>
      <c r="N36" s="8"/>
      <c r="O36" s="4">
        <v>97</v>
      </c>
      <c r="P36" s="4">
        <v>97</v>
      </c>
    </row>
    <row r="37" spans="1:16" x14ac:dyDescent="0.3">
      <c r="A37" s="6" t="s">
        <v>121</v>
      </c>
      <c r="B37" s="4" t="s">
        <v>122</v>
      </c>
      <c r="C37" s="4" t="s">
        <v>123</v>
      </c>
      <c r="D37" s="4">
        <f t="shared" si="0"/>
        <v>83</v>
      </c>
      <c r="E37" s="4">
        <v>0</v>
      </c>
      <c r="F37" s="4">
        <v>37</v>
      </c>
      <c r="G37" s="4">
        <v>54</v>
      </c>
      <c r="H37" s="8"/>
      <c r="I37" s="4">
        <v>29</v>
      </c>
      <c r="J37" s="8"/>
      <c r="K37" s="5">
        <v>0</v>
      </c>
      <c r="L37" s="8"/>
      <c r="M37" s="5">
        <v>0</v>
      </c>
      <c r="N37" s="8"/>
      <c r="O37" s="5">
        <v>0</v>
      </c>
      <c r="P37" s="5"/>
    </row>
    <row r="38" spans="1:16" x14ac:dyDescent="0.3">
      <c r="A38" s="6" t="s">
        <v>124</v>
      </c>
      <c r="B38" s="4" t="s">
        <v>125</v>
      </c>
      <c r="C38" s="4" t="s">
        <v>126</v>
      </c>
      <c r="D38" s="4">
        <f t="shared" si="0"/>
        <v>40</v>
      </c>
      <c r="E38" s="4">
        <v>0</v>
      </c>
      <c r="F38" s="4">
        <v>0</v>
      </c>
      <c r="G38" s="4">
        <v>40</v>
      </c>
      <c r="H38" s="8"/>
      <c r="I38" s="5">
        <v>0</v>
      </c>
      <c r="J38" s="8"/>
      <c r="K38" s="5">
        <v>0</v>
      </c>
      <c r="L38" s="8"/>
      <c r="M38" s="5">
        <v>0</v>
      </c>
      <c r="N38" s="8"/>
      <c r="O38" s="5">
        <v>0</v>
      </c>
      <c r="P38" s="5"/>
    </row>
    <row r="39" spans="1:16" x14ac:dyDescent="0.3">
      <c r="A39" s="6" t="s">
        <v>145</v>
      </c>
      <c r="B39" s="4" t="s">
        <v>146</v>
      </c>
      <c r="C39" s="4"/>
      <c r="D39" s="4">
        <f t="shared" si="0"/>
        <v>119</v>
      </c>
      <c r="E39" s="4">
        <v>0</v>
      </c>
      <c r="F39" s="4">
        <v>0</v>
      </c>
      <c r="G39" s="4">
        <v>0</v>
      </c>
      <c r="H39" s="8"/>
      <c r="I39" s="4">
        <v>0</v>
      </c>
      <c r="J39" s="8"/>
      <c r="K39" s="4">
        <v>0</v>
      </c>
      <c r="L39" s="8"/>
      <c r="M39" s="4"/>
      <c r="N39" s="8"/>
      <c r="O39" s="4">
        <v>119</v>
      </c>
      <c r="P39" s="4">
        <v>119</v>
      </c>
    </row>
    <row r="40" spans="1:16" x14ac:dyDescent="0.3">
      <c r="A40" s="6" t="s">
        <v>127</v>
      </c>
      <c r="B40" s="4" t="s">
        <v>128</v>
      </c>
      <c r="C40" s="4" t="s">
        <v>129</v>
      </c>
      <c r="D40" s="4">
        <f t="shared" si="0"/>
        <v>111</v>
      </c>
      <c r="E40" s="4">
        <v>0</v>
      </c>
      <c r="F40" s="4">
        <v>29</v>
      </c>
      <c r="G40" s="4">
        <v>34</v>
      </c>
      <c r="H40" s="8"/>
      <c r="I40" s="4">
        <v>22</v>
      </c>
      <c r="J40" s="8"/>
      <c r="K40" s="4">
        <v>30</v>
      </c>
      <c r="L40" s="8"/>
      <c r="M40" s="4">
        <v>25</v>
      </c>
      <c r="N40" s="8"/>
      <c r="O40" s="5">
        <v>0</v>
      </c>
      <c r="P40" s="5"/>
    </row>
    <row r="41" spans="1:16" x14ac:dyDescent="0.3">
      <c r="A41" s="6" t="s">
        <v>130</v>
      </c>
      <c r="B41" s="4" t="s">
        <v>131</v>
      </c>
      <c r="C41" s="4" t="s">
        <v>132</v>
      </c>
      <c r="D41" s="4">
        <f t="shared" si="0"/>
        <v>101</v>
      </c>
      <c r="E41" s="4">
        <v>0</v>
      </c>
      <c r="F41" s="4">
        <v>15</v>
      </c>
      <c r="G41" s="4">
        <v>20</v>
      </c>
      <c r="H41" s="8"/>
      <c r="I41" s="4">
        <v>22</v>
      </c>
      <c r="J41" s="8"/>
      <c r="K41" s="4">
        <v>33</v>
      </c>
      <c r="L41" s="8"/>
      <c r="M41" s="4">
        <v>26</v>
      </c>
      <c r="N41" s="8"/>
      <c r="O41" s="5">
        <v>0</v>
      </c>
      <c r="P41" s="5"/>
    </row>
    <row r="42" spans="1:16" x14ac:dyDescent="0.3">
      <c r="A42" s="6" t="s">
        <v>133</v>
      </c>
      <c r="B42" s="4" t="s">
        <v>134</v>
      </c>
      <c r="C42" s="4" t="s">
        <v>135</v>
      </c>
      <c r="D42" s="4">
        <f t="shared" si="0"/>
        <v>69</v>
      </c>
      <c r="E42" s="4">
        <v>0</v>
      </c>
      <c r="F42" s="4">
        <v>34</v>
      </c>
      <c r="G42" s="4">
        <v>0</v>
      </c>
      <c r="H42" s="8">
        <v>0</v>
      </c>
      <c r="I42" s="4">
        <v>27</v>
      </c>
      <c r="J42" s="8"/>
      <c r="K42" s="4">
        <v>42</v>
      </c>
      <c r="L42" s="8"/>
      <c r="M42" s="5">
        <v>0</v>
      </c>
      <c r="N42" s="8"/>
      <c r="O42" s="5">
        <v>0</v>
      </c>
      <c r="P42" s="5"/>
    </row>
    <row r="43" spans="1:16" x14ac:dyDescent="0.3">
      <c r="A43" s="6" t="s">
        <v>136</v>
      </c>
      <c r="B43" s="4" t="s">
        <v>137</v>
      </c>
      <c r="C43" s="4" t="s">
        <v>138</v>
      </c>
      <c r="D43" s="4">
        <f t="shared" si="0"/>
        <v>98</v>
      </c>
      <c r="E43" s="4">
        <v>0</v>
      </c>
      <c r="F43" s="4">
        <v>33</v>
      </c>
      <c r="G43" s="4">
        <v>31</v>
      </c>
      <c r="H43" s="8"/>
      <c r="I43" s="4">
        <v>21</v>
      </c>
      <c r="J43" s="8"/>
      <c r="K43" s="4">
        <v>46</v>
      </c>
      <c r="L43" s="8"/>
      <c r="M43" s="5">
        <v>0</v>
      </c>
      <c r="N43" s="8"/>
      <c r="O43" s="5">
        <v>0</v>
      </c>
      <c r="P43" s="5"/>
    </row>
    <row r="44" spans="1:16" x14ac:dyDescent="0.3">
      <c r="A44" s="6" t="s">
        <v>139</v>
      </c>
      <c r="B44" s="4" t="s">
        <v>140</v>
      </c>
      <c r="C44" s="4" t="s">
        <v>141</v>
      </c>
      <c r="D44" s="4">
        <f t="shared" si="0"/>
        <v>97</v>
      </c>
      <c r="E44" s="4">
        <v>0</v>
      </c>
      <c r="F44" s="4">
        <v>17</v>
      </c>
      <c r="G44" s="4">
        <v>15</v>
      </c>
      <c r="H44" s="8"/>
      <c r="I44" s="4">
        <v>11</v>
      </c>
      <c r="J44" s="8"/>
      <c r="K44" s="4">
        <v>19</v>
      </c>
      <c r="L44" s="8"/>
      <c r="M44" s="4">
        <v>17</v>
      </c>
      <c r="N44" s="8"/>
      <c r="O44" s="4">
        <v>35</v>
      </c>
      <c r="P44" s="4">
        <v>35</v>
      </c>
    </row>
    <row r="45" spans="1:16" x14ac:dyDescent="0.3">
      <c r="A45" s="6" t="s">
        <v>142</v>
      </c>
      <c r="B45" s="4" t="s">
        <v>143</v>
      </c>
      <c r="C45" s="4" t="s">
        <v>144</v>
      </c>
      <c r="D45" s="4">
        <f t="shared" si="0"/>
        <v>237</v>
      </c>
      <c r="E45" s="4">
        <v>0</v>
      </c>
      <c r="F45" s="4">
        <v>42</v>
      </c>
      <c r="G45" s="4">
        <v>46</v>
      </c>
      <c r="H45" s="8"/>
      <c r="I45" s="4">
        <v>38</v>
      </c>
      <c r="J45" s="8"/>
      <c r="K45" s="4">
        <v>29</v>
      </c>
      <c r="L45" s="8"/>
      <c r="M45" s="4">
        <v>34</v>
      </c>
      <c r="N45" s="8">
        <v>24</v>
      </c>
      <c r="O45" s="4">
        <v>90</v>
      </c>
      <c r="P45" s="4">
        <v>66</v>
      </c>
    </row>
    <row r="46" spans="1:16" x14ac:dyDescent="0.3">
      <c r="A46" s="2"/>
      <c r="B46" s="2"/>
      <c r="C46" s="2"/>
      <c r="D46" s="3">
        <f>SUM(D2:D45)</f>
        <v>5343</v>
      </c>
      <c r="E46" s="3">
        <f t="shared" ref="E46:P46" si="1">SUM(E2:E45)</f>
        <v>24</v>
      </c>
      <c r="F46" s="3">
        <f t="shared" si="1"/>
        <v>932</v>
      </c>
      <c r="G46" s="3">
        <f t="shared" si="1"/>
        <v>1161</v>
      </c>
      <c r="H46" s="3">
        <f t="shared" si="1"/>
        <v>0</v>
      </c>
      <c r="I46" s="3">
        <f t="shared" si="1"/>
        <v>1168</v>
      </c>
      <c r="J46" s="3">
        <f t="shared" si="1"/>
        <v>0</v>
      </c>
      <c r="K46" s="3">
        <f t="shared" si="1"/>
        <v>948</v>
      </c>
      <c r="L46" s="3">
        <f t="shared" si="1"/>
        <v>0</v>
      </c>
      <c r="M46" s="3">
        <f t="shared" si="1"/>
        <v>732</v>
      </c>
      <c r="N46" s="3">
        <f t="shared" si="1"/>
        <v>24</v>
      </c>
      <c r="O46" s="3">
        <f t="shared" si="1"/>
        <v>1334</v>
      </c>
      <c r="P46" s="3">
        <f t="shared" si="1"/>
        <v>1102</v>
      </c>
    </row>
  </sheetData>
  <conditionalFormatting sqref="B1:B1048576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ICBC Child Sponsorship Program</cp:lastModifiedBy>
  <dcterms:created xsi:type="dcterms:W3CDTF">2026-06-08T14:27:09Z</dcterms:created>
  <dcterms:modified xsi:type="dcterms:W3CDTF">2026-06-10T09:52:52Z</dcterms:modified>
</cp:coreProperties>
</file>